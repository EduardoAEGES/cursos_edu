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 GUÍA Y SEMANAS" sheetId="1" state="visible" r:id="rId1"/>
    <sheet xmlns:r="http://schemas.openxmlformats.org/officeDocument/2006/relationships" name="2 · CASOS S9-S16" sheetId="2" state="visible" r:id="rId2"/>
    <sheet xmlns:r="http://schemas.openxmlformats.org/officeDocument/2006/relationships" name="3 · AYUDAS" sheetId="3" state="visible" r:id="rId3"/>
    <sheet xmlns:r="http://schemas.openxmlformats.org/officeDocument/2006/relationships" name="4 · QUÉ VA EN EL INFORME" sheetId="4" state="visible" r:id="rId4"/>
  </sheets>
  <definedNames>
    <definedName name="_xlnm.Print_Area" localSheetId="0">'1 · GUÍA Y SEMANAS'!$A$1:$G$70</definedName>
    <definedName name="_xlnm.Print_Area" localSheetId="1">'2 · CASOS S9-S16'!$A$1:$N$932</definedName>
    <definedName name="_xlnm.Print_Area" localSheetId="2">'3 · AYUDAS'!$A$1:$N$538</definedName>
    <definedName name="_xlnm.Print_Area" localSheetId="3">'4 · QUÉ VA EN EL INFORME'!$A$1:$I$42</definedName>
  </definedNames>
  <calcPr calcId="124519" fullCalcOnLoad="1"/>
</workbook>
</file>

<file path=xl/styles.xml><?xml version="1.0" encoding="utf-8"?>
<styleSheet xmlns="http://schemas.openxmlformats.org/spreadsheetml/2006/main">
  <numFmts count="4">
    <numFmt numFmtId="164" formatCode="&quot;S/ &quot;#,##0.00"/>
    <numFmt numFmtId="165" formatCode="&quot;S/ &quot;#,##0.0000"/>
    <numFmt numFmtId="166" formatCode="0.0%"/>
    <numFmt numFmtId="167" formatCode="#,##0.0000"/>
  </numFmts>
  <fonts count="22">
    <font>
      <name val="Calibri"/>
      <family val="2"/>
      <color theme="1"/>
      <sz val="11"/>
      <scheme val="minor"/>
    </font>
    <font>
      <name val="Arial"/>
      <b val="1"/>
      <color rgb="FF505050"/>
      <sz val="15"/>
    </font>
    <font>
      <name val="Arial"/>
      <color rgb="FF595959"/>
      <sz val="10"/>
    </font>
    <font>
      <name val="Arial"/>
      <b val="1"/>
      <color rgb="FFFFFFFF"/>
      <sz val="11"/>
    </font>
    <font>
      <name val="Arial"/>
      <b val="1"/>
      <color rgb="FF505050"/>
      <sz val="12"/>
    </font>
    <font>
      <name val="Arial"/>
      <b val="1"/>
      <color rgb="FFFFFFFF"/>
      <sz val="9"/>
    </font>
    <font>
      <name val="Arial"/>
      <b val="1"/>
      <color rgb="FF000000"/>
      <sz val="10"/>
    </font>
    <font>
      <name val="Arial"/>
      <color rgb="FF000000"/>
      <sz val="10"/>
    </font>
    <font>
      <name val="Arial"/>
      <color rgb="FF000000"/>
      <sz val="14"/>
    </font>
    <font>
      <name val="Arial"/>
      <b val="1"/>
      <color rgb="FF505050"/>
      <sz val="10"/>
    </font>
    <font>
      <name val="Arial"/>
      <b val="1"/>
      <color rgb="FF1F3864"/>
      <sz val="10"/>
    </font>
    <font>
      <name val="Arial"/>
      <b val="1"/>
      <color rgb="FF000000"/>
      <sz val="9"/>
    </font>
    <font>
      <name val="Arial"/>
      <b val="1"/>
      <color rgb="FF833C00"/>
      <sz val="10"/>
    </font>
    <font>
      <name val="Arial"/>
      <b val="1"/>
      <color rgb="FFFFFFFF"/>
      <sz val="12"/>
    </font>
    <font>
      <name val="Arial"/>
      <color rgb="FF000000"/>
      <sz val="11"/>
    </font>
    <font>
      <name val="Arial"/>
      <color rgb="FF7F6000"/>
      <sz val="9"/>
    </font>
    <font>
      <name val="Arial"/>
      <color rgb="FF375623"/>
      <sz val="9"/>
    </font>
    <font>
      <name val="Arial"/>
      <i val="1"/>
      <color rgb="FF595959"/>
      <sz val="9"/>
    </font>
    <font>
      <name val="Arial"/>
      <b val="1"/>
      <color rgb="FF505050"/>
      <sz val="13"/>
    </font>
    <font>
      <name val="Arial"/>
      <color rgb="FF000000"/>
      <sz val="9"/>
    </font>
    <font>
      <name val="Arial"/>
      <b val="1"/>
      <color rgb="FF1F3864"/>
      <sz val="11"/>
    </font>
    <font>
      <name val="Arial"/>
      <b val="1"/>
      <color rgb="FFC00000"/>
      <sz val="13"/>
    </font>
  </fonts>
  <fills count="15">
    <fill>
      <patternFill/>
    </fill>
    <fill>
      <patternFill patternType="gray125"/>
    </fill>
    <fill>
      <patternFill patternType="solid">
        <fgColor rgb="FFC00000"/>
      </patternFill>
    </fill>
    <fill>
      <patternFill patternType="solid">
        <fgColor rgb="FF2B2B2E"/>
      </patternFill>
    </fill>
    <fill>
      <patternFill patternType="solid">
        <fgColor rgb="FFFDEBEC"/>
      </patternFill>
    </fill>
    <fill>
      <patternFill patternType="solid">
        <fgColor rgb="FFF2F2F2"/>
      </patternFill>
    </fill>
    <fill>
      <patternFill patternType="solid">
        <fgColor rgb="FFFCE4E4"/>
      </patternFill>
    </fill>
    <fill>
      <patternFill patternType="solid">
        <fgColor rgb="FFFFF0E0"/>
      </patternFill>
    </fill>
    <fill>
      <patternFill patternType="solid">
        <fgColor rgb="FFE31E24"/>
      </patternFill>
    </fill>
    <fill>
      <patternFill patternType="solid">
        <fgColor rgb="FF505050"/>
      </patternFill>
    </fill>
    <fill>
      <patternFill patternType="solid">
        <fgColor rgb="FFDDEBF7"/>
      </patternFill>
    </fill>
    <fill>
      <patternFill patternType="solid">
        <fgColor rgb="FFFFF2CC"/>
      </patternFill>
    </fill>
    <fill>
      <patternFill patternType="solid">
        <fgColor rgb="FFE2EFDA"/>
      </patternFill>
    </fill>
    <fill>
      <patternFill patternType="solid">
        <fgColor rgb="FF8E1F23"/>
      </patternFill>
    </fill>
    <fill>
      <patternFill patternType="solid">
        <fgColor rgb="FF8E8E94"/>
      </patternFill>
    </fill>
  </fills>
  <borders count="7">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ck">
        <color rgb="FFE31E24"/>
      </left>
    </border>
  </borders>
  <cellStyleXfs count="1">
    <xf numFmtId="0" fontId="0" fillId="0" borderId="0"/>
  </cellStyleXfs>
  <cellXfs count="9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0" borderId="0" applyAlignment="1" pivotButton="0" quotePrefix="0" xfId="0">
      <alignment horizontal="left" vertical="center"/>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8" fillId="0" borderId="1" applyAlignment="1" pivotButton="0" quotePrefix="0" xfId="0">
      <alignment horizontal="center" vertical="center"/>
    </xf>
    <xf numFmtId="0" fontId="6" fillId="0" borderId="1" applyAlignment="1" pivotButton="0" quotePrefix="0" xfId="0">
      <alignment horizontal="left" vertical="center"/>
    </xf>
    <xf numFmtId="0" fontId="9" fillId="4" borderId="6" applyAlignment="1" pivotButton="0" quotePrefix="0" xfId="0">
      <alignment horizontal="left" vertical="center" wrapText="1"/>
    </xf>
    <xf numFmtId="0" fontId="10" fillId="0" borderId="0" applyAlignment="1" pivotButton="0" quotePrefix="0" xfId="0">
      <alignment horizontal="left" vertical="center"/>
    </xf>
    <xf numFmtId="0" fontId="7" fillId="0" borderId="0" applyAlignment="1" pivotButton="0" quotePrefix="0" xfId="0">
      <alignment horizontal="left" vertical="center" wrapText="1"/>
    </xf>
    <xf numFmtId="0" fontId="6" fillId="5" borderId="1" applyAlignment="1" pivotButton="0" quotePrefix="0" xfId="0">
      <alignment horizontal="center" vertical="center"/>
    </xf>
    <xf numFmtId="0" fontId="7" fillId="5" borderId="1" applyAlignment="1" pivotButton="0" quotePrefix="0" xfId="0">
      <alignment horizontal="center" vertical="center"/>
    </xf>
    <xf numFmtId="0" fontId="7"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7"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6" fillId="7" borderId="1" applyAlignment="1" pivotButton="0" quotePrefix="0" xfId="0">
      <alignment horizontal="center" vertical="center"/>
    </xf>
    <xf numFmtId="0" fontId="7" fillId="7" borderId="1" applyAlignment="1" pivotButton="0" quotePrefix="0" xfId="0">
      <alignment horizontal="center" vertical="center"/>
    </xf>
    <xf numFmtId="0" fontId="7" fillId="7" borderId="1" applyAlignment="1" pivotButton="0" quotePrefix="0" xfId="0">
      <alignment horizontal="left" vertical="center" wrapText="1"/>
    </xf>
    <xf numFmtId="0" fontId="11" fillId="7" borderId="1" applyAlignment="1" pivotButton="0" quotePrefix="0" xfId="0">
      <alignment horizontal="left" vertical="center" wrapText="1"/>
    </xf>
    <xf numFmtId="0" fontId="6" fillId="0" borderId="1" applyAlignment="1" pivotButton="0" quotePrefix="0" xfId="0">
      <alignment horizontal="center" vertical="center"/>
    </xf>
    <xf numFmtId="0" fontId="7" fillId="0" borderId="1" applyAlignment="1" pivotButton="0" quotePrefix="0" xfId="0">
      <alignment horizontal="center" vertical="center"/>
    </xf>
    <xf numFmtId="0" fontId="11" fillId="0" borderId="1" applyAlignment="1" pivotButton="0" quotePrefix="0" xfId="0">
      <alignment horizontal="left" vertical="center" wrapText="1"/>
    </xf>
    <xf numFmtId="0" fontId="12" fillId="7" borderId="0" applyAlignment="1" pivotButton="0" quotePrefix="0" xfId="0">
      <alignment horizontal="left" vertical="center"/>
    </xf>
    <xf numFmtId="0" fontId="13" fillId="8" borderId="0" applyAlignment="1" pivotButton="0" quotePrefix="0" xfId="0">
      <alignment horizontal="left" vertical="center"/>
    </xf>
    <xf numFmtId="0" fontId="12" fillId="0" borderId="0" applyAlignment="1" pivotButton="0" quotePrefix="0" xfId="0">
      <alignment horizontal="left" vertical="center"/>
    </xf>
    <xf numFmtId="0" fontId="3" fillId="9" borderId="0" applyAlignment="1" pivotButton="0" quotePrefix="0" xfId="0">
      <alignment horizontal="left" vertical="center"/>
    </xf>
    <xf numFmtId="0" fontId="10" fillId="10" borderId="0" applyAlignment="1" pivotButton="0" quotePrefix="0" xfId="0">
      <alignment horizontal="left" vertical="center" wrapText="1"/>
    </xf>
    <xf numFmtId="0" fontId="14" fillId="0" borderId="0" applyAlignment="1" pivotButton="0" quotePrefix="0" xfId="0">
      <alignment horizontal="center" vertical="center"/>
    </xf>
    <xf numFmtId="10" fontId="7" fillId="0" borderId="1" applyAlignment="1" pivotButton="0" quotePrefix="0" xfId="0">
      <alignment horizontal="right" vertical="center"/>
    </xf>
    <xf numFmtId="3" fontId="7" fillId="0" borderId="1" applyAlignment="1" pivotButton="0" quotePrefix="0" xfId="0">
      <alignment horizontal="right" vertical="center"/>
    </xf>
    <xf numFmtId="3" fontId="7" fillId="0" borderId="1" applyAlignment="1" pivotButton="0" quotePrefix="0" xfId="0">
      <alignment horizontal="center" vertical="center"/>
    </xf>
    <xf numFmtId="164" fontId="7" fillId="0" borderId="1" applyAlignment="1" pivotButton="0" quotePrefix="0" xfId="0">
      <alignment horizontal="right" vertical="center"/>
    </xf>
    <xf numFmtId="164" fontId="7" fillId="11" borderId="1" applyAlignment="1" pivotButton="0" quotePrefix="0" xfId="0">
      <alignment horizontal="right" vertical="center"/>
    </xf>
    <xf numFmtId="0" fontId="15" fillId="7" borderId="0" applyAlignment="1" pivotButton="0" quotePrefix="0" xfId="0">
      <alignment horizontal="left" vertical="center" wrapText="1"/>
    </xf>
    <xf numFmtId="164" fontId="7" fillId="10" borderId="1" applyAlignment="1" pivotButton="0" quotePrefix="0" xfId="0">
      <alignment horizontal="left" vertical="center"/>
    </xf>
    <xf numFmtId="4" fontId="7" fillId="0" borderId="1" applyAlignment="1" pivotButton="0" quotePrefix="0" xfId="0">
      <alignment horizontal="center" vertical="center"/>
    </xf>
    <xf numFmtId="165" fontId="7" fillId="11" borderId="1" applyAlignment="1" pivotButton="0" quotePrefix="0" xfId="0">
      <alignment horizontal="right" vertical="center"/>
    </xf>
    <xf numFmtId="165" fontId="6" fillId="11" borderId="1" applyAlignment="1" pivotButton="0" quotePrefix="0" xfId="0">
      <alignment horizontal="right" vertical="center"/>
    </xf>
    <xf numFmtId="0" fontId="16" fillId="12" borderId="0" applyAlignment="1" pivotButton="0" quotePrefix="0" xfId="0">
      <alignment horizontal="left" vertical="center" wrapText="1"/>
    </xf>
    <xf numFmtId="0" fontId="17" fillId="0" borderId="0" applyAlignment="1" pivotButton="0" quotePrefix="0" xfId="0">
      <alignment horizontal="left" vertical="center"/>
    </xf>
    <xf numFmtId="164" fontId="6" fillId="11" borderId="1" applyAlignment="1" pivotButton="0" quotePrefix="0" xfId="0">
      <alignment horizontal="right" vertical="center"/>
    </xf>
    <xf numFmtId="0" fontId="3" fillId="13" borderId="0" applyAlignment="1" pivotButton="0" quotePrefix="0" xfId="0">
      <alignment horizontal="left" vertical="center"/>
    </xf>
    <xf numFmtId="0" fontId="17" fillId="0" borderId="0" applyAlignment="1" pivotButton="0" quotePrefix="0" xfId="0">
      <alignment horizontal="left" vertical="center" wrapText="1"/>
    </xf>
    <xf numFmtId="4" fontId="7" fillId="0" borderId="1" applyAlignment="1" pivotButton="0" quotePrefix="0" xfId="0">
      <alignment horizontal="right" vertical="center"/>
    </xf>
    <xf numFmtId="4" fontId="7" fillId="11" borderId="1" applyAlignment="1" pivotButton="0" quotePrefix="0" xfId="0">
      <alignment horizontal="right" vertical="center"/>
    </xf>
    <xf numFmtId="166" fontId="7" fillId="11" borderId="1" applyAlignment="1" pivotButton="0" quotePrefix="0" xfId="0">
      <alignment horizontal="right" vertical="center"/>
    </xf>
    <xf numFmtId="4" fontId="6" fillId="11" borderId="1" applyAlignment="1" pivotButton="0" quotePrefix="0" xfId="0">
      <alignment horizontal="right" vertical="center"/>
    </xf>
    <xf numFmtId="166" fontId="6" fillId="11" borderId="1" applyAlignment="1" pivotButton="0" quotePrefix="0" xfId="0">
      <alignment horizontal="right" vertical="center"/>
    </xf>
    <xf numFmtId="165" fontId="7" fillId="0" borderId="1" applyAlignment="1" pivotButton="0" quotePrefix="0" xfId="0">
      <alignment horizontal="right" vertical="center"/>
    </xf>
    <xf numFmtId="165" fontId="7" fillId="10" borderId="1" applyAlignment="1" pivotButton="0" quotePrefix="0" xfId="0">
      <alignment horizontal="left" vertical="center"/>
    </xf>
    <xf numFmtId="3" fontId="6" fillId="11" borderId="1" applyAlignment="1" pivotButton="0" quotePrefix="0" xfId="0">
      <alignment horizontal="right" vertical="center"/>
    </xf>
    <xf numFmtId="3" fontId="7" fillId="11" borderId="1" applyAlignment="1" pivotButton="0" quotePrefix="0" xfId="0">
      <alignment horizontal="right" vertical="center"/>
    </xf>
    <xf numFmtId="167" fontId="7" fillId="11" borderId="1" applyAlignment="1" pivotButton="0" quotePrefix="0" xfId="0">
      <alignment horizontal="right" vertical="center"/>
    </xf>
    <xf numFmtId="0" fontId="7" fillId="11" borderId="1" applyAlignment="1" pivotButton="0" quotePrefix="0" xfId="0">
      <alignment horizontal="right" vertical="center"/>
    </xf>
    <xf numFmtId="167" fontId="6" fillId="11" borderId="1" applyAlignment="1" pivotButton="0" quotePrefix="0" xfId="0">
      <alignment horizontal="right" vertical="center"/>
    </xf>
    <xf numFmtId="3" fontId="7" fillId="10" borderId="1" applyAlignment="1" pivotButton="0" quotePrefix="0" xfId="0">
      <alignment horizontal="left" vertical="center"/>
    </xf>
    <xf numFmtId="0" fontId="6" fillId="11" borderId="1" applyAlignment="1" pivotButton="0" quotePrefix="0" xfId="0">
      <alignment horizontal="right" vertical="center"/>
    </xf>
    <xf numFmtId="4" fontId="7" fillId="10" borderId="1" applyAlignment="1" pivotButton="0" quotePrefix="0" xfId="0">
      <alignment horizontal="left" vertical="center"/>
    </xf>
    <xf numFmtId="166" fontId="7" fillId="0" borderId="1" applyAlignment="1" pivotButton="0" quotePrefix="0" xfId="0">
      <alignment horizontal="right" vertical="center"/>
    </xf>
    <xf numFmtId="0" fontId="7" fillId="0" borderId="1" applyAlignment="1" pivotButton="0" quotePrefix="0" xfId="0">
      <alignment horizontal="left" vertical="center"/>
    </xf>
    <xf numFmtId="0" fontId="18" fillId="0" borderId="0" applyAlignment="1" pivotButton="0" quotePrefix="0" xfId="0">
      <alignment horizontal="left" vertical="center"/>
    </xf>
    <xf numFmtId="0" fontId="10"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19" fillId="11" borderId="1" applyAlignment="1" pivotButton="0" quotePrefix="0" xfId="0">
      <alignment horizontal="left" vertical="center" wrapText="1"/>
    </xf>
    <xf numFmtId="0" fontId="19" fillId="6" borderId="1" applyAlignment="1" pivotButton="0" quotePrefix="0" xfId="0">
      <alignment horizontal="left" vertical="center" wrapText="1"/>
    </xf>
    <xf numFmtId="0" fontId="3" fillId="14" borderId="0" applyAlignment="1" pivotButton="0" quotePrefix="0" xfId="0">
      <alignment horizontal="left" vertical="center"/>
    </xf>
    <xf numFmtId="0" fontId="20" fillId="0" borderId="1" applyAlignment="1" pivotButton="0" quotePrefix="0" xfId="0">
      <alignment horizontal="center" vertical="center"/>
    </xf>
    <xf numFmtId="0" fontId="19" fillId="10" borderId="1" applyAlignment="1" pivotButton="0" quotePrefix="0" xfId="0">
      <alignment horizontal="left" vertical="center" wrapText="1"/>
    </xf>
    <xf numFmtId="0" fontId="11" fillId="0" borderId="1" applyAlignment="1" pivotButton="0" quotePrefix="0" xfId="0">
      <alignment horizontal="center" vertical="center" wrapText="1"/>
    </xf>
    <xf numFmtId="0" fontId="20" fillId="5" borderId="1" applyAlignment="1" pivotButton="0" quotePrefix="0" xfId="0">
      <alignment horizontal="center" vertical="center"/>
    </xf>
    <xf numFmtId="0" fontId="6" fillId="5" borderId="1" applyAlignment="1" pivotButton="0" quotePrefix="0" xfId="0">
      <alignment horizontal="left" vertical="center" wrapText="1"/>
    </xf>
    <xf numFmtId="0" fontId="19" fillId="5" borderId="1" applyAlignment="1" pivotButton="0" quotePrefix="0" xfId="0">
      <alignment horizontal="left" vertical="center" wrapText="1"/>
    </xf>
    <xf numFmtId="0" fontId="11" fillId="5" borderId="1" applyAlignment="1" pivotButton="0" quotePrefix="0" xfId="0">
      <alignment horizontal="center" vertical="center" wrapText="1"/>
    </xf>
    <xf numFmtId="0" fontId="20" fillId="6" borderId="1" applyAlignment="1" pivotButton="0" quotePrefix="0" xfId="0">
      <alignment horizontal="center" vertical="center"/>
    </xf>
    <xf numFmtId="0" fontId="6"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20" fillId="7" borderId="1" applyAlignment="1" pivotButton="0" quotePrefix="0" xfId="0">
      <alignment horizontal="center" vertical="center"/>
    </xf>
    <xf numFmtId="0" fontId="6" fillId="7" borderId="1" applyAlignment="1" pivotButton="0" quotePrefix="0" xfId="0">
      <alignment horizontal="left" vertical="center" wrapText="1"/>
    </xf>
    <xf numFmtId="0" fontId="19" fillId="7" borderId="1" applyAlignment="1" pivotButton="0" quotePrefix="0" xfId="0">
      <alignment horizontal="left" vertical="center" wrapText="1"/>
    </xf>
    <xf numFmtId="0" fontId="11" fillId="7" borderId="1" applyAlignment="1" pivotButton="0" quotePrefix="0" xfId="0">
      <alignment horizontal="center" vertical="center" wrapText="1"/>
    </xf>
    <xf numFmtId="0" fontId="21" fillId="0" borderId="0" applyAlignment="1" pivotButton="0" quotePrefix="0" xfId="0">
      <alignment horizontal="left" vertical="center"/>
    </xf>
    <xf numFmtId="0" fontId="8"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png" Id="rId4"/><Relationship Type="http://schemas.openxmlformats.org/officeDocument/2006/relationships/image" Target="/xl/media/image7.png" Id="rId5"/><Relationship Type="http://schemas.openxmlformats.org/officeDocument/2006/relationships/image" Target="/xl/media/image8.png" Id="rId6"/><Relationship Type="http://schemas.openxmlformats.org/officeDocument/2006/relationships/image" Target="/xl/media/image9.png" Id="rId7"/><Relationship Type="http://schemas.openxmlformats.org/officeDocument/2006/relationships/image" Target="/xl/media/image10.png" Id="rId8"/><Relationship Type="http://schemas.openxmlformats.org/officeDocument/2006/relationships/image" Target="/xl/media/image11.png" Id="rId9"/><Relationship Type="http://schemas.openxmlformats.org/officeDocument/2006/relationships/image" Target="/xl/media/image12.png" Id="rId10"/><Relationship Type="http://schemas.openxmlformats.org/officeDocument/2006/relationships/image" Target="/xl/media/image13.png" Id="rId11"/><Relationship Type="http://schemas.openxmlformats.org/officeDocument/2006/relationships/image" Target="/xl/media/image14.png" Id="rId12"/><Relationship Type="http://schemas.openxmlformats.org/officeDocument/2006/relationships/image" Target="/xl/media/image15.png" Id="rId13"/><Relationship Type="http://schemas.openxmlformats.org/officeDocument/2006/relationships/image" Target="/xl/media/image16.png" Id="rId14"/><Relationship Type="http://schemas.openxmlformats.org/officeDocument/2006/relationships/image" Target="/xl/media/image17.png" Id="rId15"/><Relationship Type="http://schemas.openxmlformats.org/officeDocument/2006/relationships/image" Target="/xl/media/image18.png" Id="rId16"/><Relationship Type="http://schemas.openxmlformats.org/officeDocument/2006/relationships/image" Target="/xl/media/image19.png" Id="rId17"/></Relationships>
</file>

<file path=xl/drawings/_rels/drawing3.xml.rels><Relationships xmlns="http://schemas.openxmlformats.org/package/2006/relationships"><Relationship Type="http://schemas.openxmlformats.org/officeDocument/2006/relationships/image" Target="/xl/media/image20.png" Id="rId1"/><Relationship Type="http://schemas.openxmlformats.org/officeDocument/2006/relationships/image" Target="/xl/media/image21.png"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 Type="http://schemas.openxmlformats.org/officeDocument/2006/relationships/image" Target="/xl/media/image25.png" Id="rId6"/><Relationship Type="http://schemas.openxmlformats.org/officeDocument/2006/relationships/image" Target="/xl/media/image26.png" Id="rId7"/><Relationship Type="http://schemas.openxmlformats.org/officeDocument/2006/relationships/image" Target="/xl/media/image27.png" Id="rId8"/><Relationship Type="http://schemas.openxmlformats.org/officeDocument/2006/relationships/image" Target="/xl/media/image28.png" Id="rId9"/><Relationship Type="http://schemas.openxmlformats.org/officeDocument/2006/relationships/image" Target="/xl/media/image29.png" Id="rId10"/><Relationship Type="http://schemas.openxmlformats.org/officeDocument/2006/relationships/image" Target="/xl/media/image30.png" Id="rId11"/><Relationship Type="http://schemas.openxmlformats.org/officeDocument/2006/relationships/image" Target="/xl/media/image31.png" Id="rId12"/><Relationship Type="http://schemas.openxmlformats.org/officeDocument/2006/relationships/image" Target="/xl/media/image32.png" Id="rId13"/><Relationship Type="http://schemas.openxmlformats.org/officeDocument/2006/relationships/image" Target="/xl/media/image33.png" Id="rId14"/><Relationship Type="http://schemas.openxmlformats.org/officeDocument/2006/relationships/image" Target="/xl/media/image34.png" Id="rId15"/><Relationship Type="http://schemas.openxmlformats.org/officeDocument/2006/relationships/image" Target="/xl/media/image35.png" Id="rId16"/><Relationship Type="http://schemas.openxmlformats.org/officeDocument/2006/relationships/image" Target="/xl/media/image36.png" Id="rId17"/></Relationships>
</file>

<file path=xl/drawings/drawing1.xml><?xml version="1.0" encoding="utf-8"?>
<wsDr xmlns="http://schemas.openxmlformats.org/drawingml/2006/spreadsheetDrawing">
  <oneCellAnchor>
    <from>
      <col>5</col>
      <colOff>0</colOff>
      <row>0</row>
      <rowOff>0</rowOff>
    </from>
    <ext cx="1095375"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32</row>
      <rowOff>0</rowOff>
    </from>
    <ext cx="3429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10</col>
      <colOff>0</colOff>
      <row>0</row>
      <rowOff>0</rowOff>
    </from>
    <ext cx="962025"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8</row>
      <rowOff>0</rowOff>
    </from>
    <ext cx="3429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78</row>
      <rowOff>0</rowOff>
    </from>
    <ext cx="361950" cy="6858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134</row>
      <rowOff>0</rowOff>
    </from>
    <ext cx="314325" cy="685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218</row>
      <rowOff>0</rowOff>
    </from>
    <ext cx="438150" cy="6858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260</row>
      <rowOff>0</rowOff>
    </from>
    <ext cx="342900" cy="685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342</row>
      <rowOff>0</rowOff>
    </from>
    <ext cx="361950" cy="6858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396</row>
      <rowOff>0</rowOff>
    </from>
    <ext cx="314325" cy="6858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432</row>
      <rowOff>0</rowOff>
    </from>
    <ext cx="561975" cy="6858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492</row>
      <rowOff>0</rowOff>
    </from>
    <ext cx="438150" cy="6858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576</row>
      <rowOff>0</rowOff>
    </from>
    <ext cx="342900" cy="6858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612</row>
      <rowOff>0</rowOff>
    </from>
    <ext cx="361950" cy="6858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648</row>
      <rowOff>0</rowOff>
    </from>
    <ext cx="314325" cy="6858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706</row>
      <rowOff>0</rowOff>
    </from>
    <ext cx="561975" cy="6858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762</row>
      <rowOff>0</rowOff>
    </from>
    <ext cx="438150" cy="6858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814</row>
      <rowOff>0</rowOff>
    </from>
    <ext cx="342900" cy="6858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872</row>
      <rowOff>0</rowOff>
    </from>
    <ext cx="361950" cy="6858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10</col>
      <colOff>0</colOff>
      <row>0</row>
      <rowOff>0</rowOff>
    </from>
    <ext cx="962025"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33</row>
      <rowOff>0</rowOff>
    </from>
    <ext cx="3429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70</row>
      <rowOff>0</rowOff>
    </from>
    <ext cx="361950" cy="6858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101</row>
      <rowOff>0</rowOff>
    </from>
    <ext cx="314325" cy="685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145</row>
      <rowOff>0</rowOff>
    </from>
    <ext cx="438150" cy="6858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169</row>
      <rowOff>0</rowOff>
    </from>
    <ext cx="342900" cy="685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213</row>
      <rowOff>0</rowOff>
    </from>
    <ext cx="361950" cy="6858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243</row>
      <rowOff>0</rowOff>
    </from>
    <ext cx="314325" cy="6858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264</row>
      <rowOff>0</rowOff>
    </from>
    <ext cx="561975" cy="6858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297</row>
      <rowOff>0</rowOff>
    </from>
    <ext cx="438150" cy="6858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342</row>
      <rowOff>0</rowOff>
    </from>
    <ext cx="342900" cy="6858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363</row>
      <rowOff>0</rowOff>
    </from>
    <ext cx="361950" cy="6858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384</row>
      <rowOff>0</rowOff>
    </from>
    <ext cx="314325" cy="6858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416</row>
      <rowOff>0</rowOff>
    </from>
    <ext cx="561975" cy="6858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447</row>
      <rowOff>0</rowOff>
    </from>
    <ext cx="438150" cy="6858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476</row>
      <rowOff>0</rowOff>
    </from>
    <ext cx="342900" cy="6858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508</row>
      <rowOff>0</rowOff>
    </from>
    <ext cx="361950" cy="6858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505050"/>
    <outlinePr summaryBelow="1" summaryRight="1"/>
    <pageSetUpPr fitToPage="1"/>
  </sheetPr>
  <dimension ref="A1:I70"/>
  <sheetViews>
    <sheetView showGridLines="0" workbookViewId="0">
      <selection activeCell="A1" sqref="A1"/>
    </sheetView>
  </sheetViews>
  <sheetFormatPr baseColWidth="8" defaultRowHeight="15"/>
  <cols>
    <col width="4" customWidth="1" min="1" max="1"/>
    <col width="26" customWidth="1" min="2" max="2"/>
    <col width="12" customWidth="1" min="3" max="3"/>
    <col width="14" customWidth="1" min="4" max="4"/>
    <col width="58" customWidth="1" min="5" max="5"/>
    <col width="34" customWidth="1" min="6" max="6"/>
    <col width="46" customWidth="1" min="7" max="7"/>
  </cols>
  <sheetData>
    <row r="1">
      <c r="A1" s="1" t="inlineStr">
        <is>
          <t>🧭 GUÍA DEL ARCHIVO · ANÁLISIS DE COSTOS Y PRESUPUESTOS</t>
        </is>
      </c>
    </row>
    <row r="2">
      <c r="A2" s="2" t="inlineStr">
        <is>
          <t>Marketing III · 2026-II · Proyecto final: Antojitos de Arequipa y Café y Vino Wine Bar</t>
        </is>
      </c>
    </row>
    <row r="3">
      <c r="A3" s="2" t="inlineStr">
        <is>
          <t>Docente: Mamani Roque, Eduardo Luis</t>
        </is>
      </c>
    </row>
    <row r="5" ht="22" customHeight="1">
      <c r="A5" s="3" t="inlineStr">
        <is>
          <t>📌 HOY ES MARTES 27 DE OCTUBRE · SEMANA 11. La semana pasada no se avanzó, así que hoy se recupera la semana 10 y se avanza la semana 11.</t>
        </is>
      </c>
    </row>
    <row r="7">
      <c r="A7" s="4" t="inlineStr">
        <is>
          <t>1) ¿QUÉ HAY EN CADA HOJA?</t>
        </is>
      </c>
    </row>
    <row r="9" ht="30" customHeight="1">
      <c r="B9" s="5" t="inlineStr">
        <is>
          <t>Hoja</t>
        </is>
      </c>
      <c r="C9" s="5" t="inlineStr">
        <is>
          <t>Para qué sirve</t>
        </is>
      </c>
      <c r="D9" s="5" t="inlineStr">
        <is>
          <t>¿Está resuelta?</t>
        </is>
      </c>
    </row>
    <row r="10" ht="42" customHeight="1">
      <c r="B10" s="6" t="inlineStr">
        <is>
          <t>1 · GUÍA Y SEMANAS</t>
        </is>
      </c>
      <c r="C10" s="7" t="inlineStr">
        <is>
          <t>Esta hoja. El mapa del archivo y el calendario de las semanas 9 a 16.</t>
        </is>
      </c>
      <c r="D10" s="8" t="n"/>
      <c r="E10" s="9" t="n"/>
      <c r="F10" s="7" t="inlineStr">
        <is>
          <t>—</t>
        </is>
      </c>
      <c r="G10" s="9" t="n"/>
    </row>
    <row r="11" ht="42" customHeight="1">
      <c r="B11" s="6" t="inlineStr">
        <is>
          <t>2 · CASOS S9-S16</t>
        </is>
      </c>
      <c r="C11" s="7" t="inlineStr">
        <is>
          <t>TODOS los casos de las semanas 9 a 16, en una sola hoja, para las dos empresas del curso. Es la hoja de trabajo.</t>
        </is>
      </c>
      <c r="D11" s="8" t="n"/>
      <c r="E11" s="9" t="n"/>
      <c r="F11" s="7" t="inlineStr">
        <is>
          <t>No. Usted completa las celdas amarillas. La columna 🎯 le dice el resultado esperado.</t>
        </is>
      </c>
      <c r="G11" s="9" t="n"/>
    </row>
    <row r="12" ht="42" customHeight="1">
      <c r="B12" s="6" t="inlineStr">
        <is>
          <t>3 · AYUDAS</t>
        </is>
      </c>
      <c r="C12" s="7" t="inlineStr">
        <is>
          <t>La receta de cada sesión (qué se pide, la fórmula en palabras, la fórmula de Excel y el error típico) y la empresa ejemplo Heladería Brisa Polar para practicar.</t>
        </is>
      </c>
      <c r="D12" s="8" t="n"/>
      <c r="E12" s="9" t="n"/>
      <c r="F12" s="7" t="inlineStr">
        <is>
          <t>No, y a propósito: la empresa ejemplo está vacía para que la resuelva usted.</t>
        </is>
      </c>
      <c r="G12" s="9" t="n"/>
    </row>
    <row r="13" ht="42" customHeight="1">
      <c r="B13" s="6" t="inlineStr">
        <is>
          <t>4 · QUÉ VA EN EL INFORME</t>
        </is>
      </c>
      <c r="C13" s="7" t="inlineStr">
        <is>
          <t>Tabla por tabla: qué número de tabla del Word, en qué punto va, qué columnas debe tener y de qué semana sale cada dato.</t>
        </is>
      </c>
      <c r="D13" s="8" t="n"/>
      <c r="E13" s="9" t="n"/>
      <c r="F13" s="7" t="inlineStr">
        <is>
          <t>—</t>
        </is>
      </c>
      <c r="G13" s="9" t="n"/>
    </row>
    <row r="16">
      <c r="A16" s="4" t="inlineStr">
        <is>
          <t>2) CÓMO SE LEEN LOS COLORES Y LOS STICKERS</t>
        </is>
      </c>
    </row>
    <row r="18" ht="30" customHeight="1">
      <c r="B18" s="5" t="inlineStr">
        <is>
          <t>Sticker</t>
        </is>
      </c>
      <c r="C18" s="5" t="inlineStr">
        <is>
          <t>Qué es</t>
        </is>
      </c>
      <c r="D18" s="5" t="inlineStr">
        <is>
          <t>Qué debe hacer</t>
        </is>
      </c>
    </row>
    <row r="19" ht="20" customHeight="1">
      <c r="B19" s="10" t="inlineStr">
        <is>
          <t>🟡</t>
        </is>
      </c>
      <c r="C19" s="11" t="inlineStr">
        <is>
          <t>Celda AMARILLA</t>
        </is>
      </c>
      <c r="D19" s="9" t="n"/>
      <c r="E19" s="7" t="inlineStr">
        <is>
          <t>Aquí usted escribe la fórmula. Es lo único que debe tocar.</t>
        </is>
      </c>
      <c r="F19" s="8" t="n"/>
      <c r="G19" s="9" t="n"/>
    </row>
    <row r="20" ht="20" customHeight="1">
      <c r="B20" s="10" t="inlineStr">
        <is>
          <t>⬜</t>
        </is>
      </c>
      <c r="C20" s="11" t="inlineStr">
        <is>
          <t>Celda BLANCA</t>
        </is>
      </c>
      <c r="D20" s="9" t="n"/>
      <c r="E20" s="7" t="inlineStr">
        <is>
          <t>Dato del caso. No la toque ni la borre.</t>
        </is>
      </c>
      <c r="F20" s="8" t="n"/>
      <c r="G20" s="9" t="n"/>
    </row>
    <row r="21" ht="20" customHeight="1">
      <c r="B21" s="10" t="inlineStr">
        <is>
          <t>🔵</t>
        </is>
      </c>
      <c r="C21" s="11" t="inlineStr">
        <is>
          <t>Celda CELESTE</t>
        </is>
      </c>
      <c r="D21" s="9" t="n"/>
      <c r="E21" s="7" t="inlineStr">
        <is>
          <t>Ya viene enlazada de otra sesión. Si cambia algo arriba, se actualiza sola.</t>
        </is>
      </c>
      <c r="F21" s="8" t="n"/>
      <c r="G21" s="9" t="n"/>
    </row>
    <row r="22" ht="20" customHeight="1">
      <c r="B22" s="10" t="inlineStr">
        <is>
          <t>🧑‍🏫</t>
        </is>
      </c>
      <c r="C22" s="11" t="inlineStr">
        <is>
          <t>Personaje de TJ</t>
        </is>
      </c>
      <c r="D22" s="9" t="n"/>
      <c r="E22" s="7" t="inlineStr">
        <is>
          <t>El consejo de esa sesión: el error que se comete casi siempre. Léalo antes de empezar.</t>
        </is>
      </c>
      <c r="F22" s="8" t="n"/>
      <c r="G22" s="9" t="n"/>
    </row>
    <row r="23" ht="20" customHeight="1">
      <c r="B23" s="10" t="inlineStr">
        <is>
          <t>💡</t>
        </is>
      </c>
      <c r="C23" s="11" t="inlineStr">
        <is>
          <t>Columna M</t>
        </is>
      </c>
      <c r="D23" s="9" t="n"/>
      <c r="E23" s="7" t="inlineStr">
        <is>
          <t>La fórmula exacta que debe escribir, lista para copiar.</t>
        </is>
      </c>
      <c r="F23" s="8" t="n"/>
      <c r="G23" s="9" t="n"/>
    </row>
    <row r="24" ht="20" customHeight="1">
      <c r="B24" s="10" t="inlineStr">
        <is>
          <t>🎯</t>
        </is>
      </c>
      <c r="C24" s="11" t="inlineStr">
        <is>
          <t>Columna N</t>
        </is>
      </c>
      <c r="D24" s="9" t="n"/>
      <c r="E24" s="7" t="inlineStr">
        <is>
          <t>El resultado que debe salir. Si no le sale, revise la fórmula.</t>
        </is>
      </c>
      <c r="F24" s="8" t="n"/>
      <c r="G24" s="9" t="n"/>
    </row>
    <row r="25" ht="20" customHeight="1">
      <c r="B25" s="10" t="inlineStr">
        <is>
          <t>📄</t>
        </is>
      </c>
      <c r="C25" s="11" t="inlineStr">
        <is>
          <t>Franja celeste</t>
        </is>
      </c>
      <c r="D25" s="9" t="n"/>
      <c r="E25" s="7" t="inlineStr">
        <is>
          <t>Dice en qué TABLA y en qué PUNTO del informe en Word va ese resultado.</t>
        </is>
      </c>
      <c r="F25" s="8" t="n"/>
      <c r="G25" s="9" t="n"/>
    </row>
    <row r="26" ht="20" customHeight="1">
      <c r="B26" s="10" t="inlineStr">
        <is>
          <t>📘</t>
        </is>
      </c>
      <c r="C26" s="11" t="inlineStr">
        <is>
          <t>Enunciado</t>
        </is>
      </c>
      <c r="D26" s="9" t="n"/>
      <c r="E26" s="7" t="inlineStr">
        <is>
          <t>Lo que pide la empresa en esa sesión.</t>
        </is>
      </c>
      <c r="F26" s="8" t="n"/>
      <c r="G26" s="9" t="n"/>
    </row>
    <row r="27" ht="20" customHeight="1">
      <c r="B27" s="10" t="inlineStr">
        <is>
          <t>⚠️</t>
        </is>
      </c>
      <c r="C27" s="11" t="inlineStr">
        <is>
          <t>Aviso</t>
        </is>
      </c>
      <c r="D27" s="9" t="n"/>
      <c r="E27" s="7" t="inlineStr">
        <is>
          <t>Error que se comete casi siempre. Léalo.</t>
        </is>
      </c>
      <c r="F27" s="8" t="n"/>
      <c r="G27" s="9" t="n"/>
    </row>
    <row r="28" ht="20" customHeight="1">
      <c r="B28" s="10" t="inlineStr">
        <is>
          <t>✍️</t>
        </is>
      </c>
      <c r="C28" s="11" t="inlineStr">
        <is>
          <t>Para escribir</t>
        </is>
      </c>
      <c r="D28" s="9" t="n"/>
      <c r="E28" s="7" t="inlineStr">
        <is>
          <t>Párrafo que hay que redactar en el informe debajo de la tabla.</t>
        </is>
      </c>
      <c r="F28" s="8" t="n"/>
      <c r="G28" s="9" t="n"/>
    </row>
    <row r="31">
      <c r="A31" s="4" t="inlineStr">
        <is>
          <t>3) CÓMO TRABAJAR (6 pasos)</t>
        </is>
      </c>
    </row>
    <row r="33" ht="84" customHeight="1">
      <c r="C33" s="12" t="inlineStr">
        <is>
          <t>En cada semana de la hoja 2 encontrará a uno de nosotros con el consejo de esa sesión: es el error que se comete casi siempre. Léalo antes de empezar.</t>
        </is>
      </c>
    </row>
    <row r="35" ht="16" customHeight="1">
      <c r="B35" s="13" t="inlineStr">
        <is>
          <t>PASO 1</t>
        </is>
      </c>
      <c r="C35" s="14" t="inlineStr">
        <is>
          <t>Abra la hoja «2 · CASOS S9-S16». Es UNA sola hoja: todas las semanas, una debajo de la otra.</t>
        </is>
      </c>
    </row>
    <row r="36" ht="26" customHeight="1">
      <c r="B36" s="13" t="inlineStr">
        <is>
          <t>PASO 2</t>
        </is>
      </c>
      <c r="C36" s="14" t="inlineStr">
        <is>
          <t>Busque la franja azul oscuro de su semana. Debajo están siempre las DOS empresas: 🍪 Antojitos de Arequipa y ☕ Café y Vino Wine Bar. Trabaje la que le tocó.</t>
        </is>
      </c>
    </row>
    <row r="37" ht="26" customHeight="1">
      <c r="B37" s="13" t="inlineStr">
        <is>
          <t>PASO 3</t>
        </is>
      </c>
      <c r="C37" s="14" t="inlineStr">
        <is>
          <t>Complete solo las celdas amarillas. La columna 💡 (M) tiene la fórmula; la columna 🎯 (N) tiene el resultado que debe salir.</t>
        </is>
      </c>
    </row>
    <row r="38" ht="26" customHeight="1">
      <c r="B38" s="13" t="inlineStr">
        <is>
          <t>PASO 4</t>
        </is>
      </c>
      <c r="C38" s="14" t="inlineStr">
        <is>
          <t>Si no le sale el número de la columna 🎯, vaya a la hoja «3 · AYUDAS» y lea la receta de esa sesión y el error típico.</t>
        </is>
      </c>
    </row>
    <row r="39" ht="26" customHeight="1">
      <c r="B39" s="13" t="inlineStr">
        <is>
          <t>PASO 5</t>
        </is>
      </c>
      <c r="C39" s="14" t="inlineStr">
        <is>
          <t>Cuando el bloque esté completo, lea la franja 📄 y pase el resultado a la tabla del informe que indica. La hoja «4 · QUÉ VA EN EL INFORME» dice exactamente qué tabla y qué columnas.</t>
        </is>
      </c>
    </row>
    <row r="40" ht="26" customHeight="1">
      <c r="B40" s="13" t="inlineStr">
        <is>
          <t>PASO 6</t>
        </is>
      </c>
      <c r="C40" s="14" t="inlineStr">
        <is>
          <t>Practique con la empresa ejemplo (Heladería Brisa Polar) en la hoja «3 · AYUDAS»: está sin resolver a propósito, para que la haga usted.</t>
        </is>
      </c>
    </row>
    <row r="43">
      <c r="A43" s="4" t="inlineStr">
        <is>
          <t>4) CALENDARIO DE LAS SEMANAS 9 A 16 · ¿QUÉ TOCA EN CADA SESIÓN?</t>
        </is>
      </c>
    </row>
    <row r="45" ht="30" customHeight="1">
      <c r="B45" s="5" t="inlineStr">
        <is>
          <t>Semana</t>
        </is>
      </c>
      <c r="C45" s="5" t="inlineStr">
        <is>
          <t>Sesión</t>
        </is>
      </c>
      <c r="D45" s="5" t="inlineStr">
        <is>
          <t>Fecha</t>
        </is>
      </c>
      <c r="E45" s="5" t="inlineStr">
        <is>
          <t>Tema de la sesión</t>
        </is>
      </c>
      <c r="F45" s="5" t="inlineStr">
        <is>
          <t>Va en el informe</t>
        </is>
      </c>
      <c r="G45" s="5" t="inlineStr">
        <is>
          <t>Estado</t>
        </is>
      </c>
    </row>
    <row r="46" ht="32" customHeight="1">
      <c r="B46" s="15" t="inlineStr">
        <is>
          <t>SEMANA 9</t>
        </is>
      </c>
      <c r="C46" s="16" t="inlineStr">
        <is>
          <t>Sesión 1</t>
        </is>
      </c>
      <c r="D46" s="16" t="inlineStr">
        <is>
          <t>Mar 13-oct</t>
        </is>
      </c>
      <c r="E46" s="17" t="inlineStr">
        <is>
          <t>Mano de obra directa (MOD) por unidad</t>
        </is>
      </c>
      <c r="F46" s="17" t="inlineStr">
        <is>
          <t>Tabla 6 · punto 4.2.2</t>
        </is>
      </c>
      <c r="G46" s="18" t="inlineStr">
        <is>
          <t>✅ YA AVANZADO · lo trabajaron en la semana 9. Solo verifiquen que esté completo.</t>
        </is>
      </c>
    </row>
    <row r="47" ht="32" customHeight="1">
      <c r="B47" s="19" t="inlineStr">
        <is>
          <t>SEMANA 9</t>
        </is>
      </c>
      <c r="C47" s="20" t="inlineStr">
        <is>
          <t>Sesión 2</t>
        </is>
      </c>
      <c r="D47" s="20" t="inlineStr">
        <is>
          <t>Jue 15-oct</t>
        </is>
      </c>
      <c r="E47" s="21" t="inlineStr">
        <is>
          <t>Costos indirectos de fabricación (CIF) y su asignación</t>
        </is>
      </c>
      <c r="F47" s="21" t="inlineStr">
        <is>
          <t>Tablas 7 y 8 · punto 4.2.3</t>
        </is>
      </c>
      <c r="G47" s="22" t="inlineStr">
        <is>
          <t>🔴 PENDIENTE · se recupera HOY (martes 27-oct).</t>
        </is>
      </c>
    </row>
    <row r="48" ht="32" customHeight="1">
      <c r="B48" s="19" t="inlineStr">
        <is>
          <t>SEMANA 10</t>
        </is>
      </c>
      <c r="C48" s="20" t="inlineStr">
        <is>
          <t>Sesión 1</t>
        </is>
      </c>
      <c r="D48" s="20" t="inlineStr">
        <is>
          <t>Mar 20-oct</t>
        </is>
      </c>
      <c r="E48" s="21" t="inlineStr">
        <is>
          <t>Costo unitario total y estructura de costos y gastos</t>
        </is>
      </c>
      <c r="F48" s="21" t="inlineStr">
        <is>
          <t>Tablas 1, 2 y 9 · puntos 4.1 y 4.2.4</t>
        </is>
      </c>
      <c r="G48" s="22" t="inlineStr">
        <is>
          <t>🔴 PENDIENTE · era la semana 10, se recupera HOY.</t>
        </is>
      </c>
    </row>
    <row r="49" ht="32" customHeight="1">
      <c r="B49" s="19" t="inlineStr">
        <is>
          <t>SEMANA 10</t>
        </is>
      </c>
      <c r="C49" s="20" t="inlineStr">
        <is>
          <t>Sesión 2</t>
        </is>
      </c>
      <c r="D49" s="20" t="inlineStr">
        <is>
          <t>Jue 22-oct</t>
        </is>
      </c>
      <c r="E49" s="21" t="inlineStr">
        <is>
          <t>Precio de venta y margen de contribución</t>
        </is>
      </c>
      <c r="F49" s="21" t="inlineStr">
        <is>
          <t>Tabla 10 · punto 4.2.5</t>
        </is>
      </c>
      <c r="G49" s="22" t="inlineStr">
        <is>
          <t>🔴 PENDIENTE · era la semana 10, se recupera HOY.</t>
        </is>
      </c>
    </row>
    <row r="50" ht="32" customHeight="1">
      <c r="B50" s="23" t="inlineStr">
        <is>
          <t>SEMANA 11</t>
        </is>
      </c>
      <c r="C50" s="24" t="inlineStr">
        <is>
          <t>Sesión 1</t>
        </is>
      </c>
      <c r="D50" s="24" t="inlineStr">
        <is>
          <t>Mar 27-oct</t>
        </is>
      </c>
      <c r="E50" s="25" t="inlineStr">
        <is>
          <t>Punto de equilibrio con margen de contribución ponderado</t>
        </is>
      </c>
      <c r="F50" s="25" t="inlineStr">
        <is>
          <t>Tabla 11 y Figura 1 · punto 4.2.6</t>
        </is>
      </c>
      <c r="G50" s="26" t="inlineStr">
        <is>
          <t>🟠 ES LA CLASE DE HOY · semana 11, sesión 1.</t>
        </is>
      </c>
    </row>
    <row r="51" ht="32" customHeight="1">
      <c r="B51" s="23" t="inlineStr">
        <is>
          <t>SEMANA 11</t>
        </is>
      </c>
      <c r="C51" s="24" t="inlineStr">
        <is>
          <t>Sesión 2</t>
        </is>
      </c>
      <c r="D51" s="24" t="inlineStr">
        <is>
          <t>Jue 29-oct</t>
        </is>
      </c>
      <c r="E51" s="25" t="inlineStr">
        <is>
          <t>Presupuesto de ventas en soles</t>
        </is>
      </c>
      <c r="F51" s="25" t="inlineStr">
        <is>
          <t>Tabla 13 · punto 4.4.1</t>
        </is>
      </c>
      <c r="G51" s="26" t="inlineStr">
        <is>
          <t>🟠 SEMANA 11, SESIÓN 2 · jueves 29-oct.</t>
        </is>
      </c>
    </row>
    <row r="52" ht="32" customHeight="1">
      <c r="B52" s="27" t="inlineStr">
        <is>
          <t>SEMANA 12</t>
        </is>
      </c>
      <c r="C52" s="28" t="inlineStr">
        <is>
          <t>Sesión 1</t>
        </is>
      </c>
      <c r="D52" s="28" t="inlineStr">
        <is>
          <t>Mar 3-nov</t>
        </is>
      </c>
      <c r="E52" s="7" t="inlineStr">
        <is>
          <t>Índice costo-beneficio (ICB) de las acciones de marketing</t>
        </is>
      </c>
      <c r="F52" s="7" t="inlineStr">
        <is>
          <t>Tabla 12 · punto 4.3</t>
        </is>
      </c>
      <c r="G52" s="29" t="inlineStr">
        <is>
          <t>⬜ SEMANA 12, SESIÓN 1.</t>
        </is>
      </c>
    </row>
    <row r="53" ht="32" customHeight="1">
      <c r="B53" s="27" t="inlineStr">
        <is>
          <t>SEMANA 12</t>
        </is>
      </c>
      <c r="C53" s="28" t="inlineStr">
        <is>
          <t>Sesión 2</t>
        </is>
      </c>
      <c r="D53" s="28" t="inlineStr">
        <is>
          <t>Jue 5-nov</t>
        </is>
      </c>
      <c r="E53" s="7" t="inlineStr">
        <is>
          <t>Estado de Resultados proyectado y capacidad financiera</t>
        </is>
      </c>
      <c r="F53" s="7" t="inlineStr">
        <is>
          <t>Tabla 17 · punto 4.4.3</t>
        </is>
      </c>
      <c r="G53" s="29" t="inlineStr">
        <is>
          <t>⬜ SEMANA 12, SESIÓN 2.</t>
        </is>
      </c>
    </row>
    <row r="54" ht="32" customHeight="1">
      <c r="B54" s="27" t="inlineStr">
        <is>
          <t>SEMANA 13</t>
        </is>
      </c>
      <c r="C54" s="28" t="inlineStr">
        <is>
          <t>Sesión 1</t>
        </is>
      </c>
      <c r="D54" s="28" t="inlineStr">
        <is>
          <t>Mar 10-nov</t>
        </is>
      </c>
      <c r="E54" s="7" t="inlineStr">
        <is>
          <t>Presupuesto y punto de equilibrio de la nueva línea</t>
        </is>
      </c>
      <c r="F54" s="7" t="inlineStr">
        <is>
          <t>Tablas 18 y 19 · puntos 4.4.4 y 7.7</t>
        </is>
      </c>
      <c r="G54" s="29" t="inlineStr">
        <is>
          <t>⬜ SEMANA 13, SESIÓN 1.</t>
        </is>
      </c>
    </row>
    <row r="55" ht="32" customHeight="1">
      <c r="B55" s="27" t="inlineStr">
        <is>
          <t>SEMANA 13</t>
        </is>
      </c>
      <c r="C55" s="28" t="inlineStr">
        <is>
          <t>Sesión 2</t>
        </is>
      </c>
      <c r="D55" s="28" t="inlineStr">
        <is>
          <t>Jue 12-nov</t>
        </is>
      </c>
      <c r="E55" s="7" t="inlineStr">
        <is>
          <t>Repaso integral: tablero de control del informe</t>
        </is>
      </c>
      <c r="F55" s="7" t="inlineStr">
        <is>
          <t>Revisión de las Tablas 1 a 19</t>
        </is>
      </c>
      <c r="G55" s="29" t="inlineStr">
        <is>
          <t>⬜ SEMANA 13, SESIÓN 2.</t>
        </is>
      </c>
    </row>
    <row r="56" ht="32" customHeight="1">
      <c r="B56" s="27" t="inlineStr">
        <is>
          <t>SEMANA 14</t>
        </is>
      </c>
      <c r="C56" s="28" t="inlineStr">
        <is>
          <t>Sesión 1</t>
        </is>
      </c>
      <c r="D56" s="28" t="inlineStr">
        <is>
          <t>Mar 17-nov</t>
        </is>
      </c>
      <c r="E56" s="7" t="inlineStr">
        <is>
          <t>Utilidad objetivo y sensibilidad del precio</t>
        </is>
      </c>
      <c r="F56" s="7" t="inlineStr">
        <is>
          <t>Refuerzo (no va en el informe)</t>
        </is>
      </c>
      <c r="G56" s="29" t="inlineStr">
        <is>
          <t>⬜ SEMANA 14, SESIÓN 1.</t>
        </is>
      </c>
    </row>
    <row r="57" ht="32" customHeight="1">
      <c r="B57" s="27" t="inlineStr">
        <is>
          <t>SEMANA 14</t>
        </is>
      </c>
      <c r="C57" s="28" t="inlineStr">
        <is>
          <t>Sesión 2</t>
        </is>
      </c>
      <c r="D57" s="28" t="inlineStr">
        <is>
          <t>Jue 19-nov</t>
        </is>
      </c>
      <c r="E57" s="7" t="inlineStr">
        <is>
          <t>Simulador presupuestario por escenarios</t>
        </is>
      </c>
      <c r="F57" s="7" t="inlineStr">
        <is>
          <t>Anexo A.1</t>
        </is>
      </c>
      <c r="G57" s="29" t="inlineStr">
        <is>
          <t>⬜ SEMANA 14, SESIÓN 2.</t>
        </is>
      </c>
    </row>
    <row r="58" ht="32" customHeight="1">
      <c r="B58" s="27" t="inlineStr">
        <is>
          <t>SEMANA 15</t>
        </is>
      </c>
      <c r="C58" s="28" t="inlineStr">
        <is>
          <t>Sesión 1</t>
        </is>
      </c>
      <c r="D58" s="28" t="inlineStr">
        <is>
          <t>Mar 24-nov</t>
        </is>
      </c>
      <c r="E58" s="7" t="inlineStr">
        <is>
          <t>Direccionamiento de CIF: primario, secundario y final</t>
        </is>
      </c>
      <c r="F58" s="7" t="inlineStr">
        <is>
          <t>Refuerzo del sílabo</t>
        </is>
      </c>
      <c r="G58" s="29" t="inlineStr">
        <is>
          <t>⬜ SEMANA 15, SESIÓN 1.</t>
        </is>
      </c>
    </row>
    <row r="59" ht="32" customHeight="1">
      <c r="B59" s="27" t="inlineStr">
        <is>
          <t>SEMANA 15</t>
        </is>
      </c>
      <c r="C59" s="28" t="inlineStr">
        <is>
          <t>Sesión 2</t>
        </is>
      </c>
      <c r="D59" s="28" t="inlineStr">
        <is>
          <t>Jue 26-nov</t>
        </is>
      </c>
      <c r="E59" s="7" t="inlineStr">
        <is>
          <t>Tasa predeterminada de CIF y sobre o subaplicación</t>
        </is>
      </c>
      <c r="F59" s="7" t="inlineStr">
        <is>
          <t>Refuerzo del sílabo</t>
        </is>
      </c>
      <c r="G59" s="29" t="inlineStr">
        <is>
          <t>⬜ SEMANA 15, SESIÓN 2.</t>
        </is>
      </c>
    </row>
    <row r="60" ht="32" customHeight="1">
      <c r="B60" s="27" t="inlineStr">
        <is>
          <t>SEMANA 16</t>
        </is>
      </c>
      <c r="C60" s="28" t="inlineStr">
        <is>
          <t>Sesión 1</t>
        </is>
      </c>
      <c r="D60" s="28" t="inlineStr">
        <is>
          <t>Mar 1-dic</t>
        </is>
      </c>
      <c r="E60" s="7" t="inlineStr">
        <is>
          <t>Costo meta de la nueva línea</t>
        </is>
      </c>
      <c r="F60" s="7" t="inlineStr">
        <is>
          <t>Refuerzo del sílabo</t>
        </is>
      </c>
      <c r="G60" s="29" t="inlineStr">
        <is>
          <t>⬜ SEMANA 16, SESIÓN 1.</t>
        </is>
      </c>
    </row>
    <row r="61" ht="32" customHeight="1">
      <c r="B61" s="27" t="inlineStr">
        <is>
          <t>SEMANA 16</t>
        </is>
      </c>
      <c r="C61" s="28" t="inlineStr">
        <is>
          <t>Sesión 2</t>
        </is>
      </c>
      <c r="D61" s="28" t="inlineStr">
        <is>
          <t>Jue 3-dic</t>
        </is>
      </c>
      <c r="E61" s="7" t="inlineStr">
        <is>
          <t>Decisiones de corto plazo: pedido especial y hacer o comprar</t>
        </is>
      </c>
      <c r="F61" s="7" t="inlineStr">
        <is>
          <t>Refuerzo del sílabo</t>
        </is>
      </c>
      <c r="G61" s="29" t="inlineStr">
        <is>
          <t>⬜ SEMANA 16, SESIÓN 2.</t>
        </is>
      </c>
    </row>
    <row r="64">
      <c r="A64" s="4" t="inlineStr">
        <is>
          <t>5) RECUERDE</t>
        </is>
      </c>
    </row>
    <row r="66" ht="16" customHeight="1">
      <c r="B66" s="14" t="inlineStr">
        <is>
          <t>•  Todas las cifras del informe van SIN IGV y en soles.</t>
        </is>
      </c>
    </row>
    <row r="67" ht="16" customHeight="1">
      <c r="B67" s="14" t="inlineStr">
        <is>
          <t>•  El Excel se entrega con las FÓRMULAS vivas (no pegue solo los números): va en el Anexo A.1.</t>
        </is>
      </c>
    </row>
    <row r="68" ht="26" customHeight="1">
      <c r="B68" s="14" t="inlineStr">
        <is>
          <t>•  Debajo de cada tabla del informe hay que escribir un párrafo de 3 a 5 líneas interpretando el resultado. La tabla sola no tiene puntaje completo.</t>
        </is>
      </c>
    </row>
    <row r="69" ht="16" customHeight="1">
      <c r="B69" s="14" t="inlineStr">
        <is>
          <t>•  Los recuadros grises «INDICACIONES» del Word se borran antes de entregar.</t>
        </is>
      </c>
    </row>
    <row r="70" ht="26" customHeight="1">
      <c r="B70" s="14" t="inlineStr">
        <is>
          <t>•  Si un número de una semana cambia, las semanas siguientes se recalculan solas: no hay que volver a escribir nada.</t>
        </is>
      </c>
    </row>
  </sheetData>
  <mergeCells count="41">
    <mergeCell ref="F11:G11"/>
    <mergeCell ref="E28:G28"/>
    <mergeCell ref="E19:G19"/>
    <mergeCell ref="C24:D24"/>
    <mergeCell ref="F10:G10"/>
    <mergeCell ref="B67:G67"/>
    <mergeCell ref="C26:D26"/>
    <mergeCell ref="C12:E12"/>
    <mergeCell ref="B69:G69"/>
    <mergeCell ref="C20:D20"/>
    <mergeCell ref="C35:G35"/>
    <mergeCell ref="C11:E11"/>
    <mergeCell ref="F12:G12"/>
    <mergeCell ref="E27:G27"/>
    <mergeCell ref="C25:D25"/>
    <mergeCell ref="E26:G26"/>
    <mergeCell ref="C22:D22"/>
    <mergeCell ref="C33:I33"/>
    <mergeCell ref="C40:G40"/>
    <mergeCell ref="B68:G68"/>
    <mergeCell ref="E25:G25"/>
    <mergeCell ref="C21:D21"/>
    <mergeCell ref="C13:E13"/>
    <mergeCell ref="E22:G22"/>
    <mergeCell ref="C27:D27"/>
    <mergeCell ref="C36:G36"/>
    <mergeCell ref="E21:G21"/>
    <mergeCell ref="F13:G13"/>
    <mergeCell ref="C39:G39"/>
    <mergeCell ref="C23:D23"/>
    <mergeCell ref="E24:G24"/>
    <mergeCell ref="B66:G66"/>
    <mergeCell ref="C38:G38"/>
    <mergeCell ref="E23:G23"/>
    <mergeCell ref="C19:D19"/>
    <mergeCell ref="C28:D28"/>
    <mergeCell ref="C37:G37"/>
    <mergeCell ref="B70:G70"/>
    <mergeCell ref="E20:G20"/>
    <mergeCell ref="A5:G5"/>
    <mergeCell ref="C10:E10"/>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E31E24"/>
    <outlinePr summaryBelow="1" summaryRight="1"/>
    <pageSetUpPr fitToPage="1"/>
  </sheetPr>
  <dimension ref="A1:N93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5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80" customWidth="1" min="13" max="13"/>
    <col width="64" customWidth="1" min="14" max="14"/>
  </cols>
  <sheetData>
    <row r="1">
      <c r="A1" s="1" t="inlineStr">
        <is>
          <t>🧮 ANÁLISIS DE COSTOS Y PRESUPUESTOS · MARKETING III · 2026-II</t>
        </is>
      </c>
    </row>
    <row r="2">
      <c r="A2" s="2" t="inlineStr">
        <is>
          <t>Casos de las semanas 9 a 16 · TODO EN UNA SOLA HOJA · Antojitos de Arequipa y Café y Vino Wine Bar</t>
        </is>
      </c>
    </row>
    <row r="3">
      <c r="A3" s="30" t="inlineStr">
        <is>
          <t>🟡 AMARILLO = usted escribe la fórmula    ⬜ BLANCO = dato del caso, no lo toque    🔵 CELESTE = ya viene enlazado de otra sesión, no lo toque    💡 columna M = la fórmula que debe escribir    🎯 columna N = el resultado que debe salir, para comprobar</t>
        </is>
      </c>
    </row>
    <row r="4">
      <c r="A4" s="13" t="inlineStr">
        <is>
          <t>📌 PLAN DE HOY (martes 27-oct): recuperen los bloques 🔴 de la semana 10 y avancen los bloques 🟠 de la semana 11. Cada bloque dice en qué TABLA del informe va.</t>
        </is>
      </c>
    </row>
    <row r="6" ht="24" customHeight="1">
      <c r="A6" s="31" t="inlineStr">
        <is>
          <t>SEMANA 9 · SESIÓN 1 · Mar 13-oct   ▸   Mano de obra directa (MOD) por unidad   ▸   Tabla 6 · punto 4.2.2</t>
        </is>
      </c>
    </row>
    <row r="7">
      <c r="A7" s="32" t="inlineStr">
        <is>
          <t>✅ YA AVANZADO · lo trabajaron en la semana 9. Solo verifiquen que esté completo.</t>
        </is>
      </c>
    </row>
    <row r="9" ht="84" customHeight="1">
      <c r="D9" s="12" t="inlineStr">
        <is>
          <t>Mano de obra DIRECTA es solo quien fabrica o prepara el producto. El mozo que lleva la bebida a la mesa y la vendedora de tienda NO son MOD: son gasto de ventas.</t>
        </is>
      </c>
    </row>
    <row r="11" ht="20" customHeight="1">
      <c r="A11" s="33" t="inlineStr">
        <is>
          <t>🍪 ANTOJITOS DE AREQUIPA · empresa de manufactura (alfajores)</t>
        </is>
      </c>
    </row>
    <row r="13">
      <c r="B13" s="34" t="inlineStr">
        <is>
          <t>📄 Va en el informe: Tabla 6 «Mano de obra directa por unidad» (punto 4.2.2).</t>
        </is>
      </c>
    </row>
    <row r="14" ht="39" customHeight="1">
      <c r="A14" s="35" t="inlineStr">
        <is>
          <t>📘</t>
        </is>
      </c>
      <c r="B14" s="14" t="inlineStr">
        <is>
          <t>ANTOJITOS DE AREQUIPA tiene a su personal en planilla (régimen de pequeña empresa) y trabaja 48 horas a la semana. Se pide: 1) la remuneración por hora de cada puesto; 2) la MOD por unidad usando los minutos de fabricación.</t>
        </is>
      </c>
    </row>
    <row r="16">
      <c r="B16" s="7" t="inlineStr">
        <is>
          <t>Factor de cargas sociales (EsSalud 9 %, gratificaciones 8.33 %, bonificación 0.75 %, CTS 4.17 %, vacaciones 4.17 %)</t>
        </is>
      </c>
      <c r="C16" s="36" t="n">
        <v>0.264166666666667</v>
      </c>
    </row>
    <row r="17">
      <c r="B17" s="7" t="inlineStr">
        <is>
          <t>Horas al mes por trabajador (48 h × 52 semanas ÷ 12)</t>
        </is>
      </c>
      <c r="C17" s="37" t="n">
        <v>208</v>
      </c>
    </row>
    <row r="19">
      <c r="B19" s="13" t="inlineStr">
        <is>
          <t>PASO 1 · Remuneración por hora de cada puesto</t>
        </is>
      </c>
    </row>
    <row r="20" ht="30" customHeight="1">
      <c r="B20" s="5" t="inlineStr">
        <is>
          <t>Puesto</t>
        </is>
      </c>
      <c r="C20" s="5" t="inlineStr">
        <is>
          <t>Cantidad</t>
        </is>
      </c>
      <c r="D20" s="5" t="inlineStr">
        <is>
          <t>¿A dónde va?</t>
        </is>
      </c>
      <c r="E20" s="5" t="inlineStr">
        <is>
          <t>Sueldo mensual por
trabajador (S/)</t>
        </is>
      </c>
      <c r="F20" s="5" t="inlineStr">
        <is>
          <t>Costo laboral mensual
por trabajador (S/)</t>
        </is>
      </c>
      <c r="G20" s="5" t="inlineStr">
        <is>
          <t>Remuneración
por hora (S/)</t>
        </is>
      </c>
      <c r="H20" s="5" t="inlineStr">
        <is>
          <t>Costo laboral total
del puesto (S/)</t>
        </is>
      </c>
    </row>
    <row r="21">
      <c r="B21" s="7" t="inlineStr">
        <is>
          <t>Maestro pastelero</t>
        </is>
      </c>
      <c r="C21" s="38" t="n">
        <v>1</v>
      </c>
      <c r="D21" s="28" t="inlineStr">
        <is>
          <t>MOD</t>
        </is>
      </c>
      <c r="E21" s="39" t="n">
        <v>1700</v>
      </c>
      <c r="F21" s="40" t="n"/>
      <c r="G21" s="40" t="n"/>
      <c r="H21" s="40" t="n"/>
      <c r="M21" s="41" t="inlineStr">
        <is>
          <t>💡 F = sueldo × (1 + factor) → =E21*(1+$C$16)   |   G = costo laboral ÷ horas al mes → =F21/$C$17   |   H = costo laboral × cantidad → =F21*C21</t>
        </is>
      </c>
    </row>
    <row r="22">
      <c r="B22" s="7" t="inlineStr">
        <is>
          <t>Ayudante de producción</t>
        </is>
      </c>
      <c r="C22" s="38" t="n">
        <v>2</v>
      </c>
      <c r="D22" s="28" t="inlineStr">
        <is>
          <t>MOD</t>
        </is>
      </c>
      <c r="E22" s="39" t="n">
        <v>1200</v>
      </c>
      <c r="F22" s="40" t="n"/>
      <c r="G22" s="40" t="n"/>
      <c r="H22" s="40" t="n"/>
    </row>
    <row r="23">
      <c r="B23" s="7" t="inlineStr">
        <is>
          <t>Empacadora</t>
        </is>
      </c>
      <c r="C23" s="38" t="n">
        <v>1</v>
      </c>
      <c r="D23" s="28" t="inlineStr">
        <is>
          <t>MOD</t>
        </is>
      </c>
      <c r="E23" s="39" t="n">
        <v>1130</v>
      </c>
      <c r="F23" s="40" t="n"/>
      <c r="G23" s="40" t="n"/>
      <c r="H23" s="40" t="n"/>
    </row>
    <row r="24">
      <c r="B24" s="7" t="inlineStr">
        <is>
          <t>Supervisor de producción</t>
        </is>
      </c>
      <c r="C24" s="38" t="n">
        <v>1</v>
      </c>
      <c r="D24" s="28" t="inlineStr">
        <is>
          <t>MOI (va a CIF)</t>
        </is>
      </c>
      <c r="E24" s="39" t="n">
        <v>2000</v>
      </c>
      <c r="F24" s="40" t="n"/>
      <c r="G24" s="40" t="n"/>
      <c r="H24" s="40" t="n"/>
    </row>
    <row r="25">
      <c r="B25" s="7" t="inlineStr">
        <is>
          <t>Vendedora de tienda</t>
        </is>
      </c>
      <c r="C25" s="38" t="n">
        <v>2</v>
      </c>
      <c r="D25" s="28" t="inlineStr">
        <is>
          <t>Gasto de ventas</t>
        </is>
      </c>
      <c r="E25" s="39" t="n">
        <v>1130</v>
      </c>
      <c r="F25" s="40" t="n"/>
      <c r="G25" s="40" t="n"/>
      <c r="H25" s="40" t="n"/>
    </row>
    <row r="26">
      <c r="B26" s="7" t="inlineStr">
        <is>
          <t>Administradora</t>
        </is>
      </c>
      <c r="C26" s="38" t="n">
        <v>1</v>
      </c>
      <c r="D26" s="28" t="inlineStr">
        <is>
          <t>Gasto administrativo</t>
        </is>
      </c>
      <c r="E26" s="39" t="n">
        <v>2300</v>
      </c>
      <c r="F26" s="40" t="n"/>
      <c r="G26" s="40" t="n"/>
      <c r="H26" s="40" t="n"/>
    </row>
    <row r="28">
      <c r="B28" s="13" t="inlineStr">
        <is>
          <t>PASO 2 · MOD por unidad = remuneración por hora × minutos ÷ 60</t>
        </is>
      </c>
    </row>
    <row r="29" ht="30" customHeight="1">
      <c r="B29" s="5" t="inlineStr">
        <is>
          <t>Puesto de MOD</t>
        </is>
      </c>
      <c r="C29" s="5" t="inlineStr">
        <is>
          <t>Remuneración
por hora (S/)</t>
        </is>
      </c>
      <c r="D29" s="5" t="inlineStr">
        <is>
          <t>Minutos por
unidad – A</t>
        </is>
      </c>
      <c r="E29" s="5" t="inlineStr">
        <is>
          <t>Minutos por
unidad – B</t>
        </is>
      </c>
      <c r="F29" s="5" t="inlineStr">
        <is>
          <t>MOD por unidad
A (S/)</t>
        </is>
      </c>
      <c r="G29" s="5" t="inlineStr">
        <is>
          <t>MOD por unidad
B (S/)</t>
        </is>
      </c>
    </row>
    <row r="30">
      <c r="B30" s="7" t="inlineStr">
        <is>
          <t>Maestro pastelero</t>
        </is>
      </c>
      <c r="C30" s="42">
        <f>G21</f>
        <v/>
      </c>
      <c r="D30" s="43" t="n">
        <v>2</v>
      </c>
      <c r="E30" s="43" t="n">
        <v>2.5</v>
      </c>
      <c r="F30" s="44" t="n"/>
      <c r="G30" s="44" t="n"/>
      <c r="M30" s="41" t="inlineStr">
        <is>
          <t>💡 =C30*D30/60  y  =C30*E30/60</t>
        </is>
      </c>
    </row>
    <row r="31">
      <c r="B31" s="7" t="inlineStr">
        <is>
          <t>Ayudante de producción</t>
        </is>
      </c>
      <c r="C31" s="42">
        <f>G22</f>
        <v/>
      </c>
      <c r="D31" s="43" t="n">
        <v>4</v>
      </c>
      <c r="E31" s="43" t="n">
        <v>5</v>
      </c>
      <c r="F31" s="44" t="n"/>
      <c r="G31" s="44" t="n"/>
    </row>
    <row r="32">
      <c r="B32" s="7" t="inlineStr">
        <is>
          <t>Empacadora</t>
        </is>
      </c>
      <c r="C32" s="42">
        <f>G23</f>
        <v/>
      </c>
      <c r="D32" s="43" t="n">
        <v>1.5</v>
      </c>
      <c r="E32" s="43" t="n">
        <v>2</v>
      </c>
      <c r="F32" s="44" t="n"/>
      <c r="G32" s="44" t="n"/>
    </row>
    <row r="33">
      <c r="B33" s="6" t="inlineStr">
        <is>
          <t>➡️ MOD POR UNIDAD (caja)</t>
        </is>
      </c>
      <c r="F33" s="45" t="n"/>
      <c r="G33" s="45" t="n"/>
      <c r="N33" s="46" t="inlineStr">
        <is>
          <t>🎯 A ≈ S/ 1.0023   |   B ≈ S/ 1.2672   (sume la columna)</t>
        </is>
      </c>
    </row>
    <row r="34">
      <c r="F34" s="47" t="inlineStr">
        <is>
          <t>A: Caja de 12 alfajorcitos de manjar blanco</t>
        </is>
      </c>
    </row>
    <row r="35">
      <c r="F35" s="47" t="inlineStr">
        <is>
          <t>B: Caja de 6 alfajores bañados en chocolate</t>
        </is>
      </c>
    </row>
    <row r="37">
      <c r="B37" s="13" t="inlineStr">
        <is>
          <t>PASO 3 · Costo laboral del mes por destino (lo necesitará en todas las sesiones siguientes)</t>
        </is>
      </c>
    </row>
    <row r="38">
      <c r="B38" s="6" t="inlineStr">
        <is>
          <t>Total MOD (mano de obra directa)</t>
        </is>
      </c>
      <c r="C38" s="48" t="n"/>
      <c r="M38" s="41" t="inlineStr">
        <is>
          <t>💡 =SUMIF($D$21:$D$26,"MOD",$H$21:$H$26)</t>
        </is>
      </c>
      <c r="N38" s="46" t="inlineStr">
        <is>
          <t>🎯 ≈ S/ 6,611.59</t>
        </is>
      </c>
    </row>
    <row r="39">
      <c r="B39" s="6" t="inlineStr">
        <is>
          <t>Total MOI → se va a los CIF</t>
        </is>
      </c>
      <c r="C39" s="48" t="n"/>
      <c r="N39" s="46" t="inlineStr">
        <is>
          <t>🎯 ≈ S/ 2,528.33</t>
        </is>
      </c>
    </row>
    <row r="40">
      <c r="B40" s="6" t="inlineStr">
        <is>
          <t>Total Gasto de ventas</t>
        </is>
      </c>
      <c r="C40" s="48" t="n"/>
      <c r="N40" s="46" t="inlineStr">
        <is>
          <t>🎯 ≈ S/ 2,857.02</t>
        </is>
      </c>
    </row>
    <row r="41">
      <c r="B41" s="6" t="inlineStr">
        <is>
          <t>Total Gasto administrativo</t>
        </is>
      </c>
      <c r="C41" s="48" t="n"/>
      <c r="N41" s="46" t="inlineStr">
        <is>
          <t>🎯 ≈ S/ 2,907.58</t>
        </is>
      </c>
    </row>
    <row r="44" ht="20" customHeight="1">
      <c r="A44" s="49" t="inlineStr">
        <is>
          <t>☕ CAFÉ Y VINO WINE BAR · empresa de servicio (wine bar y cafetería)</t>
        </is>
      </c>
    </row>
    <row r="46">
      <c r="B46" s="34" t="inlineStr">
        <is>
          <t>📄 Va en el informe: Tabla 6 «Mano de obra directa por unidad» (punto 4.2.2).</t>
        </is>
      </c>
    </row>
    <row r="47" ht="39" customHeight="1">
      <c r="A47" s="35" t="inlineStr">
        <is>
          <t>📘</t>
        </is>
      </c>
      <c r="B47" s="14" t="inlineStr">
        <is>
          <t>CAFÉ Y VINO WINE BAR tiene a su personal en planilla (régimen de pequeña empresa) y trabaja 48 horas a la semana. Se pide: 1) la remuneración por hora de cada puesto; 2) la MOD por unidad usando los minutos de fabricación.</t>
        </is>
      </c>
    </row>
    <row r="49">
      <c r="B49" s="7" t="inlineStr">
        <is>
          <t>Factor de cargas sociales (EsSalud 9 %, gratificaciones 8.33 %, bonificación 0.75 %, CTS 4.17 %, vacaciones 4.17 %)</t>
        </is>
      </c>
      <c r="C49" s="36" t="n">
        <v>0.264166666666667</v>
      </c>
    </row>
    <row r="50">
      <c r="B50" s="7" t="inlineStr">
        <is>
          <t>Horas al mes por trabajador (48 h × 52 semanas ÷ 12)</t>
        </is>
      </c>
      <c r="C50" s="37" t="n">
        <v>208</v>
      </c>
    </row>
    <row r="52">
      <c r="B52" s="13" t="inlineStr">
        <is>
          <t>PASO 1 · Remuneración por hora de cada puesto</t>
        </is>
      </c>
    </row>
    <row r="53" ht="30" customHeight="1">
      <c r="B53" s="5" t="inlineStr">
        <is>
          <t>Puesto</t>
        </is>
      </c>
      <c r="C53" s="5" t="inlineStr">
        <is>
          <t>Cantidad</t>
        </is>
      </c>
      <c r="D53" s="5" t="inlineStr">
        <is>
          <t>¿A dónde va?</t>
        </is>
      </c>
      <c r="E53" s="5" t="inlineStr">
        <is>
          <t>Sueldo mensual por
trabajador (S/)</t>
        </is>
      </c>
      <c r="F53" s="5" t="inlineStr">
        <is>
          <t>Costo laboral mensual
por trabajador (S/)</t>
        </is>
      </c>
      <c r="G53" s="5" t="inlineStr">
        <is>
          <t>Remuneración
por hora (S/)</t>
        </is>
      </c>
      <c r="H53" s="5" t="inlineStr">
        <is>
          <t>Costo laboral total
del puesto (S/)</t>
        </is>
      </c>
    </row>
    <row r="54">
      <c r="B54" s="7" t="inlineStr">
        <is>
          <t>Barista</t>
        </is>
      </c>
      <c r="C54" s="38" t="n">
        <v>1</v>
      </c>
      <c r="D54" s="28" t="inlineStr">
        <is>
          <t>MOD</t>
        </is>
      </c>
      <c r="E54" s="39" t="n">
        <v>1400</v>
      </c>
      <c r="F54" s="40" t="n"/>
      <c r="G54" s="40" t="n"/>
      <c r="H54" s="40" t="n"/>
      <c r="M54" s="41" t="inlineStr">
        <is>
          <t>💡 F = sueldo × (1 + factor) → =E54*(1+$C$49)   |   G = costo laboral ÷ horas al mes → =F54/$C$50   |   H = costo laboral × cantidad → =F54*C54</t>
        </is>
      </c>
    </row>
    <row r="55">
      <c r="B55" s="7" t="inlineStr">
        <is>
          <t>Bartender</t>
        </is>
      </c>
      <c r="C55" s="38" t="n">
        <v>1</v>
      </c>
      <c r="D55" s="28" t="inlineStr">
        <is>
          <t>MOD</t>
        </is>
      </c>
      <c r="E55" s="39" t="n">
        <v>1600</v>
      </c>
      <c r="F55" s="40" t="n"/>
      <c r="G55" s="40" t="n"/>
      <c r="H55" s="40" t="n"/>
    </row>
    <row r="56">
      <c r="B56" s="7" t="inlineStr">
        <is>
          <t>Ayudante de barra y limpieza</t>
        </is>
      </c>
      <c r="C56" s="38" t="n">
        <v>1</v>
      </c>
      <c r="D56" s="28" t="inlineStr">
        <is>
          <t>MOI (va a CIF)</t>
        </is>
      </c>
      <c r="E56" s="39" t="n">
        <v>1130</v>
      </c>
      <c r="F56" s="40" t="n"/>
      <c r="G56" s="40" t="n"/>
      <c r="H56" s="40" t="n"/>
    </row>
    <row r="57">
      <c r="B57" s="7" t="inlineStr">
        <is>
          <t>Mozo</t>
        </is>
      </c>
      <c r="C57" s="38" t="n">
        <v>2</v>
      </c>
      <c r="D57" s="28" t="inlineStr">
        <is>
          <t>Gasto de ventas</t>
        </is>
      </c>
      <c r="E57" s="39" t="n">
        <v>1130</v>
      </c>
      <c r="F57" s="40" t="n"/>
      <c r="G57" s="40" t="n"/>
      <c r="H57" s="40" t="n"/>
    </row>
    <row r="58">
      <c r="B58" s="7" t="inlineStr">
        <is>
          <t>Administrador</t>
        </is>
      </c>
      <c r="C58" s="38" t="n">
        <v>1</v>
      </c>
      <c r="D58" s="28" t="inlineStr">
        <is>
          <t>Gasto administrativo</t>
        </is>
      </c>
      <c r="E58" s="39" t="n">
        <v>2000</v>
      </c>
      <c r="F58" s="40" t="n"/>
      <c r="G58" s="40" t="n"/>
      <c r="H58" s="40" t="n"/>
    </row>
    <row r="60">
      <c r="B60" s="13" t="inlineStr">
        <is>
          <t>PASO 2 · MOD por unidad = remuneración por hora × minutos ÷ 60</t>
        </is>
      </c>
    </row>
    <row r="61" ht="30" customHeight="1">
      <c r="B61" s="5" t="inlineStr">
        <is>
          <t>Puesto de MOD</t>
        </is>
      </c>
      <c r="C61" s="5" t="inlineStr">
        <is>
          <t>Remuneración
por hora (S/)</t>
        </is>
      </c>
      <c r="D61" s="5" t="inlineStr">
        <is>
          <t>Minutos por
unidad – A</t>
        </is>
      </c>
      <c r="E61" s="5" t="inlineStr">
        <is>
          <t>Minutos por
unidad – B</t>
        </is>
      </c>
      <c r="F61" s="5" t="inlineStr">
        <is>
          <t>MOD por unidad
A (S/)</t>
        </is>
      </c>
      <c r="G61" s="5" t="inlineStr">
        <is>
          <t>MOD por unidad
B (S/)</t>
        </is>
      </c>
    </row>
    <row r="62">
      <c r="B62" s="7" t="inlineStr">
        <is>
          <t>Barista</t>
        </is>
      </c>
      <c r="C62" s="42">
        <f>G54</f>
        <v/>
      </c>
      <c r="D62" s="43" t="n">
        <v>3</v>
      </c>
      <c r="E62" s="43" t="n">
        <v>0</v>
      </c>
      <c r="F62" s="44" t="n"/>
      <c r="G62" s="44" t="n"/>
      <c r="M62" s="41" t="inlineStr">
        <is>
          <t>💡 =C62*D62/60  y  =C62*E62/60</t>
        </is>
      </c>
    </row>
    <row r="63">
      <c r="B63" s="7" t="inlineStr">
        <is>
          <t>Bartender</t>
        </is>
      </c>
      <c r="C63" s="42">
        <f>G55</f>
        <v/>
      </c>
      <c r="D63" s="43" t="n">
        <v>0</v>
      </c>
      <c r="E63" s="43" t="n">
        <v>5</v>
      </c>
      <c r="F63" s="44" t="n"/>
      <c r="G63" s="44" t="n"/>
    </row>
    <row r="64">
      <c r="B64" s="6" t="inlineStr">
        <is>
          <t>➡️ MOD POR UNIDAD (bebida)</t>
        </is>
      </c>
      <c r="F64" s="45" t="n"/>
      <c r="G64" s="45" t="n"/>
      <c r="N64" s="46" t="inlineStr">
        <is>
          <t>🎯 A ≈ S/ 0.4254   |   B ≈ S/ 0.8104   (sume la columna)</t>
        </is>
      </c>
    </row>
    <row r="65">
      <c r="F65" s="47" t="inlineStr">
        <is>
          <t>A: Capuccino (taza de 8 oz)</t>
        </is>
      </c>
    </row>
    <row r="66">
      <c r="F66" s="47" t="inlineStr">
        <is>
          <t>B: Piña colada (vaso de 12 oz)</t>
        </is>
      </c>
    </row>
    <row r="68">
      <c r="B68" s="13" t="inlineStr">
        <is>
          <t>PASO 3 · Costo laboral del mes por destino (lo necesitará en todas las sesiones siguientes)</t>
        </is>
      </c>
    </row>
    <row r="69">
      <c r="B69" s="6" t="inlineStr">
        <is>
          <t>Total MOD (mano de obra directa)</t>
        </is>
      </c>
      <c r="C69" s="48" t="n"/>
      <c r="M69" s="41" t="inlineStr">
        <is>
          <t>💡 =SUMIF($D$54:$D$58,"MOD",$H$54:$H$58)</t>
        </is>
      </c>
      <c r="N69" s="46" t="inlineStr">
        <is>
          <t>🎯 ≈ S/ 3,792.50</t>
        </is>
      </c>
    </row>
    <row r="70">
      <c r="B70" s="6" t="inlineStr">
        <is>
          <t>Total MOI → se va a los CIF</t>
        </is>
      </c>
      <c r="C70" s="48" t="n"/>
      <c r="N70" s="46" t="inlineStr">
        <is>
          <t>🎯 ≈ S/ 1,428.51</t>
        </is>
      </c>
    </row>
    <row r="71">
      <c r="B71" s="6" t="inlineStr">
        <is>
          <t>Total Gasto de ventas</t>
        </is>
      </c>
      <c r="C71" s="48" t="n"/>
      <c r="N71" s="46" t="inlineStr">
        <is>
          <t>🎯 ≈ S/ 2,857.02</t>
        </is>
      </c>
    </row>
    <row r="72">
      <c r="B72" s="6" t="inlineStr">
        <is>
          <t>Total Gasto administrativo</t>
        </is>
      </c>
      <c r="C72" s="48" t="n"/>
      <c r="N72" s="46" t="inlineStr">
        <is>
          <t>🎯 ≈ S/ 2,528.33</t>
        </is>
      </c>
    </row>
    <row r="76" ht="24" customHeight="1">
      <c r="A76" s="31" t="inlineStr">
        <is>
          <t>SEMANA 9 · SESIÓN 2 · Jue 15-oct   ▸   Costos indirectos de fabricación (CIF) y su asignación   ▸   Tablas 7 y 8 · punto 4.2.3</t>
        </is>
      </c>
    </row>
    <row r="77">
      <c r="A77" s="32" t="inlineStr">
        <is>
          <t>🔴 PENDIENTE · se recupera HOY (martes 27-oct).</t>
        </is>
      </c>
    </row>
    <row r="79" ht="84" customHeight="1">
      <c r="D79" s="12" t="inlineStr">
        <is>
          <t>Las dos primeras líneas del CIF ya las tienen: la materia prima INDIRECTA de la semana 7 y la mano de obra INDIRECTA de la semana 9. No se vuelven a calcular, se traen.</t>
        </is>
      </c>
    </row>
    <row r="81" ht="20" customHeight="1">
      <c r="A81" s="33" t="inlineStr">
        <is>
          <t>🍪 ANTOJITOS DE AREQUIPA · empresa de manufactura (alfajores)</t>
        </is>
      </c>
    </row>
    <row r="83">
      <c r="B83" s="34" t="inlineStr">
        <is>
          <t>📄 Va en el informe: Tabla 7 «Costos indirectos de fabricación del mes» y Tabla 8 «Asignación de los CIF a cada producto» (punto 4.2.3).</t>
        </is>
      </c>
    </row>
    <row r="84" ht="39" customHeight="1">
      <c r="A84" s="35" t="inlineStr">
        <is>
          <t>📘</t>
        </is>
      </c>
      <c r="B84" s="14" t="inlineStr">
        <is>
          <t>Con la MOD ya calculada, ANTOJITOS DE AREQUIPA reúne sus costos indirectos de fabricación (CIF) del mes y los reparte entre sus dos productos. La base de reparto son los MINUTOS de mano de obra directa del mes: es la más justa porque el producto que demanda más tiempo usa más planta, más luz y más supervisión.</t>
        </is>
      </c>
    </row>
    <row r="86">
      <c r="B86" s="13" t="inlineStr">
        <is>
          <t>TABLA 7 · Costos indirectos de fabricación del mes</t>
        </is>
      </c>
    </row>
    <row r="87" ht="30" customHeight="1">
      <c r="B87" s="5" t="inlineStr">
        <is>
          <t>Concepto del CIF</t>
        </is>
      </c>
      <c r="C87" s="5" t="inlineStr">
        <is>
          <t>Monto del mes
sin IGV (S/)</t>
        </is>
      </c>
      <c r="D87" s="5" t="inlineStr">
        <is>
          <t>Fijo o variable</t>
        </is>
      </c>
    </row>
    <row r="88">
      <c r="B88" s="7" t="inlineStr">
        <is>
          <t>Materia prima indirecta del mes (viene de la semana 7)</t>
        </is>
      </c>
      <c r="C88" s="39" t="n">
        <v>195.08</v>
      </c>
      <c r="D88" s="28" t="inlineStr">
        <is>
          <t>Variable</t>
        </is>
      </c>
    </row>
    <row r="89">
      <c r="B89" s="7" t="inlineStr">
        <is>
          <t>Mano de obra indirecta (viene de la semana 9, sesión 1)</t>
        </is>
      </c>
      <c r="C89" s="42">
        <f>$C$39</f>
        <v/>
      </c>
      <c r="D89" s="28" t="inlineStr">
        <is>
          <t>Fijo</t>
        </is>
      </c>
    </row>
    <row r="90">
      <c r="B90" s="7" t="inlineStr">
        <is>
          <t>Alquiler de la planta</t>
        </is>
      </c>
      <c r="C90" s="39" t="n">
        <v>1800</v>
      </c>
      <c r="D90" s="28" t="inlineStr">
        <is>
          <t>Fijo</t>
        </is>
      </c>
    </row>
    <row r="91">
      <c r="B91" s="7" t="inlineStr">
        <is>
          <t>Luz, agua y gas de la planta</t>
        </is>
      </c>
      <c r="C91" s="39" t="n">
        <v>650</v>
      </c>
      <c r="D91" s="28" t="inlineStr">
        <is>
          <t>Fijo</t>
        </is>
      </c>
    </row>
    <row r="92">
      <c r="B92" s="7" t="inlineStr">
        <is>
          <t>Depreciación de hornos y equipos</t>
        </is>
      </c>
      <c r="C92" s="39" t="n">
        <v>350</v>
      </c>
      <c r="D92" s="28" t="inlineStr">
        <is>
          <t>Fijo</t>
        </is>
      </c>
    </row>
    <row r="93">
      <c r="B93" s="7" t="inlineStr">
        <is>
          <t>Mantenimiento y otros CIF</t>
        </is>
      </c>
      <c r="C93" s="39" t="n">
        <v>120</v>
      </c>
      <c r="D93" s="28" t="inlineStr">
        <is>
          <t>Fijo</t>
        </is>
      </c>
    </row>
    <row r="94">
      <c r="B94" s="6" t="inlineStr">
        <is>
          <t>Total CIF del mes</t>
        </is>
      </c>
      <c r="C94" s="48" t="n"/>
      <c r="M94" s="41" t="inlineStr">
        <is>
          <t>💡 =SUM(C88:C93)</t>
        </is>
      </c>
      <c r="N94" s="46" t="inlineStr">
        <is>
          <t>🎯 ≈ S/ 5,643.41</t>
        </is>
      </c>
    </row>
    <row r="95">
      <c r="B95" s="7" t="inlineStr">
        <is>
          <t>De ello, CIF VARIABLE (sube o baja con la producción)</t>
        </is>
      </c>
      <c r="C95" s="40" t="n"/>
      <c r="M95" s="41" t="inlineStr">
        <is>
          <t>💡 =SUMIF($D$88:$D$93,"Variable",$C$88:$C$93)</t>
        </is>
      </c>
      <c r="N95" s="46" t="inlineStr">
        <is>
          <t>🎯 ≈ S/ 195.08</t>
        </is>
      </c>
    </row>
    <row r="96">
      <c r="B96" s="7" t="inlineStr">
        <is>
          <t>De ello, CIF FIJO (se paga igual, se produzca mucho o poco)</t>
        </is>
      </c>
      <c r="C96" s="40" t="n"/>
      <c r="M96" s="41" t="inlineStr">
        <is>
          <t>💡 =SUMIF($D$88:$D$93,"Fijo",$C$88:$C$93)</t>
        </is>
      </c>
      <c r="N96" s="46" t="inlineStr">
        <is>
          <t>🎯 ≈ S/ 5,448.33</t>
        </is>
      </c>
    </row>
    <row r="98">
      <c r="B98" s="13" t="inlineStr">
        <is>
          <t>TABLA 8 · Asignación de los CIF a cada producto (base: minutos de MOD del mes)</t>
        </is>
      </c>
    </row>
    <row r="99">
      <c r="B99" s="50" t="inlineStr">
        <is>
          <t>📝 Producción del mes = producción anual ÷ 12. La producción anual sale del presupuesto de producción de la semana 8 (33,605 cajas A y 16,952 cajas B), que incluye la política de inventario final del 10 %.</t>
        </is>
      </c>
    </row>
    <row r="100" ht="30" customHeight="1">
      <c r="B100" s="5" t="inlineStr">
        <is>
          <t>Producto</t>
        </is>
      </c>
      <c r="C100" s="5" t="inlineStr">
        <is>
          <t>Unidades producidas
en el mes (cajas)</t>
        </is>
      </c>
      <c r="D100" s="5" t="inlineStr">
        <is>
          <t>Minutos de MOD
por unidad</t>
        </is>
      </c>
      <c r="E100" s="5" t="inlineStr">
        <is>
          <t>Minutos de MOD
del mes</t>
        </is>
      </c>
      <c r="F100" s="5" t="inlineStr">
        <is>
          <t>% de participación</t>
        </is>
      </c>
      <c r="G100" s="5" t="inlineStr">
        <is>
          <t>CIF asignado
del mes (S/)</t>
        </is>
      </c>
      <c r="H100" s="5" t="inlineStr">
        <is>
          <t>CIF por
unidad (S/)</t>
        </is>
      </c>
      <c r="I100" s="5" t="inlineStr">
        <is>
          <t>CIF VARIABLE por
unidad (S/)</t>
        </is>
      </c>
    </row>
    <row r="101">
      <c r="B101" s="7" t="inlineStr">
        <is>
          <t>A: Caja de 12 alfajorcitos de manjar blanco</t>
        </is>
      </c>
      <c r="C101" s="51" t="n">
        <v>2800.4167</v>
      </c>
      <c r="D101" s="43" t="n">
        <v>7.5</v>
      </c>
      <c r="E101" s="52" t="n"/>
      <c r="F101" s="53" t="n"/>
      <c r="G101" s="40" t="n"/>
      <c r="H101" s="44" t="n"/>
      <c r="I101" s="44" t="n"/>
      <c r="M101" s="41" t="inlineStr">
        <is>
          <t>💡 E=C101*D101  |  F=E101/$E$103  |  G=$C$94*F101  |  H=G101/C101  |  I=$C$95*F101/C101</t>
        </is>
      </c>
    </row>
    <row r="102">
      <c r="B102" s="7" t="inlineStr">
        <is>
          <t>B: Caja de 6 alfajores bañados en chocolate</t>
        </is>
      </c>
      <c r="C102" s="51" t="n">
        <v>1412.6667</v>
      </c>
      <c r="D102" s="43" t="n">
        <v>9.5</v>
      </c>
      <c r="E102" s="52" t="n"/>
      <c r="F102" s="53" t="n"/>
      <c r="G102" s="40" t="n"/>
      <c r="H102" s="44" t="n"/>
      <c r="I102" s="44" t="n"/>
      <c r="N102" s="46" t="inlineStr">
        <is>
          <t>🎯 CIF por unidad: A ≈ S/ 1.2296  |  B ≈ S/ 1.5574</t>
        </is>
      </c>
    </row>
    <row r="103">
      <c r="B103" s="6" t="inlineStr">
        <is>
          <t>TOTAL</t>
        </is>
      </c>
      <c r="E103" s="54" t="n"/>
      <c r="F103" s="55" t="n"/>
      <c r="G103" s="48" t="n"/>
      <c r="N103" s="46" t="inlineStr">
        <is>
          <t>🎯 Minutos del mes ≈ 34,423  |  % debe sumar 100 %  |  CIF asignado debe sumar S/ 5,643.41</t>
        </is>
      </c>
    </row>
    <row r="106" ht="20" customHeight="1">
      <c r="A106" s="49" t="inlineStr">
        <is>
          <t>☕ CAFÉ Y VINO WINE BAR · empresa de servicio (wine bar y cafetería)</t>
        </is>
      </c>
    </row>
    <row r="108">
      <c r="B108" s="34" t="inlineStr">
        <is>
          <t>📄 Va en el informe: Tabla 7 «Costos indirectos de fabricación del mes» y Tabla 8 «Asignación de los CIF a cada producto» (punto 4.2.3).</t>
        </is>
      </c>
    </row>
    <row r="109" ht="39" customHeight="1">
      <c r="A109" s="35" t="inlineStr">
        <is>
          <t>📘</t>
        </is>
      </c>
      <c r="B109" s="14" t="inlineStr">
        <is>
          <t>Con la MOD ya calculada, CAFÉ Y VINO WINE BAR reúne sus costos indirectos de fabricación (CIF) del mes y los reparte entre sus dos productos. La base de reparto son los MINUTOS de mano de obra directa del mes: es la más justa porque el producto que demanda más tiempo usa más planta, más luz y más supervisión.</t>
        </is>
      </c>
    </row>
    <row r="111">
      <c r="B111" s="13" t="inlineStr">
        <is>
          <t>TABLA 7 · Costos indirectos de fabricación del mes</t>
        </is>
      </c>
    </row>
    <row r="112" ht="30" customHeight="1">
      <c r="B112" s="5" t="inlineStr">
        <is>
          <t>Concepto del CIF</t>
        </is>
      </c>
      <c r="C112" s="5" t="inlineStr">
        <is>
          <t>Monto del mes
sin IGV (S/)</t>
        </is>
      </c>
      <c r="D112" s="5" t="inlineStr">
        <is>
          <t>Fijo o variable</t>
        </is>
      </c>
    </row>
    <row r="113">
      <c r="B113" s="7" t="inlineStr">
        <is>
          <t>Materia prima indirecta del mes (viene de la semana 7)</t>
        </is>
      </c>
      <c r="C113" s="39" t="n">
        <v>594.92</v>
      </c>
      <c r="D113" s="28" t="inlineStr">
        <is>
          <t>Variable</t>
        </is>
      </c>
    </row>
    <row r="114">
      <c r="B114" s="7" t="inlineStr">
        <is>
          <t>Mano de obra indirecta (viene de la semana 9, sesión 1)</t>
        </is>
      </c>
      <c r="C114" s="42">
        <f>$C$70</f>
        <v/>
      </c>
      <c r="D114" s="28" t="inlineStr">
        <is>
          <t>Fijo</t>
        </is>
      </c>
    </row>
    <row r="115">
      <c r="B115" s="7" t="inlineStr">
        <is>
          <t>Alquiler de la zona de barra</t>
        </is>
      </c>
      <c r="C115" s="39" t="n">
        <v>1200</v>
      </c>
      <c r="D115" s="28" t="inlineStr">
        <is>
          <t>Fijo</t>
        </is>
      </c>
    </row>
    <row r="116">
      <c r="B116" s="7" t="inlineStr">
        <is>
          <t>Luz y agua de la barra</t>
        </is>
      </c>
      <c r="C116" s="39" t="n">
        <v>380</v>
      </c>
      <c r="D116" s="28" t="inlineStr">
        <is>
          <t>Fijo</t>
        </is>
      </c>
    </row>
    <row r="117">
      <c r="B117" s="7" t="inlineStr">
        <is>
          <t>Depreciación de la máquina de espresso y equipos</t>
        </is>
      </c>
      <c r="C117" s="39" t="n">
        <v>250</v>
      </c>
      <c r="D117" s="28" t="inlineStr">
        <is>
          <t>Fijo</t>
        </is>
      </c>
    </row>
    <row r="118">
      <c r="B118" s="7" t="inlineStr">
        <is>
          <t>Otros CIF de la barra</t>
        </is>
      </c>
      <c r="C118" s="39" t="n">
        <v>60</v>
      </c>
      <c r="D118" s="28" t="inlineStr">
        <is>
          <t>Fijo</t>
        </is>
      </c>
    </row>
    <row r="119">
      <c r="B119" s="6" t="inlineStr">
        <is>
          <t>Total CIF del mes</t>
        </is>
      </c>
      <c r="C119" s="48" t="n"/>
      <c r="M119" s="41" t="inlineStr">
        <is>
          <t>💡 =SUM(C113:C118)</t>
        </is>
      </c>
      <c r="N119" s="46" t="inlineStr">
        <is>
          <t>🎯 ≈ S/ 3,913.43</t>
        </is>
      </c>
    </row>
    <row r="120">
      <c r="B120" s="7" t="inlineStr">
        <is>
          <t>De ello, CIF VARIABLE (sube o baja con la producción)</t>
        </is>
      </c>
      <c r="C120" s="40" t="n"/>
      <c r="M120" s="41" t="inlineStr">
        <is>
          <t>💡 =SUMIF($D$113:$D$118,"Variable",$C$113:$C$118)</t>
        </is>
      </c>
      <c r="N120" s="46" t="inlineStr">
        <is>
          <t>🎯 ≈ S/ 594.92</t>
        </is>
      </c>
    </row>
    <row r="121">
      <c r="B121" s="7" t="inlineStr">
        <is>
          <t>De ello, CIF FIJO (se paga igual, se produzca mucho o poco)</t>
        </is>
      </c>
      <c r="C121" s="40" t="n"/>
      <c r="M121" s="41" t="inlineStr">
        <is>
          <t>💡 =SUMIF($D$113:$D$118,"Fijo",$C$113:$C$118)</t>
        </is>
      </c>
      <c r="N121" s="46" t="inlineStr">
        <is>
          <t>🎯 ≈ S/ 3,318.51</t>
        </is>
      </c>
    </row>
    <row r="123">
      <c r="B123" s="13" t="inlineStr">
        <is>
          <t>TABLA 8 · Asignación de los CIF a cada producto (base: minutos de MOD del mes)</t>
        </is>
      </c>
    </row>
    <row r="124">
      <c r="B124" s="50" t="inlineStr">
        <is>
          <t>📝 En un servicio no hay inventario de producto terminado: la producción del mes es igual a las ventas del mes. Producción del mes = ventas anuales ÷ 12 (14,400 capuccinos y 4,320 piñas coladas al año).</t>
        </is>
      </c>
    </row>
    <row r="125" ht="30" customHeight="1">
      <c r="B125" s="5" t="inlineStr">
        <is>
          <t>Producto</t>
        </is>
      </c>
      <c r="C125" s="5" t="inlineStr">
        <is>
          <t>Unidades producidas
en el mes (bebidas)</t>
        </is>
      </c>
      <c r="D125" s="5" t="inlineStr">
        <is>
          <t>Minutos de MOD
por unidad</t>
        </is>
      </c>
      <c r="E125" s="5" t="inlineStr">
        <is>
          <t>Minutos de MOD
del mes</t>
        </is>
      </c>
      <c r="F125" s="5" t="inlineStr">
        <is>
          <t>% de participación</t>
        </is>
      </c>
      <c r="G125" s="5" t="inlineStr">
        <is>
          <t>CIF asignado
del mes (S/)</t>
        </is>
      </c>
      <c r="H125" s="5" t="inlineStr">
        <is>
          <t>CIF por
unidad (S/)</t>
        </is>
      </c>
      <c r="I125" s="5" t="inlineStr">
        <is>
          <t>CIF VARIABLE por
unidad (S/)</t>
        </is>
      </c>
    </row>
    <row r="126">
      <c r="B126" s="7" t="inlineStr">
        <is>
          <t>A: Capuccino (taza de 8 oz)</t>
        </is>
      </c>
      <c r="C126" s="51" t="n">
        <v>1200</v>
      </c>
      <c r="D126" s="43" t="n">
        <v>3</v>
      </c>
      <c r="E126" s="52" t="n"/>
      <c r="F126" s="53" t="n"/>
      <c r="G126" s="40" t="n"/>
      <c r="H126" s="44" t="n"/>
      <c r="I126" s="44" t="n"/>
      <c r="M126" s="41" t="inlineStr">
        <is>
          <t>💡 E=C126*D126  |  F=E126/$E$128  |  G=$C$119*F126  |  H=G126/C126  |  I=$C$120*F126/C126</t>
        </is>
      </c>
    </row>
    <row r="127">
      <c r="B127" s="7" t="inlineStr">
        <is>
          <t>B: Piña colada (vaso de 12 oz)</t>
        </is>
      </c>
      <c r="C127" s="51" t="n">
        <v>360</v>
      </c>
      <c r="D127" s="43" t="n">
        <v>5</v>
      </c>
      <c r="E127" s="52" t="n"/>
      <c r="F127" s="53" t="n"/>
      <c r="G127" s="40" t="n"/>
      <c r="H127" s="44" t="n"/>
      <c r="I127" s="44" t="n"/>
      <c r="N127" s="46" t="inlineStr">
        <is>
          <t>🎯 CIF por unidad: A ≈ S/ 2.1741  |  B ≈ S/ 3.6235</t>
        </is>
      </c>
    </row>
    <row r="128">
      <c r="B128" s="6" t="inlineStr">
        <is>
          <t>TOTAL</t>
        </is>
      </c>
      <c r="E128" s="54" t="n"/>
      <c r="F128" s="55" t="n"/>
      <c r="G128" s="48" t="n"/>
      <c r="N128" s="46" t="inlineStr">
        <is>
          <t>🎯 Minutos del mes ≈ 5,400  |  % debe sumar 100 %  |  CIF asignado debe sumar S/ 3,913.43</t>
        </is>
      </c>
    </row>
    <row r="132" ht="24" customHeight="1">
      <c r="A132" s="31" t="inlineStr">
        <is>
          <t>SEMANA 10 · SESIÓN 1 · Mar 20-oct   ▸   Costo unitario total y estructura de costos y gastos   ▸   Tablas 1, 2 y 9 · puntos 4.1 y 4.2.4</t>
        </is>
      </c>
    </row>
    <row r="133">
      <c r="A133" s="32" t="inlineStr">
        <is>
          <t>🔴 PENDIENTE · era la semana 10, se recupera HOY.</t>
        </is>
      </c>
    </row>
    <row r="135" ht="84" customHeight="1">
      <c r="D135" s="12" t="inlineStr">
        <is>
          <t>Costo es lo que entra al producto. Gasto es lo que sostiene el negocio. La limpieza de la PLANTA es CIF; la limpieza del LOCAL es gasto administrativo.</t>
        </is>
      </c>
    </row>
    <row r="137" ht="20" customHeight="1">
      <c r="A137" s="33" t="inlineStr">
        <is>
          <t>🍪 ANTOJITOS DE AREQUIPA · empresa de manufactura (alfajores)</t>
        </is>
      </c>
    </row>
    <row r="139">
      <c r="B139" s="34" t="inlineStr">
        <is>
          <t>📄 Va en el informe: Tabla 9 «Costo unitario total» (punto 4.2.4), Tabla 1 «Clasificación de costos y gastos del mes» y Tabla 2 «Estructura de costos y gastos del mes» (punto 4.1).</t>
        </is>
      </c>
    </row>
    <row r="140" ht="26" customHeight="1">
      <c r="A140" s="35" t="inlineStr">
        <is>
          <t>📘</t>
        </is>
      </c>
      <c r="B140" s="14" t="inlineStr">
        <is>
          <t>ANTOJITOS DE AREQUIPA ya tiene materia prima, MOD y CIF por unidad. Ahora obtiene el costo unitario total y ordena TODOS sus costos y gastos del mes.</t>
        </is>
      </c>
    </row>
    <row r="142">
      <c r="B142" s="13" t="inlineStr">
        <is>
          <t>TABLA 9 · Costo unitario total</t>
        </is>
      </c>
    </row>
    <row r="143" ht="30" customHeight="1">
      <c r="B143" s="5" t="inlineStr">
        <is>
          <t>Elemento</t>
        </is>
      </c>
      <c r="C143" s="5" t="inlineStr">
        <is>
          <t>A: Caja de 12 alfajorcitos de manjar blanco
(S/)</t>
        </is>
      </c>
      <c r="D143" s="5" t="inlineStr">
        <is>
          <t>B: Caja de 6 alfajores bañados en chocolate
(S/)</t>
        </is>
      </c>
    </row>
    <row r="144">
      <c r="B144" s="7" t="inlineStr">
        <is>
          <t>Materia prima directa (viene de la semana 7)</t>
        </is>
      </c>
      <c r="C144" s="56" t="n">
        <v>8.133100000000001</v>
      </c>
      <c r="D144" s="56" t="n">
        <v>12.3056</v>
      </c>
    </row>
    <row r="145">
      <c r="B145" s="7" t="inlineStr">
        <is>
          <t>Mano de obra directa (viene de la semana 9, sesión 1)</t>
        </is>
      </c>
      <c r="C145" s="57">
        <f>$F$33</f>
        <v/>
      </c>
      <c r="D145" s="57">
        <f>$G$33</f>
        <v/>
      </c>
    </row>
    <row r="146">
      <c r="B146" s="7" t="inlineStr">
        <is>
          <t>Costos indirectos de fabricación (viene de la semana 9, sesión 2)</t>
        </is>
      </c>
      <c r="C146" s="57">
        <f>$H$101</f>
        <v/>
      </c>
      <c r="D146" s="57">
        <f>$H$102</f>
        <v/>
      </c>
    </row>
    <row r="147">
      <c r="B147" s="6" t="inlineStr">
        <is>
          <t>➡️ COSTO UNITARIO TOTAL</t>
        </is>
      </c>
      <c r="C147" s="45" t="n"/>
      <c r="D147" s="45" t="n"/>
      <c r="M147" s="41" t="inlineStr">
        <is>
          <t>💡 =SUM(C144:C146)</t>
        </is>
      </c>
      <c r="N147" s="46" t="inlineStr">
        <is>
          <t>🎯 A ≈ S/ 10.3650  |  B ≈ S/ 15.1302</t>
        </is>
      </c>
    </row>
    <row r="149">
      <c r="B149" s="13" t="inlineStr">
        <is>
          <t>TABLA 1 · Clasificación de los gastos operativos del mes</t>
        </is>
      </c>
    </row>
    <row r="150" ht="30" customHeight="1">
      <c r="B150" s="5" t="inlineStr">
        <is>
          <t>Gasto operativo del mes</t>
        </is>
      </c>
      <c r="C150" s="5" t="inlineStr">
        <is>
          <t>Monto del mes
sin IGV (S/)</t>
        </is>
      </c>
      <c r="D150" s="5" t="inlineStr">
        <is>
          <t>Clasificación</t>
        </is>
      </c>
    </row>
    <row r="151">
      <c r="B151" s="7" t="inlineStr">
        <is>
          <t>Personal administrativo (viene de la semana 9, sesión 1)</t>
        </is>
      </c>
      <c r="C151" s="42">
        <f>$C$41</f>
        <v/>
      </c>
      <c r="D151" s="28" t="inlineStr">
        <is>
          <t>Gasto administrativo</t>
        </is>
      </c>
    </row>
    <row r="152">
      <c r="B152" s="7" t="inlineStr">
        <is>
          <t>Limpieza del local</t>
        </is>
      </c>
      <c r="C152" s="39" t="n">
        <v>120</v>
      </c>
      <c r="D152" s="28" t="inlineStr">
        <is>
          <t>Gasto administrativo</t>
        </is>
      </c>
    </row>
    <row r="153">
      <c r="B153" s="7" t="inlineStr">
        <is>
          <t>Contador externo</t>
        </is>
      </c>
      <c r="C153" s="39" t="n">
        <v>400</v>
      </c>
      <c r="D153" s="28" t="inlineStr">
        <is>
          <t>Gasto administrativo</t>
        </is>
      </c>
    </row>
    <row r="154">
      <c r="B154" s="7" t="inlineStr">
        <is>
          <t>Internet y teléfono</t>
        </is>
      </c>
      <c r="C154" s="39" t="n">
        <v>120</v>
      </c>
      <c r="D154" s="28" t="inlineStr">
        <is>
          <t>Gasto administrativo</t>
        </is>
      </c>
    </row>
    <row r="155">
      <c r="B155" s="7" t="inlineStr">
        <is>
          <t>Personal de ventas (viene de la semana 9, sesión 1)</t>
        </is>
      </c>
      <c r="C155" s="42">
        <f>$C$40</f>
        <v/>
      </c>
      <c r="D155" s="28" t="inlineStr">
        <is>
          <t>Gasto de ventas</t>
        </is>
      </c>
    </row>
    <row r="156">
      <c r="B156" s="7" t="inlineStr">
        <is>
          <t>Bolsas de despacho con logo</t>
        </is>
      </c>
      <c r="C156" s="39" t="n">
        <v>750</v>
      </c>
      <c r="D156" s="28" t="inlineStr">
        <is>
          <t>Gasto de ventas</t>
        </is>
      </c>
    </row>
    <row r="157">
      <c r="B157" s="7" t="inlineStr">
        <is>
          <t>Alquiler del stand en el aeropuerto</t>
        </is>
      </c>
      <c r="C157" s="39" t="n">
        <v>1500</v>
      </c>
      <c r="D157" s="28" t="inlineStr">
        <is>
          <t>Gasto de ventas</t>
        </is>
      </c>
    </row>
    <row r="158">
      <c r="B158" s="7" t="inlineStr">
        <is>
          <t>Publicidad en redes sociales</t>
        </is>
      </c>
      <c r="C158" s="39" t="n">
        <v>400</v>
      </c>
      <c r="D158" s="28" t="inlineStr">
        <is>
          <t>Gasto de ventas</t>
        </is>
      </c>
    </row>
    <row r="159">
      <c r="B159" s="6" t="inlineStr">
        <is>
          <t>Total gastos administrativos del mes</t>
        </is>
      </c>
      <c r="C159" s="48" t="n"/>
      <c r="M159" s="41" t="inlineStr">
        <is>
          <t>💡 =SUMIF($D$151:$D$158,"Gasto administrativo",$C$151:$C$158)</t>
        </is>
      </c>
      <c r="N159" s="46" t="inlineStr">
        <is>
          <t>🎯 ≈ S/ 3,547.58</t>
        </is>
      </c>
    </row>
    <row r="160">
      <c r="B160" s="6" t="inlineStr">
        <is>
          <t>Total gastos de ventas del mes</t>
        </is>
      </c>
      <c r="C160" s="48" t="n"/>
      <c r="M160" s="41" t="inlineStr">
        <is>
          <t>💡 =SUMIF($D$151:$D$158,"Gasto de ventas",$C$151:$C$158)</t>
        </is>
      </c>
      <c r="N160" s="46" t="inlineStr">
        <is>
          <t>🎯 ≈ S/ 5,507.02</t>
        </is>
      </c>
    </row>
    <row r="162">
      <c r="B162" s="13" t="inlineStr">
        <is>
          <t>TABLA 2 · Estructura de costos y gastos del mes</t>
        </is>
      </c>
    </row>
    <row r="163" ht="30" customHeight="1">
      <c r="B163" s="5" t="inlineStr">
        <is>
          <t>Elemento del mes</t>
        </is>
      </c>
      <c r="C163" s="5" t="inlineStr">
        <is>
          <t>Fijo (S/)</t>
        </is>
      </c>
      <c r="D163" s="5" t="inlineStr">
        <is>
          <t>Variable (S/)</t>
        </is>
      </c>
      <c r="E163" s="5" t="inlineStr">
        <is>
          <t>Total (S/)</t>
        </is>
      </c>
      <c r="F163" s="5" t="inlineStr">
        <is>
          <t>% del total</t>
        </is>
      </c>
    </row>
    <row r="164">
      <c r="B164" s="7" t="inlineStr">
        <is>
          <t>Materia prima directa</t>
        </is>
      </c>
      <c r="C164" s="39" t="n">
        <v>0</v>
      </c>
      <c r="D164" s="40" t="n"/>
      <c r="E164" s="40" t="n"/>
      <c r="F164" s="53" t="n"/>
      <c r="M164" s="41" t="inlineStr">
        <is>
          <t>💡 Variable = MPD/u A × unidades A + MPD/u B × unidades B → =$C$144*$C$101+$D$144*$C$102</t>
        </is>
      </c>
      <c r="N164" s="46" t="inlineStr">
        <is>
          <t>🎯 ≈ S/ 40,159.78</t>
        </is>
      </c>
    </row>
    <row r="165">
      <c r="B165" s="7" t="inlineStr">
        <is>
          <t>Mano de obra directa aplicada a A y B</t>
        </is>
      </c>
      <c r="C165" s="40" t="n"/>
      <c r="D165" s="39" t="n">
        <v>0</v>
      </c>
      <c r="E165" s="40" t="n"/>
      <c r="F165" s="53" t="n"/>
      <c r="M165" s="41" t="inlineStr">
        <is>
          <t>💡 =$F$33*$C$101+$G$33*$C$102  (la MOD es FIJA: el personal está en planilla)</t>
        </is>
      </c>
      <c r="N165" s="46" t="inlineStr">
        <is>
          <t>🎯 ≈ S/ 4,597.05</t>
        </is>
      </c>
    </row>
    <row r="166">
      <c r="B166" s="7" t="inlineStr">
        <is>
          <t>Costos indirectos de fabricación</t>
        </is>
      </c>
      <c r="C166" s="42">
        <f>$C$96</f>
        <v/>
      </c>
      <c r="D166" s="42">
        <f>$C$95</f>
        <v/>
      </c>
      <c r="E166" s="40" t="n"/>
      <c r="F166" s="53" t="n"/>
    </row>
    <row r="167">
      <c r="B167" s="6">
        <f> COSTO DE PRODUCCIÓN DEL MES</f>
        <v/>
      </c>
      <c r="C167" s="48" t="n"/>
      <c r="D167" s="48" t="n"/>
      <c r="E167" s="48" t="n"/>
      <c r="F167" s="55" t="n"/>
      <c r="M167" s="41" t="inlineStr">
        <is>
          <t>💡 =SUM(C164:C166)  (arrástrela a las columnas D, E y F)</t>
        </is>
      </c>
      <c r="N167" s="46" t="inlineStr">
        <is>
          <t>🎯 ≈ S/ 50,400.24</t>
        </is>
      </c>
    </row>
    <row r="168">
      <c r="B168" s="7" t="inlineStr">
        <is>
          <t>Gastos administrativos</t>
        </is>
      </c>
      <c r="C168" s="42">
        <f>$C$159</f>
        <v/>
      </c>
      <c r="D168" s="39" t="n">
        <v>0</v>
      </c>
      <c r="E168" s="40" t="n"/>
      <c r="F168" s="53" t="n"/>
    </row>
    <row r="169">
      <c r="B169" s="7" t="inlineStr">
        <is>
          <t>Gastos de ventas</t>
        </is>
      </c>
      <c r="C169" s="42">
        <f>$C$160</f>
        <v/>
      </c>
      <c r="D169" s="39" t="n">
        <v>0</v>
      </c>
      <c r="E169" s="40" t="n"/>
      <c r="F169" s="53" t="n"/>
    </row>
    <row r="170">
      <c r="B170" s="6">
        <f> GASTOS OPERATIVOS DEL MES</f>
        <v/>
      </c>
      <c r="C170" s="48" t="n"/>
      <c r="D170" s="48" t="n"/>
      <c r="E170" s="48" t="n"/>
      <c r="F170" s="55" t="n"/>
      <c r="M170" s="41" t="inlineStr">
        <is>
          <t>💡 =SUM(C168:C169)  (gastos administrativos + gastos de ventas)</t>
        </is>
      </c>
    </row>
    <row r="171">
      <c r="B171" s="6">
        <f> COSTO TOTAL DEL MES</f>
        <v/>
      </c>
      <c r="C171" s="48" t="n"/>
      <c r="D171" s="48" t="n"/>
      <c r="E171" s="48" t="n"/>
      <c r="F171" s="55" t="n"/>
      <c r="M171" s="41" t="inlineStr">
        <is>
          <t>💡 Fijo =C167+C170 (costo de producción + gastos operativos). Lo mismo en D. Total =C171+D171. % =E171/$E$171 → debe dar 100 %.</t>
        </is>
      </c>
      <c r="N171" s="46" t="inlineStr">
        <is>
          <t>🎯 ≈ S/ 59,454.84  ·  el % debe sumar 100 %</t>
        </is>
      </c>
    </row>
    <row r="172">
      <c r="B172" s="50" t="inlineStr">
        <is>
          <t>🔑 En TODA esta tabla: Total (S/) = Fijo + Variable, y % del total = Total del elemento ÷ COSTO TOTAL DEL MES. Escriba el divisor como referencia absoluta $E$171 para poder arrastrar la fórmula hacia abajo.</t>
        </is>
      </c>
    </row>
    <row r="173">
      <c r="B173" s="50" t="inlineStr">
        <is>
          <t>⚠️ La planilla de MOD cuesta S/ 6,611.59 al mes, pero en A y B solo se aplican S/ 4,597.05. La diferencia (≈ S/ 2,014.54) es capacidad no utilizada o tiempo dedicado a otros productos de la carta: NO se carga a A ni a B. Escriba esta explicación en el párrafo del punto 4.1.</t>
        </is>
      </c>
    </row>
    <row r="176" ht="20" customHeight="1">
      <c r="A176" s="49" t="inlineStr">
        <is>
          <t>☕ CAFÉ Y VINO WINE BAR · empresa de servicio (wine bar y cafetería)</t>
        </is>
      </c>
    </row>
    <row r="178">
      <c r="B178" s="34" t="inlineStr">
        <is>
          <t>📄 Va en el informe: Tabla 9 «Costo unitario total» (punto 4.2.4), Tabla 1 «Clasificación de costos y gastos del mes» y Tabla 2 «Estructura de costos y gastos del mes» (punto 4.1).</t>
        </is>
      </c>
    </row>
    <row r="179" ht="26" customHeight="1">
      <c r="A179" s="35" t="inlineStr">
        <is>
          <t>📘</t>
        </is>
      </c>
      <c r="B179" s="14" t="inlineStr">
        <is>
          <t>CAFÉ Y VINO WINE BAR ya tiene materia prima, MOD y CIF por unidad. Ahora obtiene el costo unitario total y ordena TODOS sus costos y gastos del mes.</t>
        </is>
      </c>
    </row>
    <row r="181">
      <c r="B181" s="13" t="inlineStr">
        <is>
          <t>TABLA 9 · Costo unitario total</t>
        </is>
      </c>
    </row>
    <row r="182" ht="30" customHeight="1">
      <c r="B182" s="5" t="inlineStr">
        <is>
          <t>Elemento</t>
        </is>
      </c>
      <c r="C182" s="5" t="inlineStr">
        <is>
          <t>A: Capuccino (taza de 8 oz)
(S/)</t>
        </is>
      </c>
      <c r="D182" s="5" t="inlineStr">
        <is>
          <t>B: Piña colada (vaso de 12 oz)
(S/)</t>
        </is>
      </c>
    </row>
    <row r="183">
      <c r="B183" s="7" t="inlineStr">
        <is>
          <t>Materia prima directa (viene de la semana 7)</t>
        </is>
      </c>
      <c r="C183" s="56" t="n">
        <v>2.1332</v>
      </c>
      <c r="D183" s="56" t="n">
        <v>6.2391</v>
      </c>
    </row>
    <row r="184">
      <c r="B184" s="7" t="inlineStr">
        <is>
          <t>Mano de obra directa (viene de la semana 9, sesión 1)</t>
        </is>
      </c>
      <c r="C184" s="57">
        <f>$F$64</f>
        <v/>
      </c>
      <c r="D184" s="57">
        <f>$G$64</f>
        <v/>
      </c>
    </row>
    <row r="185">
      <c r="B185" s="7" t="inlineStr">
        <is>
          <t>Costos indirectos de fabricación (viene de la semana 9, sesión 2)</t>
        </is>
      </c>
      <c r="C185" s="57">
        <f>$H$126</f>
        <v/>
      </c>
      <c r="D185" s="57">
        <f>$H$127</f>
        <v/>
      </c>
    </row>
    <row r="186">
      <c r="B186" s="6" t="inlineStr">
        <is>
          <t>➡️ COSTO UNITARIO TOTAL</t>
        </is>
      </c>
      <c r="C186" s="45" t="n"/>
      <c r="D186" s="45" t="n"/>
      <c r="M186" s="41" t="inlineStr">
        <is>
          <t>💡 =SUM(C183:C185)</t>
        </is>
      </c>
      <c r="N186" s="46" t="inlineStr">
        <is>
          <t>🎯 A ≈ S/ 4.7328  |  B ≈ S/ 10.6730</t>
        </is>
      </c>
    </row>
    <row r="188">
      <c r="B188" s="13" t="inlineStr">
        <is>
          <t>TABLA 1 · Clasificación de los gastos operativos del mes</t>
        </is>
      </c>
    </row>
    <row r="189" ht="30" customHeight="1">
      <c r="B189" s="5" t="inlineStr">
        <is>
          <t>Gasto operativo del mes</t>
        </is>
      </c>
      <c r="C189" s="5" t="inlineStr">
        <is>
          <t>Monto del mes
sin IGV (S/)</t>
        </is>
      </c>
      <c r="D189" s="5" t="inlineStr">
        <is>
          <t>Clasificación</t>
        </is>
      </c>
    </row>
    <row r="190">
      <c r="B190" s="7" t="inlineStr">
        <is>
          <t>Personal administrativo (viene de la semana 9, sesión 1)</t>
        </is>
      </c>
      <c r="C190" s="42">
        <f>$C$72</f>
        <v/>
      </c>
      <c r="D190" s="28" t="inlineStr">
        <is>
          <t>Gasto administrativo</t>
        </is>
      </c>
    </row>
    <row r="191">
      <c r="B191" s="7" t="inlineStr">
        <is>
          <t>Limpieza del local</t>
        </is>
      </c>
      <c r="C191" s="39" t="n">
        <v>120</v>
      </c>
      <c r="D191" s="28" t="inlineStr">
        <is>
          <t>Gasto administrativo</t>
        </is>
      </c>
    </row>
    <row r="192">
      <c r="B192" s="7" t="inlineStr">
        <is>
          <t>Contador externo</t>
        </is>
      </c>
      <c r="C192" s="39" t="n">
        <v>350</v>
      </c>
      <c r="D192" s="28" t="inlineStr">
        <is>
          <t>Gasto administrativo</t>
        </is>
      </c>
    </row>
    <row r="193">
      <c r="B193" s="7" t="inlineStr">
        <is>
          <t>Internet y teléfono</t>
        </is>
      </c>
      <c r="C193" s="39" t="n">
        <v>120</v>
      </c>
      <c r="D193" s="28" t="inlineStr">
        <is>
          <t>Gasto administrativo</t>
        </is>
      </c>
    </row>
    <row r="194">
      <c r="B194" s="7" t="inlineStr">
        <is>
          <t>Mozos (viene de la semana 9, sesión 1)</t>
        </is>
      </c>
      <c r="C194" s="42">
        <f>$C$71</f>
        <v/>
      </c>
      <c r="D194" s="28" t="inlineStr">
        <is>
          <t>Gasto de ventas</t>
        </is>
      </c>
    </row>
    <row r="195">
      <c r="B195" s="7" t="inlineStr">
        <is>
          <t>Volantes y stickers promocionales</t>
        </is>
      </c>
      <c r="C195" s="39" t="n">
        <v>76.27</v>
      </c>
      <c r="D195" s="28" t="inlineStr">
        <is>
          <t>Gasto de ventas</t>
        </is>
      </c>
    </row>
    <row r="196">
      <c r="B196" s="7" t="inlineStr">
        <is>
          <t>Alquiler de la zona de terraza (atención)</t>
        </is>
      </c>
      <c r="C196" s="39" t="n">
        <v>1200</v>
      </c>
      <c r="D196" s="28" t="inlineStr">
        <is>
          <t>Gasto de ventas</t>
        </is>
      </c>
    </row>
    <row r="197">
      <c r="B197" s="7" t="inlineStr">
        <is>
          <t>Publicidad en redes sociales</t>
        </is>
      </c>
      <c r="C197" s="39" t="n">
        <v>250</v>
      </c>
      <c r="D197" s="28" t="inlineStr">
        <is>
          <t>Gasto de ventas</t>
        </is>
      </c>
    </row>
    <row r="198">
      <c r="B198" s="6" t="inlineStr">
        <is>
          <t>Total gastos administrativos del mes</t>
        </is>
      </c>
      <c r="C198" s="48" t="n"/>
      <c r="M198" s="41" t="inlineStr">
        <is>
          <t>💡 =SUMIF($D$190:$D$197,"Gasto administrativo",$C$190:$C$197)</t>
        </is>
      </c>
      <c r="N198" s="46" t="inlineStr">
        <is>
          <t>🎯 ≈ S/ 3,118.33</t>
        </is>
      </c>
    </row>
    <row r="199">
      <c r="B199" s="6" t="inlineStr">
        <is>
          <t>Total gastos de ventas del mes</t>
        </is>
      </c>
      <c r="C199" s="48" t="n"/>
      <c r="M199" s="41" t="inlineStr">
        <is>
          <t>💡 =SUMIF($D$190:$D$197,"Gasto de ventas",$C$190:$C$197)</t>
        </is>
      </c>
      <c r="N199" s="46" t="inlineStr">
        <is>
          <t>🎯 ≈ S/ 4,383.29</t>
        </is>
      </c>
    </row>
    <row r="201">
      <c r="B201" s="13" t="inlineStr">
        <is>
          <t>TABLA 2 · Estructura de costos y gastos del mes</t>
        </is>
      </c>
    </row>
    <row r="202" ht="30" customHeight="1">
      <c r="B202" s="5" t="inlineStr">
        <is>
          <t>Elemento del mes</t>
        </is>
      </c>
      <c r="C202" s="5" t="inlineStr">
        <is>
          <t>Fijo (S/)</t>
        </is>
      </c>
      <c r="D202" s="5" t="inlineStr">
        <is>
          <t>Variable (S/)</t>
        </is>
      </c>
      <c r="E202" s="5" t="inlineStr">
        <is>
          <t>Total (S/)</t>
        </is>
      </c>
      <c r="F202" s="5" t="inlineStr">
        <is>
          <t>% del total</t>
        </is>
      </c>
    </row>
    <row r="203">
      <c r="B203" s="7" t="inlineStr">
        <is>
          <t>Materia prima directa</t>
        </is>
      </c>
      <c r="C203" s="39" t="n">
        <v>0</v>
      </c>
      <c r="D203" s="40" t="n"/>
      <c r="E203" s="40" t="n"/>
      <c r="F203" s="53" t="n"/>
      <c r="M203" s="41" t="inlineStr">
        <is>
          <t>💡 Variable = MPD/u A × unidades A + MPD/u B × unidades B → =$C$183*$C$126+$D$183*$C$127</t>
        </is>
      </c>
      <c r="N203" s="46" t="inlineStr">
        <is>
          <t>🎯 ≈ S/ 4,805.92</t>
        </is>
      </c>
    </row>
    <row r="204">
      <c r="B204" s="7" t="inlineStr">
        <is>
          <t>Mano de obra directa aplicada a A y B</t>
        </is>
      </c>
      <c r="C204" s="40" t="n"/>
      <c r="D204" s="39" t="n">
        <v>0</v>
      </c>
      <c r="E204" s="40" t="n"/>
      <c r="F204" s="53" t="n"/>
      <c r="M204" s="41" t="inlineStr">
        <is>
          <t>💡 =$F$64*$C$126+$G$64*$C$127  (la MOD es FIJA: el personal está en planilla)</t>
        </is>
      </c>
      <c r="N204" s="46" t="inlineStr">
        <is>
          <t>🎯 ≈ S/ 802.26</t>
        </is>
      </c>
    </row>
    <row r="205">
      <c r="B205" s="7" t="inlineStr">
        <is>
          <t>Costos indirectos de fabricación</t>
        </is>
      </c>
      <c r="C205" s="42">
        <f>$C$121</f>
        <v/>
      </c>
      <c r="D205" s="42">
        <f>$C$120</f>
        <v/>
      </c>
      <c r="E205" s="40" t="n"/>
      <c r="F205" s="53" t="n"/>
    </row>
    <row r="206">
      <c r="B206" s="6">
        <f> COSTO DE PRODUCCIÓN DEL MES</f>
        <v/>
      </c>
      <c r="C206" s="48" t="n"/>
      <c r="D206" s="48" t="n"/>
      <c r="E206" s="48" t="n"/>
      <c r="F206" s="55" t="n"/>
      <c r="M206" s="41" t="inlineStr">
        <is>
          <t>💡 =SUM(C203:C205)  (arrástrela a las columnas D, E y F)</t>
        </is>
      </c>
      <c r="N206" s="46" t="inlineStr">
        <is>
          <t>🎯 ≈ S/ 9,521.60</t>
        </is>
      </c>
    </row>
    <row r="207">
      <c r="B207" s="7" t="inlineStr">
        <is>
          <t>Gastos administrativos</t>
        </is>
      </c>
      <c r="C207" s="42">
        <f>$C$198</f>
        <v/>
      </c>
      <c r="D207" s="39" t="n">
        <v>0</v>
      </c>
      <c r="E207" s="40" t="n"/>
      <c r="F207" s="53" t="n"/>
    </row>
    <row r="208">
      <c r="B208" s="7" t="inlineStr">
        <is>
          <t>Gastos de ventas</t>
        </is>
      </c>
      <c r="C208" s="42">
        <f>$C$199</f>
        <v/>
      </c>
      <c r="D208" s="39" t="n">
        <v>0</v>
      </c>
      <c r="E208" s="40" t="n"/>
      <c r="F208" s="53" t="n"/>
    </row>
    <row r="209">
      <c r="B209" s="6">
        <f> GASTOS OPERATIVOS DEL MES</f>
        <v/>
      </c>
      <c r="C209" s="48" t="n"/>
      <c r="D209" s="48" t="n"/>
      <c r="E209" s="48" t="n"/>
      <c r="F209" s="55" t="n"/>
      <c r="M209" s="41" t="inlineStr">
        <is>
          <t>💡 =SUM(C207:C208)  (gastos administrativos + gastos de ventas)</t>
        </is>
      </c>
    </row>
    <row r="210">
      <c r="B210" s="6">
        <f> COSTO TOTAL DEL MES</f>
        <v/>
      </c>
      <c r="C210" s="48" t="n"/>
      <c r="D210" s="48" t="n"/>
      <c r="E210" s="48" t="n"/>
      <c r="F210" s="55" t="n"/>
      <c r="M210" s="41" t="inlineStr">
        <is>
          <t>💡 Fijo =C206+C209 (costo de producción + gastos operativos). Lo mismo en D. Total =C210+D210. % =E210/$E$210 → debe dar 100 %.</t>
        </is>
      </c>
      <c r="N210" s="46" t="inlineStr">
        <is>
          <t>🎯 ≈ S/ 17,023.22  ·  el % debe sumar 100 %</t>
        </is>
      </c>
    </row>
    <row r="211">
      <c r="B211" s="50" t="inlineStr">
        <is>
          <t>🔑 En TODA esta tabla: Total (S/) = Fijo + Variable, y % del total = Total del elemento ÷ COSTO TOTAL DEL MES. Escriba el divisor como referencia absoluta $E$210 para poder arrastrar la fórmula hacia abajo.</t>
        </is>
      </c>
    </row>
    <row r="212">
      <c r="B212" s="50" t="inlineStr">
        <is>
          <t>⚠️ La planilla de MOD cuesta S/ 3,792.50 al mes, pero en A y B solo se aplican S/ 802.26. La diferencia (≈ S/ 2,990.24) es capacidad no utilizada o tiempo dedicado a otros productos de la carta: NO se carga a A ni a B. Escriba esta explicación en el párrafo del punto 4.1.</t>
        </is>
      </c>
    </row>
    <row r="216" ht="24" customHeight="1">
      <c r="A216" s="31" t="inlineStr">
        <is>
          <t>SEMANA 10 · SESIÓN 2 · Jue 22-oct   ▸   Precio de venta y margen de contribución   ▸   Tabla 10 · punto 4.2.5</t>
        </is>
      </c>
    </row>
    <row r="217">
      <c r="A217" s="32" t="inlineStr">
        <is>
          <t>🔴 PENDIENTE · era la semana 10, se recupera HOY.</t>
        </is>
      </c>
    </row>
    <row r="219" ht="84" customHeight="1">
      <c r="D219" s="12" t="inlineStr">
        <is>
          <t>La MOD no entra en el costo variable. Si el personal está en planilla, se le paga igual venda 100 o 500 unidades: es costo FIJO.</t>
        </is>
      </c>
    </row>
    <row r="221" ht="20" customHeight="1">
      <c r="A221" s="33" t="inlineStr">
        <is>
          <t>🍪 ANTOJITOS DE AREQUIPA · empresa de manufactura (alfajores)</t>
        </is>
      </c>
    </row>
    <row r="223">
      <c r="B223" s="34" t="inlineStr">
        <is>
          <t>📄 Va en el informe: Tabla 10 «Precio de venta y margen de contribución» (punto 4.2.5).</t>
        </is>
      </c>
    </row>
    <row r="224" ht="39" customHeight="1">
      <c r="A224" s="35" t="inlineStr">
        <is>
          <t>📘</t>
        </is>
      </c>
      <c r="B224" s="14" t="inlineStr">
        <is>
          <t>ANTOJITOS DE AREQUIPA cobra hoy S/ 25.00 por el producto A y S/ 32.00 por el producto B (precios CON IGV). En el costo variable entran la materia prima directa y el CIF variable; la MOD NO entra porque el personal está en planilla y se paga igual.</t>
        </is>
      </c>
    </row>
    <row r="226" ht="30" customHeight="1">
      <c r="B226" s="5" t="inlineStr">
        <is>
          <t>Concepto</t>
        </is>
      </c>
      <c r="C226" s="5" t="inlineStr">
        <is>
          <t>A: Caja de 12 alfajorcitos de manjar blanco</t>
        </is>
      </c>
      <c r="D226" s="5" t="inlineStr">
        <is>
          <t>B: Caja de 6 alfajores bañados en chocolate</t>
        </is>
      </c>
    </row>
    <row r="227">
      <c r="B227" s="7" t="inlineStr">
        <is>
          <t>Precio de venta CON IGV (S/)</t>
        </is>
      </c>
      <c r="C227" s="39" t="n">
        <v>25</v>
      </c>
      <c r="D227" s="39" t="n">
        <v>32</v>
      </c>
    </row>
    <row r="228">
      <c r="B228" s="7" t="inlineStr">
        <is>
          <t>Precio de venta SIN IGV (÷ 1.18)</t>
        </is>
      </c>
      <c r="C228" s="40" t="n"/>
      <c r="D228" s="40" t="n"/>
      <c r="M228" s="41" t="inlineStr">
        <is>
          <t>💡 =C227/1.18</t>
        </is>
      </c>
      <c r="N228" s="46" t="inlineStr">
        <is>
          <t>🎯 A ≈ S/ 21.1864  |  B ≈ S/ 27.1186</t>
        </is>
      </c>
    </row>
    <row r="229">
      <c r="B229" s="7" t="inlineStr">
        <is>
          <t>Materia prima directa por unidad</t>
        </is>
      </c>
      <c r="C229" s="57">
        <f>$C$144</f>
        <v/>
      </c>
      <c r="D229" s="57">
        <f>$D$144</f>
        <v/>
      </c>
    </row>
    <row r="230">
      <c r="B230" s="7" t="inlineStr">
        <is>
          <t>CIF variable por unidad</t>
        </is>
      </c>
      <c r="C230" s="57">
        <f>$I$101</f>
        <v/>
      </c>
      <c r="D230" s="57">
        <f>$I$102</f>
        <v/>
      </c>
    </row>
    <row r="231">
      <c r="B231" s="6" t="inlineStr">
        <is>
          <t>➡️ COSTO VARIABLE UNITARIO</t>
        </is>
      </c>
      <c r="C231" s="45" t="n"/>
      <c r="D231" s="45" t="n"/>
      <c r="M231" s="41" t="inlineStr">
        <is>
          <t>💡 =C229+C230</t>
        </is>
      </c>
      <c r="N231" s="46" t="inlineStr">
        <is>
          <t>🎯 A ≈ S/ 8.1756  |  B ≈ S/ 12.3594</t>
        </is>
      </c>
    </row>
    <row r="232">
      <c r="B232" s="6" t="inlineStr">
        <is>
          <t>➡️ MARGEN DE CONTRIBUCIÓN UNITARIO (precio sin IGV − costo variable)</t>
        </is>
      </c>
      <c r="C232" s="45" t="n"/>
      <c r="D232" s="45" t="n"/>
      <c r="N232" s="46" t="inlineStr">
        <is>
          <t>🎯 A ≈ S/ 13.0108  |  B ≈ S/ 14.7592  ←  número clave de todo el capítulo 4</t>
        </is>
      </c>
    </row>
    <row r="233">
      <c r="B233" s="7" t="inlineStr">
        <is>
          <t>Margen de contribución (%)</t>
        </is>
      </c>
      <c r="C233" s="53" t="n"/>
      <c r="D233" s="53" t="n"/>
      <c r="N233" s="46" t="inlineStr">
        <is>
          <t>🎯 A ≈ 61.4%  |  B ≈ 54.4%</t>
        </is>
      </c>
    </row>
    <row r="234">
      <c r="B234" s="7" t="inlineStr">
        <is>
          <t>Costo unitario total (viene de la sesión anterior)</t>
        </is>
      </c>
      <c r="C234" s="57">
        <f>$C$147</f>
        <v/>
      </c>
      <c r="D234" s="57">
        <f>$D$147</f>
        <v/>
      </c>
    </row>
    <row r="235">
      <c r="B235" s="7" t="inlineStr">
        <is>
          <t>Utilidad por unidad (precio sin IGV − costo unitario total)</t>
        </is>
      </c>
      <c r="C235" s="44" t="n"/>
      <c r="D235" s="44" t="n"/>
      <c r="N235" s="46" t="inlineStr">
        <is>
          <t>🎯 A ≈ S/ 10.8215  |  B ≈ S/ 11.9884</t>
        </is>
      </c>
    </row>
    <row r="236">
      <c r="B236" s="7" t="inlineStr">
        <is>
          <t>Margen de utilidad (%)</t>
        </is>
      </c>
      <c r="C236" s="53" t="n"/>
      <c r="D236" s="53" t="n"/>
    </row>
    <row r="239" ht="20" customHeight="1">
      <c r="A239" s="49" t="inlineStr">
        <is>
          <t>☕ CAFÉ Y VINO WINE BAR · empresa de servicio (wine bar y cafetería)</t>
        </is>
      </c>
    </row>
    <row r="241">
      <c r="B241" s="34" t="inlineStr">
        <is>
          <t>📄 Va en el informe: Tabla 10 «Precio de venta y margen de contribución» (punto 4.2.5).</t>
        </is>
      </c>
    </row>
    <row r="242" ht="39" customHeight="1">
      <c r="A242" s="35" t="inlineStr">
        <is>
          <t>📘</t>
        </is>
      </c>
      <c r="B242" s="14" t="inlineStr">
        <is>
          <t>CAFÉ Y VINO WINE BAR cobra hoy S/ 11.00 por el producto A y S/ 27.00 por el producto B (precios CON IGV). En el costo variable entran la materia prima directa y el CIF variable; la MOD NO entra porque el personal está en planilla y se paga igual.</t>
        </is>
      </c>
    </row>
    <row r="244" ht="30" customHeight="1">
      <c r="B244" s="5" t="inlineStr">
        <is>
          <t>Concepto</t>
        </is>
      </c>
      <c r="C244" s="5" t="inlineStr">
        <is>
          <t>A: Capuccino (taza de 8 oz)</t>
        </is>
      </c>
      <c r="D244" s="5" t="inlineStr">
        <is>
          <t>B: Piña colada (vaso de 12 oz)</t>
        </is>
      </c>
    </row>
    <row r="245">
      <c r="B245" s="7" t="inlineStr">
        <is>
          <t>Precio de venta CON IGV (S/)</t>
        </is>
      </c>
      <c r="C245" s="39" t="n">
        <v>11</v>
      </c>
      <c r="D245" s="39" t="n">
        <v>27</v>
      </c>
    </row>
    <row r="246">
      <c r="B246" s="7" t="inlineStr">
        <is>
          <t>Precio de venta SIN IGV (÷ 1.18)</t>
        </is>
      </c>
      <c r="C246" s="40" t="n"/>
      <c r="D246" s="40" t="n"/>
      <c r="M246" s="41" t="inlineStr">
        <is>
          <t>💡 =C245/1.18</t>
        </is>
      </c>
      <c r="N246" s="46" t="inlineStr">
        <is>
          <t>🎯 A ≈ S/ 9.3220  |  B ≈ S/ 22.8814</t>
        </is>
      </c>
    </row>
    <row r="247">
      <c r="B247" s="7" t="inlineStr">
        <is>
          <t>Materia prima directa por unidad</t>
        </is>
      </c>
      <c r="C247" s="57">
        <f>$C$183</f>
        <v/>
      </c>
      <c r="D247" s="57">
        <f>$D$183</f>
        <v/>
      </c>
    </row>
    <row r="248">
      <c r="B248" s="7" t="inlineStr">
        <is>
          <t>CIF variable por unidad</t>
        </is>
      </c>
      <c r="C248" s="57">
        <f>$I$126</f>
        <v/>
      </c>
      <c r="D248" s="57">
        <f>$I$127</f>
        <v/>
      </c>
    </row>
    <row r="249">
      <c r="B249" s="6" t="inlineStr">
        <is>
          <t>➡️ COSTO VARIABLE UNITARIO</t>
        </is>
      </c>
      <c r="C249" s="45" t="n"/>
      <c r="D249" s="45" t="n"/>
      <c r="M249" s="41" t="inlineStr">
        <is>
          <t>💡 =C247+C248</t>
        </is>
      </c>
      <c r="N249" s="46" t="inlineStr">
        <is>
          <t>🎯 A ≈ S/ 2.4637  |  B ≈ S/ 6.7900</t>
        </is>
      </c>
    </row>
    <row r="250">
      <c r="B250" s="6" t="inlineStr">
        <is>
          <t>➡️ MARGEN DE CONTRIBUCIÓN UNITARIO (precio sin IGV − costo variable)</t>
        </is>
      </c>
      <c r="C250" s="45" t="n"/>
      <c r="D250" s="45" t="n"/>
      <c r="N250" s="46" t="inlineStr">
        <is>
          <t>🎯 A ≈ S/ 6.8583  |  B ≈ S/ 16.0914  ←  número clave de todo el capítulo 4</t>
        </is>
      </c>
    </row>
    <row r="251">
      <c r="B251" s="7" t="inlineStr">
        <is>
          <t>Margen de contribución (%)</t>
        </is>
      </c>
      <c r="C251" s="53" t="n"/>
      <c r="D251" s="53" t="n"/>
      <c r="N251" s="46" t="inlineStr">
        <is>
          <t>🎯 A ≈ 73.6%  |  B ≈ 70.3%</t>
        </is>
      </c>
    </row>
    <row r="252">
      <c r="B252" s="7" t="inlineStr">
        <is>
          <t>Costo unitario total (viene de la sesión anterior)</t>
        </is>
      </c>
      <c r="C252" s="57">
        <f>$C$186</f>
        <v/>
      </c>
      <c r="D252" s="57">
        <f>$D$186</f>
        <v/>
      </c>
    </row>
    <row r="253">
      <c r="B253" s="7" t="inlineStr">
        <is>
          <t>Utilidad por unidad (precio sin IGV − costo unitario total)</t>
        </is>
      </c>
      <c r="C253" s="44" t="n"/>
      <c r="D253" s="44" t="n"/>
      <c r="N253" s="46" t="inlineStr">
        <is>
          <t>🎯 A ≈ S/ 4.5893  |  B ≈ S/ 12.2083</t>
        </is>
      </c>
    </row>
    <row r="254">
      <c r="B254" s="7" t="inlineStr">
        <is>
          <t>Margen de utilidad (%)</t>
        </is>
      </c>
      <c r="C254" s="53" t="n"/>
      <c r="D254" s="53" t="n"/>
    </row>
    <row r="258" ht="24" customHeight="1">
      <c r="A258" s="31" t="inlineStr">
        <is>
          <t>SEMANA 11 · SESIÓN 1 · Mar 27-oct   ▸   Punto de equilibrio con margen de contribución ponderado   ▸   Tabla 11 y Figura 1 · punto 4.2.6</t>
        </is>
      </c>
    </row>
    <row r="259">
      <c r="A259" s="32" t="inlineStr">
        <is>
          <t>🟠 ES LA CLASE DE HOY · semana 11, sesión 1.</t>
        </is>
      </c>
    </row>
    <row r="261" ht="84" customHeight="1">
      <c r="D261" s="12" t="inlineStr">
        <is>
          <t>Con dos productos no sirve el margen de uno solo. Hay que ponderar: cada producto aporta según el peso que tiene en la mezcla de ventas.</t>
        </is>
      </c>
    </row>
    <row r="263" ht="20" customHeight="1">
      <c r="A263" s="33" t="inlineStr">
        <is>
          <t>🍪 ANTOJITOS DE AREQUIPA · empresa de manufactura (alfajores)</t>
        </is>
      </c>
    </row>
    <row r="265">
      <c r="B265" s="34" t="inlineStr">
        <is>
          <t>📄 Va en el informe: Tabla 11 «Punto de equilibrio actual» y Figura 1 «Gráfico del punto de equilibrio» (punto 4.2.6).</t>
        </is>
      </c>
    </row>
    <row r="266" ht="39" customHeight="1">
      <c r="A266" s="35" t="inlineStr">
        <is>
          <t>📘</t>
        </is>
      </c>
      <c r="B266" s="14" t="inlineStr">
        <is>
          <t>ANTOJITOS DE AREQUIPA quiere saber cuántas unidades debe vender al mes para no ganar ni perder. Como vende DOS productos, no se usa el margen de uno solo: se usa el MARGEN DE CONTRIBUCIÓN PONDERADO según la mezcla de ventas.</t>
        </is>
      </c>
    </row>
    <row r="268">
      <c r="B268" s="13" t="inlineStr">
        <is>
          <t>PASO 1 · Costos y gastos FIJOS del mes</t>
        </is>
      </c>
    </row>
    <row r="269" ht="30" customHeight="1">
      <c r="B269" s="5" t="inlineStr">
        <is>
          <t>Costo fijo del mes</t>
        </is>
      </c>
      <c r="C269" s="5" t="inlineStr">
        <is>
          <t>Monto (S/)</t>
        </is>
      </c>
    </row>
    <row r="270">
      <c r="B270" s="7" t="inlineStr">
        <is>
          <t>Mano de obra directa aplicada a A y B (semana 10)</t>
        </is>
      </c>
      <c r="C270" s="42">
        <f>$C$165</f>
        <v/>
      </c>
    </row>
    <row r="271">
      <c r="B271" s="7" t="inlineStr">
        <is>
          <t>CIF fijos (semana 9, sesión 2)</t>
        </is>
      </c>
      <c r="C271" s="42">
        <f>$C$96</f>
        <v/>
      </c>
    </row>
    <row r="272">
      <c r="B272" s="7" t="inlineStr">
        <is>
          <t>Gastos administrativos (semana 10)</t>
        </is>
      </c>
      <c r="C272" s="42">
        <f>$C$159</f>
        <v/>
      </c>
    </row>
    <row r="273">
      <c r="B273" s="7" t="inlineStr">
        <is>
          <t>Gastos de ventas (semana 10)</t>
        </is>
      </c>
      <c r="C273" s="42">
        <f>$C$160</f>
        <v/>
      </c>
    </row>
    <row r="274">
      <c r="B274" s="6" t="inlineStr">
        <is>
          <t>➡️ TOTAL COSTOS FIJOS DEL MES</t>
        </is>
      </c>
      <c r="C274" s="48" t="n"/>
      <c r="M274" s="41" t="inlineStr">
        <is>
          <t>💡 =SUM(C270:C273)</t>
        </is>
      </c>
      <c r="N274" s="46" t="inlineStr">
        <is>
          <t>🎯 ≈ S/ 19,099.98</t>
        </is>
      </c>
    </row>
    <row r="276">
      <c r="B276" s="13" t="inlineStr">
        <is>
          <t>PASO 2 · Mezcla de ventas y margen de contribución ponderado</t>
        </is>
      </c>
    </row>
    <row r="277" ht="30" customHeight="1">
      <c r="B277" s="5" t="inlineStr">
        <is>
          <t>Producto</t>
        </is>
      </c>
      <c r="C277" s="5" t="inlineStr">
        <is>
          <t>Ventas anuales
(unidades)</t>
        </is>
      </c>
      <c r="D277" s="5" t="inlineStr">
        <is>
          <t>% de la mezcla</t>
        </is>
      </c>
      <c r="E277" s="5" t="inlineStr">
        <is>
          <t>Margen de contribución
unitario (S/)</t>
        </is>
      </c>
      <c r="F277" s="5" t="inlineStr">
        <is>
          <t>Margen
ponderado (S/)</t>
        </is>
      </c>
      <c r="G277" s="5" t="inlineStr">
        <is>
          <t>Precio sin IGV (S/)</t>
        </is>
      </c>
    </row>
    <row r="278">
      <c r="B278" s="7" t="inlineStr">
        <is>
          <t>A: Caja de 12 alfajorcitos de manjar blanco</t>
        </is>
      </c>
      <c r="C278" s="37" t="n">
        <v>33500</v>
      </c>
      <c r="D278" s="53" t="n"/>
      <c r="E278" s="57">
        <f>$C$232</f>
        <v/>
      </c>
      <c r="F278" s="44" t="n"/>
      <c r="G278" s="42">
        <f>$C$228</f>
        <v/>
      </c>
      <c r="M278" s="41" t="inlineStr">
        <is>
          <t>💡 % mezcla = ventas del producto ÷ ventas totales → =C278/$C$280   |   margen ponderado = D278*E278</t>
        </is>
      </c>
    </row>
    <row r="279">
      <c r="B279" s="7" t="inlineStr">
        <is>
          <t>B: Caja de 6 alfajores bañados en chocolate</t>
        </is>
      </c>
      <c r="C279" s="37" t="n">
        <v>16900</v>
      </c>
      <c r="D279" s="53" t="n"/>
      <c r="E279" s="57">
        <f>$D$232</f>
        <v/>
      </c>
      <c r="F279" s="44" t="n"/>
      <c r="G279" s="42">
        <f>$D$228</f>
        <v/>
      </c>
      <c r="N279" s="46" t="inlineStr">
        <is>
          <t>🎯 % mezcla: A ≈ 66.5%  |  B ≈ 33.5%</t>
        </is>
      </c>
    </row>
    <row r="280">
      <c r="B280" s="6" t="inlineStr">
        <is>
          <t>TOTAL</t>
        </is>
      </c>
      <c r="C280" s="58" t="n"/>
      <c r="D280" s="55" t="n"/>
      <c r="F280" s="45" t="n"/>
      <c r="N280" s="46" t="inlineStr">
        <is>
          <t>🎯 MARGEN PONDERADO ≈ S/ 13.5971  ← va en la Tabla 11 del informe</t>
        </is>
      </c>
    </row>
    <row r="282">
      <c r="B282" s="13" t="inlineStr">
        <is>
          <t>PASO 3 · Punto de equilibrio y margen de seguridad</t>
        </is>
      </c>
    </row>
    <row r="283" ht="30" customHeight="1">
      <c r="B283" s="5" t="inlineStr">
        <is>
          <t>Resultado</t>
        </is>
      </c>
      <c r="C283" s="5" t="inlineStr">
        <is>
          <t>Valor</t>
        </is>
      </c>
    </row>
    <row r="284">
      <c r="B284" s="6" t="inlineStr">
        <is>
          <t>Punto de equilibrio TOTAL (unidades al mes, redondeado hacia arriba)</t>
        </is>
      </c>
      <c r="C284" s="58" t="n"/>
      <c r="M284" s="41" t="inlineStr">
        <is>
          <t>💡 =ROUNDUP($C$274/$F$280,0)</t>
        </is>
      </c>
      <c r="N284" s="46" t="inlineStr">
        <is>
          <t>🎯 ≈ 1,405 cajas al mes</t>
        </is>
      </c>
    </row>
    <row r="285">
      <c r="B285" s="7" t="inlineStr">
        <is>
          <t>Punto de equilibrio del producto A (unidades)</t>
        </is>
      </c>
      <c r="C285" s="59" t="n"/>
      <c r="M285" s="41" t="inlineStr">
        <is>
          <t>💡 =ROUND($C$284*$D$278,0)</t>
        </is>
      </c>
      <c r="N285" s="46" t="inlineStr">
        <is>
          <t>🎯 ≈ 934</t>
        </is>
      </c>
    </row>
    <row r="286">
      <c r="B286" s="7" t="inlineStr">
        <is>
          <t>Punto de equilibrio del producto B (unidades)</t>
        </is>
      </c>
      <c r="C286" s="59" t="n"/>
      <c r="N286" s="46" t="inlineStr">
        <is>
          <t>🎯 ≈ 471</t>
        </is>
      </c>
    </row>
    <row r="287">
      <c r="B287" s="6" t="inlineStr">
        <is>
          <t>Punto de equilibrio EN SOLES (al mes)</t>
        </is>
      </c>
      <c r="C287" s="48" t="n"/>
      <c r="M287" s="41" t="inlineStr">
        <is>
          <t>💡 = unidades A × precio sin IGV A + unidades B × precio sin IGV B</t>
        </is>
      </c>
      <c r="N287" s="46" t="inlineStr">
        <is>
          <t>🎯 ≈ S/ 32,561.02</t>
        </is>
      </c>
    </row>
    <row r="288">
      <c r="B288" s="7" t="inlineStr">
        <is>
          <t>Ventas promedio al mes (unidades)</t>
        </is>
      </c>
      <c r="C288" s="52" t="n"/>
      <c r="M288" s="41" t="inlineStr">
        <is>
          <t>💡 =($C$278+$C$279)/12</t>
        </is>
      </c>
      <c r="N288" s="46" t="inlineStr">
        <is>
          <t>🎯 ≈ 4,200</t>
        </is>
      </c>
    </row>
    <row r="289">
      <c r="B289" s="6" t="inlineStr">
        <is>
          <t>➡️ MARGEN DE SEGURIDAD (%)</t>
        </is>
      </c>
      <c r="C289" s="55" t="n"/>
      <c r="M289" s="41" t="inlineStr">
        <is>
          <t>💡 =($C$288-$C$284)/$C$288</t>
        </is>
      </c>
      <c r="N289" s="46" t="inlineStr">
        <is>
          <t>🎯 ≈ 66.5%  ✅ la empresa SÍ supera su punto de equilibrio</t>
        </is>
      </c>
    </row>
    <row r="291" ht="52" customHeight="1">
      <c r="A291" s="35" t="inlineStr">
        <is>
          <t>📈</t>
        </is>
      </c>
      <c r="B291" s="14" t="inlineStr">
        <is>
          <t>FIGURA 1 del informe · cómo hacer el gráfico: seleccione una tabla auxiliar con 6 niveles de unidades (0, 25 %, 50 %, 75 %, 100 % y 125 % del punto de equilibrio) y tres columnas: INGRESOS = unidades × precio ponderado, COSTO TOTAL = costos fijos + unidades × costo variable ponderado, COSTO FIJO = valor constante. Inserte un gráfico de LÍNEAS. El punto donde se cruzan ingresos y costo total es el punto de equilibrio.</t>
        </is>
      </c>
    </row>
    <row r="292" ht="30" customHeight="1">
      <c r="B292" s="5" t="inlineStr">
        <is>
          <t>Unidades del mes</t>
        </is>
      </c>
      <c r="C292" s="5" t="inlineStr">
        <is>
          <t>Ingresos (S/)</t>
        </is>
      </c>
      <c r="D292" s="5" t="inlineStr">
        <is>
          <t>Costo total (S/)</t>
        </is>
      </c>
      <c r="E292" s="5" t="inlineStr">
        <is>
          <t>Costo fijo (S/)</t>
        </is>
      </c>
    </row>
    <row r="293">
      <c r="B293" s="59" t="n"/>
      <c r="C293" s="40" t="n"/>
      <c r="D293" s="40" t="n"/>
      <c r="E293" s="40" t="n"/>
      <c r="M293" s="41" t="inlineStr">
        <is>
          <t>💡 Columna B: escriba $C$284*0 %, *25 %, *50 %, *75 %, *100 % y *125 %  |  C = B × precio ponderado (precio A × % mezcla A + precio B × % mezcla B)  |  D = $C$274 + B × costo variable ponderado  |  E = $C$274 (constante)</t>
        </is>
      </c>
    </row>
    <row r="294">
      <c r="B294" s="59" t="n"/>
      <c r="C294" s="40" t="n"/>
      <c r="D294" s="40" t="n"/>
      <c r="E294" s="40" t="n"/>
    </row>
    <row r="295">
      <c r="B295" s="59" t="n"/>
      <c r="C295" s="40" t="n"/>
      <c r="D295" s="40" t="n"/>
      <c r="E295" s="40" t="n"/>
    </row>
    <row r="296">
      <c r="B296" s="59" t="n"/>
      <c r="C296" s="40" t="n"/>
      <c r="D296" s="40" t="n"/>
      <c r="E296" s="40" t="n"/>
    </row>
    <row r="297">
      <c r="B297" s="59" t="n"/>
      <c r="C297" s="40" t="n"/>
      <c r="D297" s="40" t="n"/>
      <c r="E297" s="40" t="n"/>
    </row>
    <row r="298">
      <c r="B298" s="59" t="n"/>
      <c r="C298" s="40" t="n"/>
      <c r="D298" s="40" t="n"/>
      <c r="E298" s="40" t="n"/>
    </row>
    <row r="301" ht="20" customHeight="1">
      <c r="A301" s="49" t="inlineStr">
        <is>
          <t>☕ CAFÉ Y VINO WINE BAR · empresa de servicio (wine bar y cafetería)</t>
        </is>
      </c>
    </row>
    <row r="303">
      <c r="B303" s="34" t="inlineStr">
        <is>
          <t>📄 Va en el informe: Tabla 11 «Punto de equilibrio actual» y Figura 1 «Gráfico del punto de equilibrio» (punto 4.2.6).</t>
        </is>
      </c>
    </row>
    <row r="304" ht="39" customHeight="1">
      <c r="A304" s="35" t="inlineStr">
        <is>
          <t>📘</t>
        </is>
      </c>
      <c r="B304" s="14" t="inlineStr">
        <is>
          <t>CAFÉ Y VINO WINE BAR quiere saber cuántas unidades debe vender al mes para no ganar ni perder. Como vende DOS productos, no se usa el margen de uno solo: se usa el MARGEN DE CONTRIBUCIÓN PONDERADO según la mezcla de ventas.</t>
        </is>
      </c>
    </row>
    <row r="306">
      <c r="B306" s="13" t="inlineStr">
        <is>
          <t>PASO 1 · Costos y gastos FIJOS del mes</t>
        </is>
      </c>
    </row>
    <row r="307" ht="30" customHeight="1">
      <c r="B307" s="5" t="inlineStr">
        <is>
          <t>Costo fijo del mes</t>
        </is>
      </c>
      <c r="C307" s="5" t="inlineStr">
        <is>
          <t>Monto (S/)</t>
        </is>
      </c>
    </row>
    <row r="308">
      <c r="B308" s="7" t="inlineStr">
        <is>
          <t>Mano de obra directa aplicada a A y B (semana 10)</t>
        </is>
      </c>
      <c r="C308" s="42">
        <f>$C$204</f>
        <v/>
      </c>
    </row>
    <row r="309">
      <c r="B309" s="7" t="inlineStr">
        <is>
          <t>CIF fijos (semana 9, sesión 2)</t>
        </is>
      </c>
      <c r="C309" s="42">
        <f>$C$121</f>
        <v/>
      </c>
    </row>
    <row r="310">
      <c r="B310" s="7" t="inlineStr">
        <is>
          <t>Gastos administrativos (semana 10)</t>
        </is>
      </c>
      <c r="C310" s="42">
        <f>$C$198</f>
        <v/>
      </c>
    </row>
    <row r="311">
      <c r="B311" s="7" t="inlineStr">
        <is>
          <t>Gastos de ventas (semana 10)</t>
        </is>
      </c>
      <c r="C311" s="42">
        <f>$C$199</f>
        <v/>
      </c>
    </row>
    <row r="312">
      <c r="B312" s="6" t="inlineStr">
        <is>
          <t>➡️ TOTAL COSTOS FIJOS DEL MES</t>
        </is>
      </c>
      <c r="C312" s="48" t="n"/>
      <c r="M312" s="41" t="inlineStr">
        <is>
          <t>💡 =SUM(C308:C311)</t>
        </is>
      </c>
      <c r="N312" s="46" t="inlineStr">
        <is>
          <t>🎯 ≈ S/ 11,622.39</t>
        </is>
      </c>
    </row>
    <row r="314">
      <c r="B314" s="13" t="inlineStr">
        <is>
          <t>PASO 2 · Mezcla de ventas y margen de contribución ponderado</t>
        </is>
      </c>
    </row>
    <row r="315" ht="30" customHeight="1">
      <c r="B315" s="5" t="inlineStr">
        <is>
          <t>Producto</t>
        </is>
      </c>
      <c r="C315" s="5" t="inlineStr">
        <is>
          <t>Ventas anuales
(unidades)</t>
        </is>
      </c>
      <c r="D315" s="5" t="inlineStr">
        <is>
          <t>% de la mezcla</t>
        </is>
      </c>
      <c r="E315" s="5" t="inlineStr">
        <is>
          <t>Margen de contribución
unitario (S/)</t>
        </is>
      </c>
      <c r="F315" s="5" t="inlineStr">
        <is>
          <t>Margen
ponderado (S/)</t>
        </is>
      </c>
      <c r="G315" s="5" t="inlineStr">
        <is>
          <t>Precio sin IGV (S/)</t>
        </is>
      </c>
    </row>
    <row r="316">
      <c r="B316" s="7" t="inlineStr">
        <is>
          <t>A: Capuccino (taza de 8 oz)</t>
        </is>
      </c>
      <c r="C316" s="37" t="n">
        <v>14400</v>
      </c>
      <c r="D316" s="53" t="n"/>
      <c r="E316" s="57">
        <f>$C$250</f>
        <v/>
      </c>
      <c r="F316" s="44" t="n"/>
      <c r="G316" s="42">
        <f>$C$246</f>
        <v/>
      </c>
      <c r="M316" s="41" t="inlineStr">
        <is>
          <t>💡 % mezcla = ventas del producto ÷ ventas totales → =C316/$C$318   |   margen ponderado = D316*E316</t>
        </is>
      </c>
    </row>
    <row r="317">
      <c r="B317" s="7" t="inlineStr">
        <is>
          <t>B: Piña colada (vaso de 12 oz)</t>
        </is>
      </c>
      <c r="C317" s="37" t="n">
        <v>4320</v>
      </c>
      <c r="D317" s="53" t="n"/>
      <c r="E317" s="57">
        <f>$D$250</f>
        <v/>
      </c>
      <c r="F317" s="44" t="n"/>
      <c r="G317" s="42">
        <f>$D$246</f>
        <v/>
      </c>
      <c r="N317" s="46" t="inlineStr">
        <is>
          <t>🎯 % mezcla: A ≈ 76.9%  |  B ≈ 23.1%</t>
        </is>
      </c>
    </row>
    <row r="318">
      <c r="B318" s="6" t="inlineStr">
        <is>
          <t>TOTAL</t>
        </is>
      </c>
      <c r="C318" s="58" t="n"/>
      <c r="D318" s="55" t="n"/>
      <c r="F318" s="45" t="n"/>
      <c r="N318" s="46" t="inlineStr">
        <is>
          <t>🎯 MARGEN PONDERADO ≈ S/ 8.9890  ← va en la Tabla 11 del informe</t>
        </is>
      </c>
    </row>
    <row r="320">
      <c r="B320" s="13" t="inlineStr">
        <is>
          <t>PASO 3 · Punto de equilibrio y margen de seguridad</t>
        </is>
      </c>
    </row>
    <row r="321" ht="30" customHeight="1">
      <c r="B321" s="5" t="inlineStr">
        <is>
          <t>Resultado</t>
        </is>
      </c>
      <c r="C321" s="5" t="inlineStr">
        <is>
          <t>Valor</t>
        </is>
      </c>
    </row>
    <row r="322">
      <c r="B322" s="6" t="inlineStr">
        <is>
          <t>Punto de equilibrio TOTAL (unidades al mes, redondeado hacia arriba)</t>
        </is>
      </c>
      <c r="C322" s="58" t="n"/>
      <c r="M322" s="41" t="inlineStr">
        <is>
          <t>💡 =ROUNDUP($C$312/$F$318,0)</t>
        </is>
      </c>
      <c r="N322" s="46" t="inlineStr">
        <is>
          <t>🎯 ≈ 1,293 bebidas al mes</t>
        </is>
      </c>
    </row>
    <row r="323">
      <c r="B323" s="7" t="inlineStr">
        <is>
          <t>Punto de equilibrio del producto A (unidades)</t>
        </is>
      </c>
      <c r="C323" s="59" t="n"/>
      <c r="M323" s="41" t="inlineStr">
        <is>
          <t>💡 =ROUND($C$322*$D$316,0)</t>
        </is>
      </c>
      <c r="N323" s="46" t="inlineStr">
        <is>
          <t>🎯 ≈ 995</t>
        </is>
      </c>
    </row>
    <row r="324">
      <c r="B324" s="7" t="inlineStr">
        <is>
          <t>Punto de equilibrio del producto B (unidades)</t>
        </is>
      </c>
      <c r="C324" s="59" t="n"/>
      <c r="N324" s="46" t="inlineStr">
        <is>
          <t>🎯 ≈ 298</t>
        </is>
      </c>
    </row>
    <row r="325">
      <c r="B325" s="6" t="inlineStr">
        <is>
          <t>Punto de equilibrio EN SOLES (al mes)</t>
        </is>
      </c>
      <c r="C325" s="48" t="n"/>
      <c r="M325" s="41" t="inlineStr">
        <is>
          <t>💡 = unidades A × precio sin IGV A + unidades B × precio sin IGV B</t>
        </is>
      </c>
      <c r="N325" s="46" t="inlineStr">
        <is>
          <t>🎯 ≈ S/ 16,094.07</t>
        </is>
      </c>
    </row>
    <row r="326">
      <c r="B326" s="7" t="inlineStr">
        <is>
          <t>Ventas promedio al mes (unidades)</t>
        </is>
      </c>
      <c r="C326" s="52" t="n"/>
      <c r="M326" s="41" t="inlineStr">
        <is>
          <t>💡 =($C$316+$C$317)/12</t>
        </is>
      </c>
      <c r="N326" s="46" t="inlineStr">
        <is>
          <t>🎯 ≈ 1,560</t>
        </is>
      </c>
    </row>
    <row r="327">
      <c r="B327" s="6" t="inlineStr">
        <is>
          <t>➡️ MARGEN DE SEGURIDAD (%)</t>
        </is>
      </c>
      <c r="C327" s="55" t="n"/>
      <c r="M327" s="41" t="inlineStr">
        <is>
          <t>💡 =($C$326-$C$322)/$C$326</t>
        </is>
      </c>
      <c r="N327" s="46" t="inlineStr">
        <is>
          <t>🎯 ≈ 17.1%  ✅ la empresa SÍ supera su punto de equilibrio</t>
        </is>
      </c>
    </row>
    <row r="329" ht="52" customHeight="1">
      <c r="A329" s="35" t="inlineStr">
        <is>
          <t>📈</t>
        </is>
      </c>
      <c r="B329" s="14" t="inlineStr">
        <is>
          <t>FIGURA 1 del informe · cómo hacer el gráfico: seleccione una tabla auxiliar con 6 niveles de unidades (0, 25 %, 50 %, 75 %, 100 % y 125 % del punto de equilibrio) y tres columnas: INGRESOS = unidades × precio ponderado, COSTO TOTAL = costos fijos + unidades × costo variable ponderado, COSTO FIJO = valor constante. Inserte un gráfico de LÍNEAS. El punto donde se cruzan ingresos y costo total es el punto de equilibrio.</t>
        </is>
      </c>
    </row>
    <row r="330" ht="30" customHeight="1">
      <c r="B330" s="5" t="inlineStr">
        <is>
          <t>Unidades del mes</t>
        </is>
      </c>
      <c r="C330" s="5" t="inlineStr">
        <is>
          <t>Ingresos (S/)</t>
        </is>
      </c>
      <c r="D330" s="5" t="inlineStr">
        <is>
          <t>Costo total (S/)</t>
        </is>
      </c>
      <c r="E330" s="5" t="inlineStr">
        <is>
          <t>Costo fijo (S/)</t>
        </is>
      </c>
    </row>
    <row r="331">
      <c r="B331" s="59" t="n"/>
      <c r="C331" s="40" t="n"/>
      <c r="D331" s="40" t="n"/>
      <c r="E331" s="40" t="n"/>
      <c r="M331" s="41" t="inlineStr">
        <is>
          <t>💡 Columna B: escriba $C$322*0 %, *25 %, *50 %, *75 %, *100 % y *125 %  |  C = B × precio ponderado (precio A × % mezcla A + precio B × % mezcla B)  |  D = $C$312 + B × costo variable ponderado  |  E = $C$312 (constante)</t>
        </is>
      </c>
    </row>
    <row r="332">
      <c r="B332" s="59" t="n"/>
      <c r="C332" s="40" t="n"/>
      <c r="D332" s="40" t="n"/>
      <c r="E332" s="40" t="n"/>
    </row>
    <row r="333">
      <c r="B333" s="59" t="n"/>
      <c r="C333" s="40" t="n"/>
      <c r="D333" s="40" t="n"/>
      <c r="E333" s="40" t="n"/>
    </row>
    <row r="334">
      <c r="B334" s="59" t="n"/>
      <c r="C334" s="40" t="n"/>
      <c r="D334" s="40" t="n"/>
      <c r="E334" s="40" t="n"/>
    </row>
    <row r="335">
      <c r="B335" s="59" t="n"/>
      <c r="C335" s="40" t="n"/>
      <c r="D335" s="40" t="n"/>
      <c r="E335" s="40" t="n"/>
    </row>
    <row r="336">
      <c r="B336" s="59" t="n"/>
      <c r="C336" s="40" t="n"/>
      <c r="D336" s="40" t="n"/>
      <c r="E336" s="40" t="n"/>
    </row>
    <row r="340" ht="24" customHeight="1">
      <c r="A340" s="31" t="inlineStr">
        <is>
          <t>SEMANA 11 · SESIÓN 2 · Jue 29-oct   ▸   Presupuesto de ventas en soles   ▸   Tabla 13 · punto 4.4.1</t>
        </is>
      </c>
    </row>
    <row r="341">
      <c r="A341" s="32" t="inlineStr">
        <is>
          <t>🟠 SEMANA 11, SESIÓN 2 · jueves 29-oct.</t>
        </is>
      </c>
    </row>
    <row r="343" ht="84" customHeight="1">
      <c r="D343" s="12" t="inlineStr">
        <is>
          <t>Todo el informe va SIN IGV. El IGV aparece solo en su propia columna de la Tabla 13, nunca mezclado con las ventas.</t>
        </is>
      </c>
    </row>
    <row r="345" ht="20" customHeight="1">
      <c r="A345" s="33" t="inlineStr">
        <is>
          <t>🍪 ANTOJITOS DE AREQUIPA · empresa de manufactura (alfajores)</t>
        </is>
      </c>
    </row>
    <row r="347">
      <c r="B347" s="34" t="inlineStr">
        <is>
          <t>📄 Va en el informe: Tabla 13 «C1 Presupuesto de ventas» (punto 4.4.1), columnas en soles. Las columnas de unidades ya las tienen de la semana 8.</t>
        </is>
      </c>
    </row>
    <row r="348" ht="26" customHeight="1">
      <c r="A348" s="35" t="inlineStr">
        <is>
          <t>📘</t>
        </is>
      </c>
      <c r="B348" s="14" t="inlineStr">
        <is>
          <t>Con el precio ya definido, ANTOJITOS DE AREQUIPA expresa su presupuesto de ventas de 2027 en soles. Las unidades por mes son las del presupuesto de ventas de la semana 8.</t>
        </is>
      </c>
    </row>
    <row r="350">
      <c r="B350" s="7" t="inlineStr">
        <is>
          <t>Precio sin IGV – producto A</t>
        </is>
      </c>
      <c r="C350" s="42">
        <f>$C$228</f>
        <v/>
      </c>
    </row>
    <row r="351">
      <c r="B351" s="7" t="inlineStr">
        <is>
          <t>Precio sin IGV – producto B</t>
        </is>
      </c>
      <c r="C351" s="42">
        <f>$D$228</f>
        <v/>
      </c>
    </row>
    <row r="353" ht="30" customHeight="1">
      <c r="B353" s="5" t="inlineStr">
        <is>
          <t>Mes</t>
        </is>
      </c>
      <c r="C353" s="5" t="inlineStr">
        <is>
          <t>A (cajas)</t>
        </is>
      </c>
      <c r="D353" s="5" t="inlineStr">
        <is>
          <t>B (cajas)</t>
        </is>
      </c>
      <c r="E353" s="5" t="inlineStr">
        <is>
          <t>Ventas A (S/)</t>
        </is>
      </c>
      <c r="F353" s="5" t="inlineStr">
        <is>
          <t>Ventas B (S/)</t>
        </is>
      </c>
      <c r="G353" s="5" t="inlineStr">
        <is>
          <t>Ventas SIN IGV (S/)</t>
        </is>
      </c>
      <c r="H353" s="5" t="inlineStr">
        <is>
          <t>IGV 18 % (S/)</t>
        </is>
      </c>
      <c r="I353" s="5" t="inlineStr">
        <is>
          <t>Ventas CON IGV (S/)</t>
        </is>
      </c>
    </row>
    <row r="354">
      <c r="B354" s="7" t="inlineStr">
        <is>
          <t>Ene-27</t>
        </is>
      </c>
      <c r="C354" s="37" t="n">
        <v>2200</v>
      </c>
      <c r="D354" s="37" t="n">
        <v>1100</v>
      </c>
      <c r="E354" s="40" t="n"/>
      <c r="F354" s="40" t="n"/>
      <c r="G354" s="40" t="n"/>
      <c r="H354" s="40" t="n"/>
      <c r="I354" s="40" t="n"/>
      <c r="M354" s="41" t="inlineStr">
        <is>
          <t>💡 E=C354*$C$350  |  F=D354*$C$351  |  G=E354+F354  |  H=G354*18%  |  I=G354+H354</t>
        </is>
      </c>
    </row>
    <row r="355">
      <c r="B355" s="7" t="inlineStr">
        <is>
          <t>Feb-27</t>
        </is>
      </c>
      <c r="C355" s="37" t="n">
        <v>2100</v>
      </c>
      <c r="D355" s="37" t="n">
        <v>1000</v>
      </c>
      <c r="E355" s="40" t="n"/>
      <c r="F355" s="40" t="n"/>
      <c r="G355" s="40" t="n"/>
      <c r="H355" s="40" t="n"/>
      <c r="I355" s="40" t="n"/>
    </row>
    <row r="356">
      <c r="B356" s="7" t="inlineStr">
        <is>
          <t>Mar-27</t>
        </is>
      </c>
      <c r="C356" s="37" t="n">
        <v>2300</v>
      </c>
      <c r="D356" s="37" t="n">
        <v>1100</v>
      </c>
      <c r="E356" s="40" t="n"/>
      <c r="F356" s="40" t="n"/>
      <c r="G356" s="40" t="n"/>
      <c r="H356" s="40" t="n"/>
      <c r="I356" s="40" t="n"/>
    </row>
    <row r="357">
      <c r="B357" s="7" t="inlineStr">
        <is>
          <t>Abr-27</t>
        </is>
      </c>
      <c r="C357" s="37" t="n">
        <v>2500</v>
      </c>
      <c r="D357" s="37" t="n">
        <v>1250</v>
      </c>
      <c r="E357" s="40" t="n"/>
      <c r="F357" s="40" t="n"/>
      <c r="G357" s="40" t="n"/>
      <c r="H357" s="40" t="n"/>
      <c r="I357" s="40" t="n"/>
    </row>
    <row r="358">
      <c r="B358" s="7" t="inlineStr">
        <is>
          <t>May-27</t>
        </is>
      </c>
      <c r="C358" s="37" t="n">
        <v>2800</v>
      </c>
      <c r="D358" s="37" t="n">
        <v>1500</v>
      </c>
      <c r="E358" s="40" t="n"/>
      <c r="F358" s="40" t="n"/>
      <c r="G358" s="40" t="n"/>
      <c r="H358" s="40" t="n"/>
      <c r="I358" s="40" t="n"/>
    </row>
    <row r="359">
      <c r="B359" s="7" t="inlineStr">
        <is>
          <t>Jun-27</t>
        </is>
      </c>
      <c r="C359" s="37" t="n">
        <v>2600</v>
      </c>
      <c r="D359" s="37" t="n">
        <v>1300</v>
      </c>
      <c r="E359" s="40" t="n"/>
      <c r="F359" s="40" t="n"/>
      <c r="G359" s="40" t="n"/>
      <c r="H359" s="40" t="n"/>
      <c r="I359" s="40" t="n"/>
    </row>
    <row r="360">
      <c r="B360" s="7" t="inlineStr">
        <is>
          <t>Jul-27</t>
        </is>
      </c>
      <c r="C360" s="37" t="n">
        <v>3200</v>
      </c>
      <c r="D360" s="37" t="n">
        <v>1600</v>
      </c>
      <c r="E360" s="40" t="n"/>
      <c r="F360" s="40" t="n"/>
      <c r="G360" s="40" t="n"/>
      <c r="H360" s="40" t="n"/>
      <c r="I360" s="40" t="n"/>
    </row>
    <row r="361">
      <c r="B361" s="7" t="inlineStr">
        <is>
          <t>Ago-27</t>
        </is>
      </c>
      <c r="C361" s="37" t="n">
        <v>3600</v>
      </c>
      <c r="D361" s="37" t="n">
        <v>1800</v>
      </c>
      <c r="E361" s="40" t="n"/>
      <c r="F361" s="40" t="n"/>
      <c r="G361" s="40" t="n"/>
      <c r="H361" s="40" t="n"/>
      <c r="I361" s="40" t="n"/>
    </row>
    <row r="362">
      <c r="B362" s="7" t="inlineStr">
        <is>
          <t>Sep-27</t>
        </is>
      </c>
      <c r="C362" s="37" t="n">
        <v>2700</v>
      </c>
      <c r="D362" s="37" t="n">
        <v>1350</v>
      </c>
      <c r="E362" s="40" t="n"/>
      <c r="F362" s="40" t="n"/>
      <c r="G362" s="40" t="n"/>
      <c r="H362" s="40" t="n"/>
      <c r="I362" s="40" t="n"/>
    </row>
    <row r="363">
      <c r="B363" s="7" t="inlineStr">
        <is>
          <t>Oct-27</t>
        </is>
      </c>
      <c r="C363" s="37" t="n">
        <v>2800</v>
      </c>
      <c r="D363" s="37" t="n">
        <v>1400</v>
      </c>
      <c r="E363" s="40" t="n"/>
      <c r="F363" s="40" t="n"/>
      <c r="G363" s="40" t="n"/>
      <c r="H363" s="40" t="n"/>
      <c r="I363" s="40" t="n"/>
    </row>
    <row r="364">
      <c r="B364" s="7" t="inlineStr">
        <is>
          <t>Nov-27</t>
        </is>
      </c>
      <c r="C364" s="37" t="n">
        <v>2900</v>
      </c>
      <c r="D364" s="37" t="n">
        <v>1500</v>
      </c>
      <c r="E364" s="40" t="n"/>
      <c r="F364" s="40" t="n"/>
      <c r="G364" s="40" t="n"/>
      <c r="H364" s="40" t="n"/>
      <c r="I364" s="40" t="n"/>
    </row>
    <row r="365">
      <c r="B365" s="7" t="inlineStr">
        <is>
          <t>Dic-27</t>
        </is>
      </c>
      <c r="C365" s="37" t="n">
        <v>3800</v>
      </c>
      <c r="D365" s="37" t="n">
        <v>2000</v>
      </c>
      <c r="E365" s="40" t="n"/>
      <c r="F365" s="40" t="n"/>
      <c r="G365" s="40" t="n"/>
      <c r="H365" s="40" t="n"/>
      <c r="I365" s="40" t="n"/>
    </row>
    <row r="366">
      <c r="B366" s="6" t="inlineStr">
        <is>
          <t>TOTAL 2027</t>
        </is>
      </c>
      <c r="C366" s="58" t="n"/>
      <c r="D366" s="58" t="n"/>
      <c r="E366" s="48" t="n"/>
      <c r="F366" s="48" t="n"/>
      <c r="G366" s="48" t="n"/>
      <c r="H366" s="48" t="n"/>
      <c r="I366" s="48" t="n"/>
      <c r="M366" s="41" t="inlineStr">
        <is>
          <t>💡 =SUM(C354:C365)</t>
        </is>
      </c>
      <c r="N366" s="46" t="inlineStr">
        <is>
          <t>🎯 Ventas sin IGV del año ≈ S/ 1,168,050.85  |  IGV ≈ S/ 210,249.15  |  con IGV ≈ S/ 1,378,300.00</t>
        </is>
      </c>
    </row>
    <row r="369" ht="20" customHeight="1">
      <c r="A369" s="49" t="inlineStr">
        <is>
          <t>☕ CAFÉ Y VINO WINE BAR · empresa de servicio (wine bar y cafetería)</t>
        </is>
      </c>
    </row>
    <row r="371">
      <c r="B371" s="34" t="inlineStr">
        <is>
          <t>📄 Va en el informe: Tabla 13 «C1 Presupuesto de ventas» (punto 4.4.1), columnas en soles. Las columnas de unidades ya las tienen de la semana 8.</t>
        </is>
      </c>
    </row>
    <row r="372" ht="26" customHeight="1">
      <c r="A372" s="35" t="inlineStr">
        <is>
          <t>📘</t>
        </is>
      </c>
      <c r="B372" s="14" t="inlineStr">
        <is>
          <t>Con el precio ya definido, CAFÉ Y VINO WINE BAR expresa su presupuesto de ventas de 2027 en soles. Las unidades por mes son las del presupuesto de ventas de la semana 8.</t>
        </is>
      </c>
    </row>
    <row r="374">
      <c r="B374" s="7" t="inlineStr">
        <is>
          <t>Precio sin IGV – producto A</t>
        </is>
      </c>
      <c r="C374" s="42">
        <f>$C$246</f>
        <v/>
      </c>
    </row>
    <row r="375">
      <c r="B375" s="7" t="inlineStr">
        <is>
          <t>Precio sin IGV – producto B</t>
        </is>
      </c>
      <c r="C375" s="42">
        <f>$D$246</f>
        <v/>
      </c>
    </row>
    <row r="377" ht="30" customHeight="1">
      <c r="B377" s="5" t="inlineStr">
        <is>
          <t>Mes</t>
        </is>
      </c>
      <c r="C377" s="5" t="inlineStr">
        <is>
          <t>A (bebidas)</t>
        </is>
      </c>
      <c r="D377" s="5" t="inlineStr">
        <is>
          <t>B (bebidas)</t>
        </is>
      </c>
      <c r="E377" s="5" t="inlineStr">
        <is>
          <t>Ventas A (S/)</t>
        </is>
      </c>
      <c r="F377" s="5" t="inlineStr">
        <is>
          <t>Ventas B (S/)</t>
        </is>
      </c>
      <c r="G377" s="5" t="inlineStr">
        <is>
          <t>Ventas SIN IGV (S/)</t>
        </is>
      </c>
      <c r="H377" s="5" t="inlineStr">
        <is>
          <t>IGV 18 % (S/)</t>
        </is>
      </c>
      <c r="I377" s="5" t="inlineStr">
        <is>
          <t>Ventas CON IGV (S/)</t>
        </is>
      </c>
    </row>
    <row r="378">
      <c r="B378" s="7" t="inlineStr">
        <is>
          <t>Ene-27</t>
        </is>
      </c>
      <c r="C378" s="37" t="n">
        <v>1000</v>
      </c>
      <c r="D378" s="37" t="n">
        <v>420</v>
      </c>
      <c r="E378" s="40" t="n"/>
      <c r="F378" s="40" t="n"/>
      <c r="G378" s="40" t="n"/>
      <c r="H378" s="40" t="n"/>
      <c r="I378" s="40" t="n"/>
      <c r="M378" s="41" t="inlineStr">
        <is>
          <t>💡 E=C378*$C$374  |  F=D378*$C$375  |  G=E378+F378  |  H=G378*18%  |  I=G378+H378</t>
        </is>
      </c>
    </row>
    <row r="379">
      <c r="B379" s="7" t="inlineStr">
        <is>
          <t>Feb-27</t>
        </is>
      </c>
      <c r="C379" s="37" t="n">
        <v>950</v>
      </c>
      <c r="D379" s="37" t="n">
        <v>450</v>
      </c>
      <c r="E379" s="40" t="n"/>
      <c r="F379" s="40" t="n"/>
      <c r="G379" s="40" t="n"/>
      <c r="H379" s="40" t="n"/>
      <c r="I379" s="40" t="n"/>
    </row>
    <row r="380">
      <c r="B380" s="7" t="inlineStr">
        <is>
          <t>Mar-27</t>
        </is>
      </c>
      <c r="C380" s="37" t="n">
        <v>1050</v>
      </c>
      <c r="D380" s="37" t="n">
        <v>380</v>
      </c>
      <c r="E380" s="40" t="n"/>
      <c r="F380" s="40" t="n"/>
      <c r="G380" s="40" t="n"/>
      <c r="H380" s="40" t="n"/>
      <c r="I380" s="40" t="n"/>
    </row>
    <row r="381">
      <c r="B381" s="7" t="inlineStr">
        <is>
          <t>Abr-27</t>
        </is>
      </c>
      <c r="C381" s="37" t="n">
        <v>1100</v>
      </c>
      <c r="D381" s="37" t="n">
        <v>320</v>
      </c>
      <c r="E381" s="40" t="n"/>
      <c r="F381" s="40" t="n"/>
      <c r="G381" s="40" t="n"/>
      <c r="H381" s="40" t="n"/>
      <c r="I381" s="40" t="n"/>
    </row>
    <row r="382">
      <c r="B382" s="7" t="inlineStr">
        <is>
          <t>May-27</t>
        </is>
      </c>
      <c r="C382" s="37" t="n">
        <v>1250</v>
      </c>
      <c r="D382" s="37" t="n">
        <v>280</v>
      </c>
      <c r="E382" s="40" t="n"/>
      <c r="F382" s="40" t="n"/>
      <c r="G382" s="40" t="n"/>
      <c r="H382" s="40" t="n"/>
      <c r="I382" s="40" t="n"/>
    </row>
    <row r="383">
      <c r="B383" s="7" t="inlineStr">
        <is>
          <t>Jun-27</t>
        </is>
      </c>
      <c r="C383" s="37" t="n">
        <v>1400</v>
      </c>
      <c r="D383" s="37" t="n">
        <v>250</v>
      </c>
      <c r="E383" s="40" t="n"/>
      <c r="F383" s="40" t="n"/>
      <c r="G383" s="40" t="n"/>
      <c r="H383" s="40" t="n"/>
      <c r="I383" s="40" t="n"/>
    </row>
    <row r="384">
      <c r="B384" s="7" t="inlineStr">
        <is>
          <t>Jul-27</t>
        </is>
      </c>
      <c r="C384" s="37" t="n">
        <v>1450</v>
      </c>
      <c r="D384" s="37" t="n">
        <v>260</v>
      </c>
      <c r="E384" s="40" t="n"/>
      <c r="F384" s="40" t="n"/>
      <c r="G384" s="40" t="n"/>
      <c r="H384" s="40" t="n"/>
      <c r="I384" s="40" t="n"/>
    </row>
    <row r="385">
      <c r="B385" s="7" t="inlineStr">
        <is>
          <t>Ago-27</t>
        </is>
      </c>
      <c r="C385" s="37" t="n">
        <v>1500</v>
      </c>
      <c r="D385" s="37" t="n">
        <v>330</v>
      </c>
      <c r="E385" s="40" t="n"/>
      <c r="F385" s="40" t="n"/>
      <c r="G385" s="40" t="n"/>
      <c r="H385" s="40" t="n"/>
      <c r="I385" s="40" t="n"/>
    </row>
    <row r="386">
      <c r="B386" s="7" t="inlineStr">
        <is>
          <t>Sep-27</t>
        </is>
      </c>
      <c r="C386" s="37" t="n">
        <v>1250</v>
      </c>
      <c r="D386" s="37" t="n">
        <v>340</v>
      </c>
      <c r="E386" s="40" t="n"/>
      <c r="F386" s="40" t="n"/>
      <c r="G386" s="40" t="n"/>
      <c r="H386" s="40" t="n"/>
      <c r="I386" s="40" t="n"/>
    </row>
    <row r="387">
      <c r="B387" s="7" t="inlineStr">
        <is>
          <t>Oct-27</t>
        </is>
      </c>
      <c r="C387" s="37" t="n">
        <v>1150</v>
      </c>
      <c r="D387" s="37" t="n">
        <v>370</v>
      </c>
      <c r="E387" s="40" t="n"/>
      <c r="F387" s="40" t="n"/>
      <c r="G387" s="40" t="n"/>
      <c r="H387" s="40" t="n"/>
      <c r="I387" s="40" t="n"/>
    </row>
    <row r="388">
      <c r="B388" s="7" t="inlineStr">
        <is>
          <t>Nov-27</t>
        </is>
      </c>
      <c r="C388" s="37" t="n">
        <v>1100</v>
      </c>
      <c r="D388" s="37" t="n">
        <v>400</v>
      </c>
      <c r="E388" s="40" t="n"/>
      <c r="F388" s="40" t="n"/>
      <c r="G388" s="40" t="n"/>
      <c r="H388" s="40" t="n"/>
      <c r="I388" s="40" t="n"/>
    </row>
    <row r="389">
      <c r="B389" s="7" t="inlineStr">
        <is>
          <t>Dic-27</t>
        </is>
      </c>
      <c r="C389" s="37" t="n">
        <v>1200</v>
      </c>
      <c r="D389" s="37" t="n">
        <v>520</v>
      </c>
      <c r="E389" s="40" t="n"/>
      <c r="F389" s="40" t="n"/>
      <c r="G389" s="40" t="n"/>
      <c r="H389" s="40" t="n"/>
      <c r="I389" s="40" t="n"/>
    </row>
    <row r="390">
      <c r="B390" s="6" t="inlineStr">
        <is>
          <t>TOTAL 2027</t>
        </is>
      </c>
      <c r="C390" s="58" t="n"/>
      <c r="D390" s="58" t="n"/>
      <c r="E390" s="48" t="n"/>
      <c r="F390" s="48" t="n"/>
      <c r="G390" s="48" t="n"/>
      <c r="H390" s="48" t="n"/>
      <c r="I390" s="48" t="n"/>
      <c r="M390" s="41" t="inlineStr">
        <is>
          <t>💡 =SUM(C378:C389)</t>
        </is>
      </c>
      <c r="N390" s="46" t="inlineStr">
        <is>
          <t>🎯 Ventas sin IGV del año ≈ S/ 233,084.75  |  IGV ≈ S/ 41,955.25  |  con IGV ≈ S/ 275,040.00</t>
        </is>
      </c>
    </row>
    <row r="394" ht="24" customHeight="1">
      <c r="A394" s="31" t="inlineStr">
        <is>
          <t>SEMANA 12 · SESIÓN 1 · Mar 3-nov   ▸   Índice costo-beneficio (ICB) de las acciones de marketing   ▸   Tabla 12 · punto 4.3</t>
        </is>
      </c>
    </row>
    <row r="395">
      <c r="A395" s="32" t="inlineStr">
        <is>
          <t>⬜ SEMANA 12, SESIÓN 1.</t>
        </is>
      </c>
    </row>
    <row r="397" ht="84" customHeight="1">
      <c r="D397" s="12" t="inlineStr">
        <is>
          <t>El beneficio de una acción de marketing es el MARGEN de las unidades adicionales, no la venta. Esas unidades también consumen materia prima.</t>
        </is>
      </c>
    </row>
    <row r="399" ht="20" customHeight="1">
      <c r="A399" s="33" t="inlineStr">
        <is>
          <t>🍪 ANTOJITOS DE AREQUIPA · empresa de manufactura (alfajores)</t>
        </is>
      </c>
    </row>
    <row r="401">
      <c r="B401" s="34" t="inlineStr">
        <is>
          <t>📄 Va en el informe: Tabla 12 «Índice costo-beneficio de las acciones de marketing» (punto 4.3).</t>
        </is>
      </c>
    </row>
    <row r="402" ht="39" customHeight="1">
      <c r="A402" s="35" t="inlineStr">
        <is>
          <t>📘</t>
        </is>
      </c>
      <c r="B402" s="14" t="inlineStr">
        <is>
          <t>ANTOJITOS DE AREQUIPA quiere saber si sus acciones de marketing se pagan solas. El beneficio de cada acción es el MARGEN DE CONTRIBUCIÓN de las unidades adicionales que vendió gracias a ella (dato estimado por la empresa).</t>
        </is>
      </c>
    </row>
    <row r="404">
      <c r="B404" s="7" t="inlineStr">
        <is>
          <t>Margen de contribución unitario – A</t>
        </is>
      </c>
      <c r="C404" s="57">
        <f>$C$232</f>
        <v/>
      </c>
    </row>
    <row r="405">
      <c r="B405" s="7" t="inlineStr">
        <is>
          <t>Margen de contribución unitario – B</t>
        </is>
      </c>
      <c r="C405" s="57">
        <f>$D$232</f>
        <v/>
      </c>
    </row>
    <row r="407" ht="30" customHeight="1">
      <c r="B407" s="5" t="inlineStr">
        <is>
          <t>Acción de marketing</t>
        </is>
      </c>
      <c r="C407" s="5" t="inlineStr">
        <is>
          <t>Costo anual (S/)</t>
        </is>
      </c>
      <c r="D407" s="5" t="inlineStr">
        <is>
          <t>Producto</t>
        </is>
      </c>
      <c r="E407" s="5" t="inlineStr">
        <is>
          <t>Unidades adicionales
al año</t>
        </is>
      </c>
      <c r="F407" s="5" t="inlineStr">
        <is>
          <t>Beneficio (S/)</t>
        </is>
      </c>
      <c r="G407" s="5" t="inlineStr">
        <is>
          <t>ICB</t>
        </is>
      </c>
      <c r="H407" s="5" t="inlineStr">
        <is>
          <t>Decisión</t>
        </is>
      </c>
    </row>
    <row r="408">
      <c r="B408" s="7" t="inlineStr">
        <is>
          <t>Publicidad pagada en Instagram y TikTok</t>
        </is>
      </c>
      <c r="C408" s="39" t="n">
        <v>4800</v>
      </c>
      <c r="D408" s="28" t="inlineStr">
        <is>
          <t>A</t>
        </is>
      </c>
      <c r="E408" s="37" t="n">
        <v>900</v>
      </c>
      <c r="F408" s="40" t="n"/>
      <c r="G408" s="60" t="n"/>
      <c r="H408" s="61" t="n"/>
      <c r="M408" s="41" t="inlineStr">
        <is>
          <t>💡 F=E408*IF(D408="A",$C$404,$C$405)  |  G=F408/C408  |  H=IF(G408&gt;=1,"Mantener","Revisar o eliminar")</t>
        </is>
      </c>
      <c r="N408" s="46" t="inlineStr">
        <is>
          <t>🎯 beneficio ≈ S/ 11,709.75  |  ICB ≈ 2.44  → Mantener</t>
        </is>
      </c>
    </row>
    <row r="409">
      <c r="B409" s="7" t="inlineStr">
        <is>
          <t>Volanteo en hoteles del Centro Histórico</t>
        </is>
      </c>
      <c r="C409" s="39" t="n">
        <v>2000</v>
      </c>
      <c r="D409" s="28" t="inlineStr">
        <is>
          <t>B</t>
        </is>
      </c>
      <c r="E409" s="37" t="n">
        <v>120</v>
      </c>
      <c r="F409" s="40" t="n"/>
      <c r="G409" s="60" t="n"/>
      <c r="H409" s="61" t="n"/>
      <c r="N409" s="46" t="inlineStr">
        <is>
          <t>🎯 beneficio ≈ S/ 1,771.10  |  ICB ≈ 0.89  → Revisar o eliminar</t>
        </is>
      </c>
    </row>
    <row r="410">
      <c r="B410" s="6" t="inlineStr">
        <is>
          <t>TOTAL</t>
        </is>
      </c>
      <c r="C410" s="48" t="n"/>
      <c r="F410" s="48" t="n"/>
      <c r="G410" s="62" t="n"/>
    </row>
    <row r="411">
      <c r="B411" s="50" t="inlineStr">
        <is>
          <t>📝 ICB = beneficio ÷ costo. Si es 1 o más, la acción recupera lo que cuesta. En el informe escriba qué acción conviene mantener, mejorar o eliminar.</t>
        </is>
      </c>
    </row>
    <row r="414" ht="20" customHeight="1">
      <c r="A414" s="49" t="inlineStr">
        <is>
          <t>☕ CAFÉ Y VINO WINE BAR · empresa de servicio (wine bar y cafetería)</t>
        </is>
      </c>
    </row>
    <row r="416">
      <c r="B416" s="34" t="inlineStr">
        <is>
          <t>📄 Va en el informe: Tabla 12 «Índice costo-beneficio de las acciones de marketing» (punto 4.3).</t>
        </is>
      </c>
    </row>
    <row r="417" ht="39" customHeight="1">
      <c r="A417" s="35" t="inlineStr">
        <is>
          <t>📘</t>
        </is>
      </c>
      <c r="B417" s="14" t="inlineStr">
        <is>
          <t>CAFÉ Y VINO WINE BAR quiere saber si sus acciones de marketing se pagan solas. El beneficio de cada acción es el MARGEN DE CONTRIBUCIÓN de las unidades adicionales que vendió gracias a ella (dato estimado por la empresa).</t>
        </is>
      </c>
    </row>
    <row r="419">
      <c r="B419" s="7" t="inlineStr">
        <is>
          <t>Margen de contribución unitario – A</t>
        </is>
      </c>
      <c r="C419" s="57">
        <f>$C$250</f>
        <v/>
      </c>
    </row>
    <row r="420">
      <c r="B420" s="7" t="inlineStr">
        <is>
          <t>Margen de contribución unitario – B</t>
        </is>
      </c>
      <c r="C420" s="57">
        <f>$D$250</f>
        <v/>
      </c>
    </row>
    <row r="422" ht="30" customHeight="1">
      <c r="B422" s="5" t="inlineStr">
        <is>
          <t>Acción de marketing</t>
        </is>
      </c>
      <c r="C422" s="5" t="inlineStr">
        <is>
          <t>Costo anual (S/)</t>
        </is>
      </c>
      <c r="D422" s="5" t="inlineStr">
        <is>
          <t>Producto</t>
        </is>
      </c>
      <c r="E422" s="5" t="inlineStr">
        <is>
          <t>Unidades adicionales
al año</t>
        </is>
      </c>
      <c r="F422" s="5" t="inlineStr">
        <is>
          <t>Beneficio (S/)</t>
        </is>
      </c>
      <c r="G422" s="5" t="inlineStr">
        <is>
          <t>ICB</t>
        </is>
      </c>
      <c r="H422" s="5" t="inlineStr">
        <is>
          <t>Decisión</t>
        </is>
      </c>
    </row>
    <row r="423">
      <c r="B423" s="7" t="inlineStr">
        <is>
          <t>Promoción 2x1 en capuccino los martes</t>
        </is>
      </c>
      <c r="C423" s="39" t="n">
        <v>3000</v>
      </c>
      <c r="D423" s="28" t="inlineStr">
        <is>
          <t>A</t>
        </is>
      </c>
      <c r="E423" s="37" t="n">
        <v>500</v>
      </c>
      <c r="F423" s="40" t="n"/>
      <c r="G423" s="60" t="n"/>
      <c r="H423" s="61" t="n"/>
      <c r="M423" s="41" t="inlineStr">
        <is>
          <t>💡 F=E423*IF(D423="A",$C$419,$C$420)  |  G=F423/C423  |  H=IF(G423&gt;=1,"Mantener","Revisar o eliminar")</t>
        </is>
      </c>
      <c r="N423" s="46" t="inlineStr">
        <is>
          <t>🎯 beneficio ≈ S/ 3,429.16  |  ICB ≈ 1.14  → Mantener</t>
        </is>
      </c>
    </row>
    <row r="424">
      <c r="B424" s="7" t="inlineStr">
        <is>
          <t>Publicidad pagada en Instagram y Facebook</t>
        </is>
      </c>
      <c r="C424" s="39" t="n">
        <v>4800</v>
      </c>
      <c r="D424" s="28" t="inlineStr">
        <is>
          <t>B</t>
        </is>
      </c>
      <c r="E424" s="37" t="n">
        <v>250</v>
      </c>
      <c r="F424" s="40" t="n"/>
      <c r="G424" s="60" t="n"/>
      <c r="H424" s="61" t="n"/>
      <c r="N424" s="46" t="inlineStr">
        <is>
          <t>🎯 beneficio ≈ S/ 4,022.85  |  ICB ≈ 0.84  → Revisar o eliminar</t>
        </is>
      </c>
    </row>
    <row r="425">
      <c r="B425" s="6" t="inlineStr">
        <is>
          <t>TOTAL</t>
        </is>
      </c>
      <c r="C425" s="48" t="n"/>
      <c r="F425" s="48" t="n"/>
      <c r="G425" s="62" t="n"/>
    </row>
    <row r="426">
      <c r="B426" s="50" t="inlineStr">
        <is>
          <t>📝 ICB = beneficio ÷ costo. Si es 1 o más, la acción recupera lo que cuesta. En el informe escriba qué acción conviene mantener, mejorar o eliminar.</t>
        </is>
      </c>
    </row>
    <row r="430" ht="24" customHeight="1">
      <c r="A430" s="31" t="inlineStr">
        <is>
          <t>SEMANA 12 · SESIÓN 2 · Jue 5-nov   ▸   Estado de Resultados proyectado y capacidad financiera   ▸   Tabla 17 · punto 4.4.3</t>
        </is>
      </c>
    </row>
    <row r="431">
      <c r="A431" s="32" t="inlineStr">
        <is>
          <t>⬜ SEMANA 12, SESIÓN 2.</t>
        </is>
      </c>
    </row>
    <row r="433" ht="84" customHeight="1">
      <c r="D433" s="12" t="inlineStr">
        <is>
          <t>Las ventas netas van sin IGV. El IGV no es ingreso de la empresa: se cobra para la SUNAT y se devuelve.</t>
        </is>
      </c>
    </row>
    <row r="435" ht="20" customHeight="1">
      <c r="A435" s="33" t="inlineStr">
        <is>
          <t>🍪 ANTOJITOS DE AREQUIPA · empresa de manufactura (alfajores)</t>
        </is>
      </c>
    </row>
    <row r="437">
      <c r="B437" s="34" t="inlineStr">
        <is>
          <t>📄 Va en el informe: Tabla 17 «Estado de Resultados proyectado del primer año» (punto 4.4.3).</t>
        </is>
      </c>
    </row>
    <row r="438" ht="39" customHeight="1">
      <c r="A438" s="35" t="inlineStr">
        <is>
          <t>📘</t>
        </is>
      </c>
      <c r="B438" s="14" t="inlineStr">
        <is>
          <t>ANTOJITOS DE AREQUIPA proyecta su resultado de 2027 para saber si puede financiar la nueva línea con su propia utilidad. Está en el Régimen MYPE Tributario: 10 % sobre la utilidad hasta 15 UIT y 29.5 % sobre el exceso (UIT referencial 2026: S/ 5,500).</t>
        </is>
      </c>
    </row>
    <row r="440" ht="30" customHeight="1">
      <c r="B440" s="5" t="inlineStr">
        <is>
          <t>Dato</t>
        </is>
      </c>
      <c r="C440" s="5" t="inlineStr">
        <is>
          <t>Producto A</t>
        </is>
      </c>
      <c r="D440" s="5" t="inlineStr">
        <is>
          <t>Producto B</t>
        </is>
      </c>
    </row>
    <row r="441">
      <c r="B441" s="7" t="inlineStr">
        <is>
          <t>Unidades vendidas en el año</t>
        </is>
      </c>
      <c r="C441" s="63">
        <f>$C$278</f>
        <v/>
      </c>
      <c r="D441" s="63">
        <f>$C$279</f>
        <v/>
      </c>
    </row>
    <row r="442">
      <c r="B442" s="7" t="inlineStr">
        <is>
          <t>Precio sin IGV (S/)</t>
        </is>
      </c>
      <c r="C442" s="42">
        <f>$C$228</f>
        <v/>
      </c>
      <c r="D442" s="42">
        <f>$D$228</f>
        <v/>
      </c>
    </row>
    <row r="443">
      <c r="B443" s="7" t="inlineStr">
        <is>
          <t>Costo unitario total (S/)</t>
        </is>
      </c>
      <c r="C443" s="57">
        <f>$C$147</f>
        <v/>
      </c>
      <c r="D443" s="57">
        <f>$D$147</f>
        <v/>
      </c>
    </row>
    <row r="444">
      <c r="B444" s="7" t="inlineStr">
        <is>
          <t>Límite de 15 UIT (S/ 5,500 × 15)</t>
        </is>
      </c>
      <c r="C444" s="39" t="n">
        <v>82500</v>
      </c>
    </row>
    <row r="446" ht="30" customHeight="1">
      <c r="B446" s="5" t="inlineStr">
        <is>
          <t>Estado de Resultados 2027</t>
        </is>
      </c>
      <c r="C446" s="5" t="inlineStr">
        <is>
          <t>Monto (S/)</t>
        </is>
      </c>
    </row>
    <row r="447">
      <c r="B447" s="7" t="inlineStr">
        <is>
          <t>Ventas netas (sin IGV)</t>
        </is>
      </c>
      <c r="C447" s="40" t="n"/>
      <c r="M447" s="41" t="inlineStr">
        <is>
          <t>💡 =$C$441*$C$442+$D$441*$D$442</t>
        </is>
      </c>
      <c r="N447" s="46" t="inlineStr">
        <is>
          <t>🎯 ≈ S/ 1,168,050.85</t>
        </is>
      </c>
    </row>
    <row r="448">
      <c r="B448" s="7" t="inlineStr">
        <is>
          <t>(−) Costo de ventas</t>
        </is>
      </c>
      <c r="C448" s="40" t="n"/>
      <c r="M448" s="41" t="inlineStr">
        <is>
          <t>💡 =$C$441*$C$443+$D$441*$D$443</t>
        </is>
      </c>
      <c r="N448" s="46" t="inlineStr">
        <is>
          <t>🎯 ≈ S/ 602,927.79</t>
        </is>
      </c>
    </row>
    <row r="449">
      <c r="B449" s="6">
        <f> Utilidad bruta</f>
        <v/>
      </c>
      <c r="C449" s="48" t="n"/>
      <c r="N449" s="46" t="inlineStr">
        <is>
          <t>🎯 ≈ S/ 565,123.06</t>
        </is>
      </c>
    </row>
    <row r="450">
      <c r="B450" s="7" t="inlineStr">
        <is>
          <t>(−) Gastos administrativos del año (× 12)</t>
        </is>
      </c>
      <c r="C450" s="40" t="n"/>
      <c r="M450" s="41" t="inlineStr">
        <is>
          <t>💡 =$C$159*12</t>
        </is>
      </c>
    </row>
    <row r="451">
      <c r="B451" s="7" t="inlineStr">
        <is>
          <t>(−) Gastos de ventas del año (× 12)</t>
        </is>
      </c>
      <c r="C451" s="40" t="n"/>
      <c r="M451" s="41" t="inlineStr">
        <is>
          <t>💡 =$C$160*12</t>
        </is>
      </c>
    </row>
    <row r="452">
      <c r="B452" s="6">
        <f> Utilidad operativa</f>
        <v/>
      </c>
      <c r="C452" s="48" t="n"/>
      <c r="N452" s="46" t="inlineStr">
        <is>
          <t>🎯 ≈ S/ 456,467.86</t>
        </is>
      </c>
    </row>
    <row r="453">
      <c r="B453" s="7" t="inlineStr">
        <is>
          <t>(−) Gastos financieros (si hay préstamo; si no, 0)</t>
        </is>
      </c>
      <c r="C453" s="39" t="n">
        <v>0</v>
      </c>
    </row>
    <row r="454">
      <c r="B454" s="6">
        <f> Utilidad antes de impuestos</f>
        <v/>
      </c>
      <c r="C454" s="48" t="n"/>
    </row>
    <row r="455">
      <c r="B455" s="7" t="inlineStr">
        <is>
          <t>(−) Impuesto a la renta (Régimen MYPE: 10 % hasta 15 UIT y 29.5 % el exceso)</t>
        </is>
      </c>
      <c r="C455" s="40" t="n"/>
      <c r="M455" s="41" t="inlineStr">
        <is>
          <t>💡 =MIN(MAX($C$454,0),$C$444)*10%+MAX($C$454-$C$444,0)*29.5%</t>
        </is>
      </c>
      <c r="N455" s="46" t="inlineStr">
        <is>
          <t>🎯 ≈ S/ 118,570.52</t>
        </is>
      </c>
    </row>
    <row r="456">
      <c r="B456" s="6" t="inlineStr">
        <is>
          <t>➡️ UTILIDAD NETA</t>
        </is>
      </c>
      <c r="C456" s="48" t="n"/>
      <c r="N456" s="46" t="inlineStr">
        <is>
          <t>🎯 ≈ S/ 337,897.34</t>
        </is>
      </c>
    </row>
    <row r="457">
      <c r="B457" s="7" t="inlineStr">
        <is>
          <t>Margen neto (%)</t>
        </is>
      </c>
      <c r="C457" s="53" t="n"/>
      <c r="N457" s="46" t="inlineStr">
        <is>
          <t>🎯 ≈ 28.9%</t>
        </is>
      </c>
    </row>
    <row r="459" ht="26" customHeight="1">
      <c r="A459" s="35" t="inlineStr">
        <is>
          <t>✍️</t>
        </is>
      </c>
      <c r="B459" s="14" t="inlineStr">
        <is>
          <t>Escriba en el informe: ¿puede la empresa financiar la nueva línea con su propia utilidad? ¿Por qué? (compare la inversión total de la Tabla 18 con esta utilidad neta).</t>
        </is>
      </c>
    </row>
    <row r="462" ht="20" customHeight="1">
      <c r="A462" s="49" t="inlineStr">
        <is>
          <t>☕ CAFÉ Y VINO WINE BAR · empresa de servicio (wine bar y cafetería)</t>
        </is>
      </c>
    </row>
    <row r="464">
      <c r="B464" s="34" t="inlineStr">
        <is>
          <t>📄 Va en el informe: Tabla 17 «Estado de Resultados proyectado del primer año» (punto 4.4.3).</t>
        </is>
      </c>
    </row>
    <row r="465" ht="39" customHeight="1">
      <c r="A465" s="35" t="inlineStr">
        <is>
          <t>📘</t>
        </is>
      </c>
      <c r="B465" s="14" t="inlineStr">
        <is>
          <t>CAFÉ Y VINO WINE BAR proyecta su resultado de 2027 para saber si puede financiar la nueva línea con su propia utilidad. Está en el Régimen MYPE Tributario: 10 % sobre la utilidad hasta 15 UIT y 29.5 % sobre el exceso (UIT referencial 2026: S/ 5,500).</t>
        </is>
      </c>
    </row>
    <row r="467" ht="30" customHeight="1">
      <c r="B467" s="5" t="inlineStr">
        <is>
          <t>Dato</t>
        </is>
      </c>
      <c r="C467" s="5" t="inlineStr">
        <is>
          <t>Producto A</t>
        </is>
      </c>
      <c r="D467" s="5" t="inlineStr">
        <is>
          <t>Producto B</t>
        </is>
      </c>
    </row>
    <row r="468">
      <c r="B468" s="7" t="inlineStr">
        <is>
          <t>Unidades vendidas en el año</t>
        </is>
      </c>
      <c r="C468" s="63">
        <f>$C$316</f>
        <v/>
      </c>
      <c r="D468" s="63">
        <f>$C$317</f>
        <v/>
      </c>
    </row>
    <row r="469">
      <c r="B469" s="7" t="inlineStr">
        <is>
          <t>Precio sin IGV (S/)</t>
        </is>
      </c>
      <c r="C469" s="42">
        <f>$C$246</f>
        <v/>
      </c>
      <c r="D469" s="42">
        <f>$D$246</f>
        <v/>
      </c>
    </row>
    <row r="470">
      <c r="B470" s="7" t="inlineStr">
        <is>
          <t>Costo unitario total (S/)</t>
        </is>
      </c>
      <c r="C470" s="57">
        <f>$C$186</f>
        <v/>
      </c>
      <c r="D470" s="57">
        <f>$D$186</f>
        <v/>
      </c>
    </row>
    <row r="471">
      <c r="B471" s="7" t="inlineStr">
        <is>
          <t>Límite de 15 UIT (S/ 5,500 × 15)</t>
        </is>
      </c>
      <c r="C471" s="39" t="n">
        <v>82500</v>
      </c>
    </row>
    <row r="473" ht="30" customHeight="1">
      <c r="B473" s="5" t="inlineStr">
        <is>
          <t>Estado de Resultados 2027</t>
        </is>
      </c>
      <c r="C473" s="5" t="inlineStr">
        <is>
          <t>Monto (S/)</t>
        </is>
      </c>
    </row>
    <row r="474">
      <c r="B474" s="7" t="inlineStr">
        <is>
          <t>Ventas netas (sin IGV)</t>
        </is>
      </c>
      <c r="C474" s="40" t="n"/>
      <c r="M474" s="41" t="inlineStr">
        <is>
          <t>💡 =$C$468*$C$469+$D$468*$D$469</t>
        </is>
      </c>
      <c r="N474" s="46" t="inlineStr">
        <is>
          <t>🎯 ≈ S/ 233,084.75</t>
        </is>
      </c>
    </row>
    <row r="475">
      <c r="B475" s="7" t="inlineStr">
        <is>
          <t>(−) Costo de ventas</t>
        </is>
      </c>
      <c r="C475" s="40" t="n"/>
      <c r="M475" s="41" t="inlineStr">
        <is>
          <t>💡 =$C$468*$C$470+$D$468*$D$470</t>
        </is>
      </c>
      <c r="N475" s="46" t="inlineStr">
        <is>
          <t>🎯 ≈ S/ 114,259.25</t>
        </is>
      </c>
    </row>
    <row r="476">
      <c r="B476" s="6">
        <f> Utilidad bruta</f>
        <v/>
      </c>
      <c r="C476" s="48" t="n"/>
      <c r="N476" s="46" t="inlineStr">
        <is>
          <t>🎯 ≈ S/ 118,825.50</t>
        </is>
      </c>
    </row>
    <row r="477">
      <c r="B477" s="7" t="inlineStr">
        <is>
          <t>(−) Gastos administrativos del año (× 12)</t>
        </is>
      </c>
      <c r="C477" s="40" t="n"/>
      <c r="M477" s="41" t="inlineStr">
        <is>
          <t>💡 =$C$198*12</t>
        </is>
      </c>
    </row>
    <row r="478">
      <c r="B478" s="7" t="inlineStr">
        <is>
          <t>(−) Gastos de ventas del año (× 12)</t>
        </is>
      </c>
      <c r="C478" s="40" t="n"/>
      <c r="M478" s="41" t="inlineStr">
        <is>
          <t>💡 =$C$199*12</t>
        </is>
      </c>
    </row>
    <row r="479">
      <c r="B479" s="6">
        <f> Utilidad operativa</f>
        <v/>
      </c>
      <c r="C479" s="48" t="n"/>
      <c r="N479" s="46" t="inlineStr">
        <is>
          <t>🎯 ≈ S/ 28,806.06</t>
        </is>
      </c>
    </row>
    <row r="480">
      <c r="B480" s="7" t="inlineStr">
        <is>
          <t>(−) Gastos financieros (si hay préstamo; si no, 0)</t>
        </is>
      </c>
      <c r="C480" s="39" t="n">
        <v>0</v>
      </c>
    </row>
    <row r="481">
      <c r="B481" s="6">
        <f> Utilidad antes de impuestos</f>
        <v/>
      </c>
      <c r="C481" s="48" t="n"/>
    </row>
    <row r="482">
      <c r="B482" s="7" t="inlineStr">
        <is>
          <t>(−) Impuesto a la renta (Régimen MYPE: 10 % hasta 15 UIT y 29.5 % el exceso)</t>
        </is>
      </c>
      <c r="C482" s="40" t="n"/>
      <c r="M482" s="41" t="inlineStr">
        <is>
          <t>💡 =MIN(MAX($C$481,0),$C$471)*10%+MAX($C$481-$C$471,0)*29.5%</t>
        </is>
      </c>
      <c r="N482" s="46" t="inlineStr">
        <is>
          <t>🎯 ≈ S/ 2,880.61</t>
        </is>
      </c>
    </row>
    <row r="483">
      <c r="B483" s="6" t="inlineStr">
        <is>
          <t>➡️ UTILIDAD NETA</t>
        </is>
      </c>
      <c r="C483" s="48" t="n"/>
      <c r="N483" s="46" t="inlineStr">
        <is>
          <t>🎯 ≈ S/ 25,925.45</t>
        </is>
      </c>
    </row>
    <row r="484">
      <c r="B484" s="7" t="inlineStr">
        <is>
          <t>Margen neto (%)</t>
        </is>
      </c>
      <c r="C484" s="53" t="n"/>
      <c r="N484" s="46" t="inlineStr">
        <is>
          <t>🎯 ≈ 11.1%</t>
        </is>
      </c>
    </row>
    <row r="486" ht="26" customHeight="1">
      <c r="A486" s="35" t="inlineStr">
        <is>
          <t>✍️</t>
        </is>
      </c>
      <c r="B486" s="14" t="inlineStr">
        <is>
          <t>Escriba en el informe: ¿puede la empresa financiar la nueva línea con su propia utilidad? ¿Por qué? (compare la inversión total de la Tabla 18 con esta utilidad neta).</t>
        </is>
      </c>
    </row>
    <row r="490" ht="24" customHeight="1">
      <c r="A490" s="31" t="inlineStr">
        <is>
          <t>SEMANA 13 · SESIÓN 1 · Mar 10-nov   ▸   Presupuesto y punto de equilibrio de la nueva línea   ▸   Tablas 18 y 19 · puntos 4.4.4 y 7.7</t>
        </is>
      </c>
    </row>
    <row r="491">
      <c r="A491" s="32" t="inlineStr">
        <is>
          <t>⬜ SEMANA 13, SESIÓN 1.</t>
        </is>
      </c>
    </row>
    <row r="493" ht="84" customHeight="1">
      <c r="D493" s="12" t="inlineStr">
        <is>
          <t>A la nueva línea solo se le cargan los costos fijos NUEVOS, los que aparecen porque la línea existe. No se le carga el alquiler de toda la empresa.</t>
        </is>
      </c>
    </row>
    <row r="495" ht="20" customHeight="1">
      <c r="A495" s="33" t="inlineStr">
        <is>
          <t>🍪 ANTOJITOS DE AREQUIPA · empresa de manufactura (alfajores)</t>
        </is>
      </c>
    </row>
    <row r="497">
      <c r="B497" s="34" t="inlineStr">
        <is>
          <t>📄 Va en el informe: Tabla 18 «Presupuesto referencial de implementación de la nueva línea» (punto 4.4.4) y Tabla 19 «Punto de equilibrio de la nueva línea» (punto 7.7).</t>
        </is>
      </c>
    </row>
    <row r="498" ht="26" customHeight="1">
      <c r="A498" s="35" t="inlineStr">
        <is>
          <t>📘</t>
        </is>
      </c>
      <c r="B498" s="14" t="inlineStr">
        <is>
          <t>ANTOJITOS DE AREQUIPA evalúa lanzar la nueva línea «Box de alfajores personalizados para empresas». Se cobrará S/ 75.00 por box (CON IGV) y se espera atender 40 boxs al mes. Financiamiento: recursos propios.</t>
        </is>
      </c>
    </row>
    <row r="500">
      <c r="B500" s="13" t="inlineStr">
        <is>
          <t>TABLA 18 · Presupuesto referencial de implementación</t>
        </is>
      </c>
    </row>
    <row r="501" ht="30" customHeight="1">
      <c r="B501" s="5" t="inlineStr">
        <is>
          <t>Rubro</t>
        </is>
      </c>
      <c r="C501" s="5" t="inlineStr">
        <is>
          <t>Monto sin IGV (S/)</t>
        </is>
      </c>
    </row>
    <row r="502">
      <c r="B502" s="7" t="inlineStr">
        <is>
          <t>Activo fijo: selladora y estampadora</t>
        </is>
      </c>
      <c r="C502" s="39" t="n">
        <v>2500</v>
      </c>
    </row>
    <row r="503">
      <c r="B503" s="7" t="inlineStr">
        <is>
          <t>Activo intangible: diseño de la caja personalizada</t>
        </is>
      </c>
      <c r="C503" s="39" t="n">
        <v>900</v>
      </c>
    </row>
    <row r="504">
      <c r="B504" s="7" t="inlineStr">
        <is>
          <t>Activo intangible: registro de marca</t>
        </is>
      </c>
      <c r="C504" s="39" t="n">
        <v>600</v>
      </c>
    </row>
    <row r="505">
      <c r="B505" s="7" t="inlineStr">
        <is>
          <t>Capital de trabajo del primer mes</t>
        </is>
      </c>
      <c r="C505" s="39" t="n">
        <v>2000</v>
      </c>
    </row>
    <row r="506">
      <c r="B506" s="6" t="inlineStr">
        <is>
          <t>➡️ INVERSIÓN TOTAL</t>
        </is>
      </c>
      <c r="C506" s="48" t="n"/>
      <c r="M506" s="41" t="inlineStr">
        <is>
          <t>💡 =SUM(C502:C505)</t>
        </is>
      </c>
      <c r="N506" s="46" t="inlineStr">
        <is>
          <t>🎯 ≈ S/ 6,000.00</t>
        </is>
      </c>
    </row>
    <row r="507">
      <c r="B507" s="7" t="inlineStr">
        <is>
          <t>Aporte de los socios (recursos propios)</t>
        </is>
      </c>
      <c r="C507" s="40" t="n"/>
    </row>
    <row r="508">
      <c r="B508" s="7" t="inlineStr">
        <is>
          <t>Préstamo (entidad, tasa y plazo) — si no hay, escriba 0</t>
        </is>
      </c>
      <c r="C508" s="39" t="n">
        <v>0</v>
      </c>
    </row>
    <row r="509">
      <c r="B509" s="7" t="inlineStr">
        <is>
          <t>Utilidad neta proyectada del año (semana 12)</t>
        </is>
      </c>
      <c r="C509" s="42">
        <f>$C$456</f>
        <v/>
      </c>
    </row>
    <row r="510">
      <c r="B510" s="7" t="inlineStr">
        <is>
          <t>La inversión equivale a … de la utilidad neta del año</t>
        </is>
      </c>
      <c r="C510" s="53" t="n"/>
      <c r="N510" s="46" t="inlineStr">
        <is>
          <t>🎯 ≈ 1.8%</t>
        </is>
      </c>
    </row>
    <row r="512">
      <c r="B512" s="13" t="inlineStr">
        <is>
          <t>TABLA 19 · Punto de equilibrio de la nueva línea</t>
        </is>
      </c>
    </row>
    <row r="513" ht="30" customHeight="1">
      <c r="B513" s="5" t="inlineStr">
        <is>
          <t>Costo VARIABLE por box</t>
        </is>
      </c>
      <c r="C513" s="5" t="inlineStr">
        <is>
          <t>S/</t>
        </is>
      </c>
    </row>
    <row r="514">
      <c r="B514" s="7" t="inlineStr">
        <is>
          <t>Alfajores e insumos</t>
        </is>
      </c>
      <c r="C514" s="39" t="n">
        <v>22</v>
      </c>
    </row>
    <row r="515">
      <c r="B515" s="7" t="inlineStr">
        <is>
          <t>Caja personalizada</t>
        </is>
      </c>
      <c r="C515" s="39" t="n">
        <v>6</v>
      </c>
    </row>
    <row r="516">
      <c r="B516" s="7" t="inlineStr">
        <is>
          <t>Cinta y tarjeta</t>
        </is>
      </c>
      <c r="C516" s="39" t="n">
        <v>2</v>
      </c>
    </row>
    <row r="517" ht="30" customHeight="1">
      <c r="B517" s="5" t="inlineStr">
        <is>
          <t>Costo FIJO mensual de la nueva línea</t>
        </is>
      </c>
      <c r="C517" s="5" t="inlineStr">
        <is>
          <t>S/</t>
        </is>
      </c>
    </row>
    <row r="518">
      <c r="B518" s="7" t="inlineStr">
        <is>
          <t>Diseñador gráfico freelance</t>
        </is>
      </c>
      <c r="C518" s="39" t="n">
        <v>500</v>
      </c>
    </row>
    <row r="519">
      <c r="B519" s="7" t="inlineStr">
        <is>
          <t>Publicidad en LinkedIn</t>
        </is>
      </c>
      <c r="C519" s="39" t="n">
        <v>300</v>
      </c>
    </row>
    <row r="520">
      <c r="B520" s="7" t="inlineStr">
        <is>
          <t>Depreciación de la selladora</t>
        </is>
      </c>
      <c r="C520" s="39" t="n">
        <v>41.67</v>
      </c>
    </row>
    <row r="522" ht="30" customHeight="1">
      <c r="B522" s="5" t="inlineStr">
        <is>
          <t>Concepto</t>
        </is>
      </c>
      <c r="C522" s="5" t="inlineStr">
        <is>
          <t>Valor</t>
        </is>
      </c>
    </row>
    <row r="523">
      <c r="B523" s="7" t="inlineStr">
        <is>
          <t>Precio de venta sin IGV (S/)</t>
        </is>
      </c>
      <c r="C523" s="40" t="n"/>
      <c r="M523" s="41" t="inlineStr">
        <is>
          <t>💡 =75/1.18</t>
        </is>
      </c>
      <c r="N523" s="46" t="inlineStr">
        <is>
          <t>🎯 ≈ S/ 63.56</t>
        </is>
      </c>
    </row>
    <row r="524">
      <c r="B524" s="7" t="inlineStr">
        <is>
          <t>Costo variable unitario (S/)</t>
        </is>
      </c>
      <c r="C524" s="40" t="n"/>
      <c r="M524" s="41" t="inlineStr">
        <is>
          <t>💡 =SUM(C514:C516)</t>
        </is>
      </c>
      <c r="N524" s="46" t="inlineStr">
        <is>
          <t>🎯 ≈ S/ 30.00</t>
        </is>
      </c>
    </row>
    <row r="525">
      <c r="B525" s="6" t="inlineStr">
        <is>
          <t>➡️ Margen de contribución unitario (S/)</t>
        </is>
      </c>
      <c r="C525" s="48" t="n"/>
      <c r="N525" s="46" t="inlineStr">
        <is>
          <t>🎯 ≈ S/ 33.56</t>
        </is>
      </c>
    </row>
    <row r="526">
      <c r="B526" s="7" t="inlineStr">
        <is>
          <t>Costos fijos mensuales de la nueva línea (S/)</t>
        </is>
      </c>
      <c r="C526" s="40" t="n"/>
      <c r="M526" s="41" t="inlineStr">
        <is>
          <t>💡 =SUM(C518:C520)</t>
        </is>
      </c>
      <c r="N526" s="46" t="inlineStr">
        <is>
          <t>🎯 ≈ S/ 841.67</t>
        </is>
      </c>
    </row>
    <row r="527">
      <c r="B527" s="6" t="inlineStr">
        <is>
          <t>➡️ Punto de equilibrio mensual (boxs)</t>
        </is>
      </c>
      <c r="C527" s="58" t="n"/>
      <c r="M527" s="41" t="inlineStr">
        <is>
          <t>💡 =ROUNDUP($C$526/$C$525,0)</t>
        </is>
      </c>
      <c r="N527" s="46" t="inlineStr">
        <is>
          <t>🎯 ≈ 26</t>
        </is>
      </c>
    </row>
    <row r="528">
      <c r="B528" s="7" t="inlineStr">
        <is>
          <t>Punto de equilibrio mensual (S/)</t>
        </is>
      </c>
      <c r="C528" s="40" t="n"/>
      <c r="N528" s="46" t="inlineStr">
        <is>
          <t>🎯 ≈ S/ 1,652.54</t>
        </is>
      </c>
    </row>
    <row r="529">
      <c r="B529" s="7" t="inlineStr">
        <is>
          <t>Demanda esperada por mes (boxs)</t>
        </is>
      </c>
      <c r="C529" s="37" t="n">
        <v>40</v>
      </c>
    </row>
    <row r="530">
      <c r="B530" s="6" t="inlineStr">
        <is>
          <t>¿Supera el punto de equilibrio? (sí / no)</t>
        </is>
      </c>
      <c r="C530" s="64" t="n"/>
      <c r="N530" s="46" t="inlineStr">
        <is>
          <t>🎯 Sí ✅</t>
        </is>
      </c>
    </row>
    <row r="531">
      <c r="B531" s="7" t="inlineStr">
        <is>
          <t>Margen de seguridad de la nueva línea (%)</t>
        </is>
      </c>
      <c r="C531" s="53" t="n"/>
      <c r="N531" s="46" t="inlineStr">
        <is>
          <t>🎯 ≈ 35.0%</t>
        </is>
      </c>
    </row>
    <row r="534" ht="20" customHeight="1">
      <c r="A534" s="49" t="inlineStr">
        <is>
          <t>☕ CAFÉ Y VINO WINE BAR · empresa de servicio (wine bar y cafetería)</t>
        </is>
      </c>
    </row>
    <row r="536">
      <c r="B536" s="34" t="inlineStr">
        <is>
          <t>📄 Va en el informe: Tabla 18 «Presupuesto referencial de implementación de la nueva línea» (punto 4.4.4) y Tabla 19 «Punto de equilibrio de la nueva línea» (punto 7.7).</t>
        </is>
      </c>
    </row>
    <row r="537" ht="39" customHeight="1">
      <c r="A537" s="35" t="inlineStr">
        <is>
          <t>📘</t>
        </is>
      </c>
      <c r="B537" s="14" t="inlineStr">
        <is>
          <t>CAFÉ Y VINO WINE BAR evalúa lanzar la nueva línea «Taller de cata de vinos y coctelería para principiantes». Se cobrará S/ 90.00 por participante (CON IGV) y se espera atender 20 participantes al mes. Financiamiento: recursos propios.</t>
        </is>
      </c>
    </row>
    <row r="539">
      <c r="B539" s="13" t="inlineStr">
        <is>
          <t>TABLA 18 · Presupuesto referencial de implementación</t>
        </is>
      </c>
    </row>
    <row r="540" ht="30" customHeight="1">
      <c r="B540" s="5" t="inlineStr">
        <is>
          <t>Rubro</t>
        </is>
      </c>
      <c r="C540" s="5" t="inlineStr">
        <is>
          <t>Monto sin IGV (S/)</t>
        </is>
      </c>
    </row>
    <row r="541">
      <c r="B541" s="7" t="inlineStr">
        <is>
          <t>Activo fijo: cristalería y equipos para el taller</t>
        </is>
      </c>
      <c r="C541" s="39" t="n">
        <v>1800</v>
      </c>
    </row>
    <row r="542">
      <c r="B542" s="7" t="inlineStr">
        <is>
          <t>Activo fijo: mobiliario plegable</t>
        </is>
      </c>
      <c r="C542" s="39" t="n">
        <v>900</v>
      </c>
    </row>
    <row r="543">
      <c r="B543" s="7" t="inlineStr">
        <is>
          <t>Activo intangible: diseño y material del curso</t>
        </is>
      </c>
      <c r="C543" s="39" t="n">
        <v>400</v>
      </c>
    </row>
    <row r="544">
      <c r="B544" s="7" t="inlineStr">
        <is>
          <t>Capital de trabajo del primer mes</t>
        </is>
      </c>
      <c r="C544" s="39" t="n">
        <v>800</v>
      </c>
    </row>
    <row r="545">
      <c r="B545" s="6" t="inlineStr">
        <is>
          <t>➡️ INVERSIÓN TOTAL</t>
        </is>
      </c>
      <c r="C545" s="48" t="n"/>
      <c r="M545" s="41" t="inlineStr">
        <is>
          <t>💡 =SUM(C541:C544)</t>
        </is>
      </c>
      <c r="N545" s="46" t="inlineStr">
        <is>
          <t>🎯 ≈ S/ 3,900.00</t>
        </is>
      </c>
    </row>
    <row r="546">
      <c r="B546" s="7" t="inlineStr">
        <is>
          <t>Aporte de los socios (recursos propios)</t>
        </is>
      </c>
      <c r="C546" s="40" t="n"/>
    </row>
    <row r="547">
      <c r="B547" s="7" t="inlineStr">
        <is>
          <t>Préstamo (entidad, tasa y plazo) — si no hay, escriba 0</t>
        </is>
      </c>
      <c r="C547" s="39" t="n">
        <v>0</v>
      </c>
    </row>
    <row r="548">
      <c r="B548" s="7" t="inlineStr">
        <is>
          <t>Utilidad neta proyectada del año (semana 12)</t>
        </is>
      </c>
      <c r="C548" s="42">
        <f>$C$483</f>
        <v/>
      </c>
    </row>
    <row r="549">
      <c r="B549" s="7" t="inlineStr">
        <is>
          <t>La inversión equivale a … de la utilidad neta del año</t>
        </is>
      </c>
      <c r="C549" s="53" t="n"/>
      <c r="N549" s="46" t="inlineStr">
        <is>
          <t>🎯 ≈ 15.0%</t>
        </is>
      </c>
    </row>
    <row r="551">
      <c r="B551" s="13" t="inlineStr">
        <is>
          <t>TABLA 19 · Punto de equilibrio de la nueva línea</t>
        </is>
      </c>
    </row>
    <row r="552" ht="30" customHeight="1">
      <c r="B552" s="5" t="inlineStr">
        <is>
          <t>Costo VARIABLE por participante</t>
        </is>
      </c>
      <c r="C552" s="5" t="inlineStr">
        <is>
          <t>S/</t>
        </is>
      </c>
    </row>
    <row r="553">
      <c r="B553" s="7" t="inlineStr">
        <is>
          <t>Vinos, licores e insumos de práctica</t>
        </is>
      </c>
      <c r="C553" s="39" t="n">
        <v>14</v>
      </c>
    </row>
    <row r="554">
      <c r="B554" s="7" t="inlineStr">
        <is>
          <t>Certificado y material impreso</t>
        </is>
      </c>
      <c r="C554" s="39" t="n">
        <v>5</v>
      </c>
    </row>
    <row r="555">
      <c r="B555" s="7" t="inlineStr">
        <is>
          <t>Tabla de piqueos</t>
        </is>
      </c>
      <c r="C555" s="39" t="n">
        <v>6</v>
      </c>
    </row>
    <row r="556" ht="30" customHeight="1">
      <c r="B556" s="5" t="inlineStr">
        <is>
          <t>Costo FIJO mensual de la nueva línea</t>
        </is>
      </c>
      <c r="C556" s="5" t="inlineStr">
        <is>
          <t>S/</t>
        </is>
      </c>
    </row>
    <row r="557">
      <c r="B557" s="7" t="inlineStr">
        <is>
          <t>Pago al sommelier instructor</t>
        </is>
      </c>
      <c r="C557" s="39" t="n">
        <v>600</v>
      </c>
    </row>
    <row r="558">
      <c r="B558" s="7" t="inlineStr">
        <is>
          <t>Publicidad del taller</t>
        </is>
      </c>
      <c r="C558" s="39" t="n">
        <v>200</v>
      </c>
    </row>
    <row r="559">
      <c r="B559" s="7" t="inlineStr">
        <is>
          <t>Depreciación de equipos del taller</t>
        </is>
      </c>
      <c r="C559" s="39" t="n">
        <v>30</v>
      </c>
    </row>
    <row r="561" ht="30" customHeight="1">
      <c r="B561" s="5" t="inlineStr">
        <is>
          <t>Concepto</t>
        </is>
      </c>
      <c r="C561" s="5" t="inlineStr">
        <is>
          <t>Valor</t>
        </is>
      </c>
    </row>
    <row r="562">
      <c r="B562" s="7" t="inlineStr">
        <is>
          <t>Precio de venta sin IGV (S/)</t>
        </is>
      </c>
      <c r="C562" s="40" t="n"/>
      <c r="M562" s="41" t="inlineStr">
        <is>
          <t>💡 =90/1.18</t>
        </is>
      </c>
      <c r="N562" s="46" t="inlineStr">
        <is>
          <t>🎯 ≈ S/ 76.27</t>
        </is>
      </c>
    </row>
    <row r="563">
      <c r="B563" s="7" t="inlineStr">
        <is>
          <t>Costo variable unitario (S/)</t>
        </is>
      </c>
      <c r="C563" s="40" t="n"/>
      <c r="M563" s="41" t="inlineStr">
        <is>
          <t>💡 =SUM(C553:C555)</t>
        </is>
      </c>
      <c r="N563" s="46" t="inlineStr">
        <is>
          <t>🎯 ≈ S/ 25.00</t>
        </is>
      </c>
    </row>
    <row r="564">
      <c r="B564" s="6" t="inlineStr">
        <is>
          <t>➡️ Margen de contribución unitario (S/)</t>
        </is>
      </c>
      <c r="C564" s="48" t="n"/>
      <c r="N564" s="46" t="inlineStr">
        <is>
          <t>🎯 ≈ S/ 51.27</t>
        </is>
      </c>
    </row>
    <row r="565">
      <c r="B565" s="7" t="inlineStr">
        <is>
          <t>Costos fijos mensuales de la nueva línea (S/)</t>
        </is>
      </c>
      <c r="C565" s="40" t="n"/>
      <c r="M565" s="41" t="inlineStr">
        <is>
          <t>💡 =SUM(C557:C559)</t>
        </is>
      </c>
      <c r="N565" s="46" t="inlineStr">
        <is>
          <t>🎯 ≈ S/ 830.00</t>
        </is>
      </c>
    </row>
    <row r="566">
      <c r="B566" s="6" t="inlineStr">
        <is>
          <t>➡️ Punto de equilibrio mensual (participantes)</t>
        </is>
      </c>
      <c r="C566" s="58" t="n"/>
      <c r="M566" s="41" t="inlineStr">
        <is>
          <t>💡 =ROUNDUP($C$565/$C$564,0)</t>
        </is>
      </c>
      <c r="N566" s="46" t="inlineStr">
        <is>
          <t>🎯 ≈ 17</t>
        </is>
      </c>
    </row>
    <row r="567">
      <c r="B567" s="7" t="inlineStr">
        <is>
          <t>Punto de equilibrio mensual (S/)</t>
        </is>
      </c>
      <c r="C567" s="40" t="n"/>
      <c r="N567" s="46" t="inlineStr">
        <is>
          <t>🎯 ≈ S/ 1,296.61</t>
        </is>
      </c>
    </row>
    <row r="568">
      <c r="B568" s="7" t="inlineStr">
        <is>
          <t>Demanda esperada por mes (participantes)</t>
        </is>
      </c>
      <c r="C568" s="37" t="n">
        <v>20</v>
      </c>
    </row>
    <row r="569">
      <c r="B569" s="6" t="inlineStr">
        <is>
          <t>¿Supera el punto de equilibrio? (sí / no)</t>
        </is>
      </c>
      <c r="C569" s="64" t="n"/>
      <c r="N569" s="46" t="inlineStr">
        <is>
          <t>🎯 Sí ✅</t>
        </is>
      </c>
    </row>
    <row r="570">
      <c r="B570" s="7" t="inlineStr">
        <is>
          <t>Margen de seguridad de la nueva línea (%)</t>
        </is>
      </c>
      <c r="C570" s="53" t="n"/>
      <c r="N570" s="46" t="inlineStr">
        <is>
          <t>🎯 ≈ 15.0%</t>
        </is>
      </c>
    </row>
    <row r="574" ht="24" customHeight="1">
      <c r="A574" s="31" t="inlineStr">
        <is>
          <t>SEMANA 13 · SESIÓN 2 · Jue 12-nov   ▸   Repaso integral: tablero de control del informe   ▸   Revisión de las Tablas 1 a 19</t>
        </is>
      </c>
    </row>
    <row r="575">
      <c r="A575" s="32" t="inlineStr">
        <is>
          <t>⬜ SEMANA 13, SESIÓN 2.</t>
        </is>
      </c>
    </row>
    <row r="577" ht="84" customHeight="1">
      <c r="D577" s="12" t="inlineStr">
        <is>
          <t>Antes de entregar, compruebe que la utilidad por margen de contribución y la del Estado de Resultados dan casi lo mismo. Si no, hay un error atrás.</t>
        </is>
      </c>
    </row>
    <row r="579" ht="20" customHeight="1">
      <c r="A579" s="33" t="inlineStr">
        <is>
          <t>🍪 ANTOJITOS DE AREQUIPA · empresa de manufactura (alfajores)</t>
        </is>
      </c>
    </row>
    <row r="581">
      <c r="B581" s="34" t="inlineStr">
        <is>
          <t>📄 No es una tabla nueva: es el TABLERO DE CONTROL para revisar que las Tablas 1 a 19 del informe estén coherentes antes de entregar.</t>
        </is>
      </c>
    </row>
    <row r="582" ht="26" customHeight="1">
      <c r="A582" s="35" t="inlineStr">
        <is>
          <t>📘</t>
        </is>
      </c>
      <c r="B582" s="14" t="inlineStr">
        <is>
          <t>Copie aquí los resultados finales y compruebe las tres reglas de cierre. Si alguna no cuadra, hay un error en una sesión anterior.</t>
        </is>
      </c>
    </row>
    <row r="584" ht="30" customHeight="1">
      <c r="B584" s="5" t="inlineStr">
        <is>
          <t>Comprobación de cierre</t>
        </is>
      </c>
      <c r="C584" s="5" t="inlineStr">
        <is>
          <t>Valor</t>
        </is>
      </c>
      <c r="D584" s="5" t="inlineStr">
        <is>
          <t>¿Cuadra?</t>
        </is>
      </c>
    </row>
    <row r="585">
      <c r="B585" s="7" t="inlineStr">
        <is>
          <t>1) Utilidad operativa del mes por margen de contribución</t>
        </is>
      </c>
      <c r="C585" s="40" t="n"/>
      <c r="D585" s="61" t="n"/>
      <c r="M585" s="41" t="inlineStr">
        <is>
          <t>💡 =($C$232*$C$101+$D$232*$C$102)-$C$274</t>
        </is>
      </c>
      <c r="N585" s="46" t="inlineStr">
        <is>
          <t>🎯 ≈ S/ 38,185.63</t>
        </is>
      </c>
    </row>
    <row r="586">
      <c r="B586" s="7" t="inlineStr">
        <is>
          <t>2) Utilidad operativa del mes según el Estado de Resultados (÷ 12)</t>
        </is>
      </c>
      <c r="C586" s="40" t="n"/>
      <c r="D586" s="61" t="n"/>
      <c r="N586" s="46" t="inlineStr">
        <is>
          <t>🎯 ≈ S/ 38,038.99  ·  las dos deben parecerse mucho</t>
        </is>
      </c>
    </row>
    <row r="587">
      <c r="B587" s="7" t="inlineStr">
        <is>
          <t>3) Diferencia entre 1 y 2 (debe ser pequeña)</t>
        </is>
      </c>
      <c r="C587" s="40" t="n"/>
      <c r="M587" s="41" t="inlineStr">
        <is>
          <t>💡 =$C$585-$C$586</t>
        </is>
      </c>
    </row>
    <row r="588">
      <c r="B588" s="7" t="inlineStr">
        <is>
          <t>4) ¿El % de la Tabla 2 suma 100 %?</t>
        </is>
      </c>
      <c r="C588" s="61" t="n"/>
    </row>
    <row r="589">
      <c r="B589" s="7" t="inlineStr">
        <is>
          <t>5) ¿El CIF asignado de la Tabla 8 suma el total CIF de la Tabla 7?</t>
        </is>
      </c>
      <c r="C589" s="61" t="n"/>
    </row>
    <row r="590">
      <c r="B590" s="7" t="inlineStr">
        <is>
          <t>6) ¿La inversión de la Tabla 18 es menor que la utilidad neta de la Tabla 17?</t>
        </is>
      </c>
      <c r="C590" s="61" t="n"/>
      <c r="N590" s="46" t="inlineStr">
        <is>
          <t>🎯 Inversión S/ 6,000 vs utilidad neta S/ 337,897</t>
        </is>
      </c>
    </row>
    <row r="591">
      <c r="B591" s="7" t="inlineStr">
        <is>
          <t>7) ¿Todas las cifras del informe están SIN IGV?</t>
        </is>
      </c>
      <c r="C591" s="61" t="n"/>
    </row>
    <row r="594" ht="20" customHeight="1">
      <c r="A594" s="49" t="inlineStr">
        <is>
          <t>☕ CAFÉ Y VINO WINE BAR · empresa de servicio (wine bar y cafetería)</t>
        </is>
      </c>
    </row>
    <row r="596">
      <c r="B596" s="34" t="inlineStr">
        <is>
          <t>📄 No es una tabla nueva: es el TABLERO DE CONTROL para revisar que las Tablas 1 a 19 del informe estén coherentes antes de entregar.</t>
        </is>
      </c>
    </row>
    <row r="597" ht="26" customHeight="1">
      <c r="A597" s="35" t="inlineStr">
        <is>
          <t>📘</t>
        </is>
      </c>
      <c r="B597" s="14" t="inlineStr">
        <is>
          <t>Copie aquí los resultados finales y compruebe las tres reglas de cierre. Si alguna no cuadra, hay un error en una sesión anterior.</t>
        </is>
      </c>
    </row>
    <row r="599" ht="30" customHeight="1">
      <c r="B599" s="5" t="inlineStr">
        <is>
          <t>Comprobación de cierre</t>
        </is>
      </c>
      <c r="C599" s="5" t="inlineStr">
        <is>
          <t>Valor</t>
        </is>
      </c>
      <c r="D599" s="5" t="inlineStr">
        <is>
          <t>¿Cuadra?</t>
        </is>
      </c>
    </row>
    <row r="600">
      <c r="B600" s="7" t="inlineStr">
        <is>
          <t>1) Utilidad operativa del mes por margen de contribución</t>
        </is>
      </c>
      <c r="C600" s="40" t="n"/>
      <c r="D600" s="61" t="n"/>
      <c r="M600" s="41" t="inlineStr">
        <is>
          <t>💡 =($C$250*$C$126+$D$250*$C$127)-$C$312</t>
        </is>
      </c>
      <c r="N600" s="46" t="inlineStr">
        <is>
          <t>🎯 ≈ S/ 2,400.50</t>
        </is>
      </c>
    </row>
    <row r="601">
      <c r="B601" s="7" t="inlineStr">
        <is>
          <t>2) Utilidad operativa del mes según el Estado de Resultados (÷ 12)</t>
        </is>
      </c>
      <c r="C601" s="40" t="n"/>
      <c r="D601" s="61" t="n"/>
      <c r="N601" s="46" t="inlineStr">
        <is>
          <t>🎯 ≈ S/ 2,400.50  ·  las dos deben parecerse mucho</t>
        </is>
      </c>
    </row>
    <row r="602">
      <c r="B602" s="7" t="inlineStr">
        <is>
          <t>3) Diferencia entre 1 y 2 (debe ser pequeña)</t>
        </is>
      </c>
      <c r="C602" s="40" t="n"/>
      <c r="M602" s="41" t="inlineStr">
        <is>
          <t>💡 =$C$600-$C$601</t>
        </is>
      </c>
    </row>
    <row r="603">
      <c r="B603" s="7" t="inlineStr">
        <is>
          <t>4) ¿El % de la Tabla 2 suma 100 %?</t>
        </is>
      </c>
      <c r="C603" s="61" t="n"/>
    </row>
    <row r="604">
      <c r="B604" s="7" t="inlineStr">
        <is>
          <t>5) ¿El CIF asignado de la Tabla 8 suma el total CIF de la Tabla 7?</t>
        </is>
      </c>
      <c r="C604" s="61" t="n"/>
    </row>
    <row r="605">
      <c r="B605" s="7" t="inlineStr">
        <is>
          <t>6) ¿La inversión de la Tabla 18 es menor que la utilidad neta de la Tabla 17?</t>
        </is>
      </c>
      <c r="C605" s="61" t="n"/>
      <c r="N605" s="46" t="inlineStr">
        <is>
          <t>🎯 Inversión S/ 3,900 vs utilidad neta S/ 25,925</t>
        </is>
      </c>
    </row>
    <row r="606">
      <c r="B606" s="7" t="inlineStr">
        <is>
          <t>7) ¿Todas las cifras del informe están SIN IGV?</t>
        </is>
      </c>
      <c r="C606" s="61" t="n"/>
    </row>
    <row r="610" ht="24" customHeight="1">
      <c r="A610" s="31" t="inlineStr">
        <is>
          <t>SEMANA 14 · SESIÓN 1 · Mar 17-nov   ▸   Utilidad objetivo y sensibilidad del precio   ▸   Refuerzo (no va en el informe)</t>
        </is>
      </c>
    </row>
    <row r="611">
      <c r="A611" s="32" t="inlineStr">
        <is>
          <t>⬜ SEMANA 14, SESIÓN 1.</t>
        </is>
      </c>
    </row>
    <row r="613" ht="84" customHeight="1">
      <c r="D613" s="12" t="inlineStr">
        <is>
          <t>La utilidad que quiere ganar se SUMA a los costos fijos, nunca al margen. Luego se divide entre el margen ponderado.</t>
        </is>
      </c>
    </row>
    <row r="615" ht="20" customHeight="1">
      <c r="A615" s="33" t="inlineStr">
        <is>
          <t>🍪 ANTOJITOS DE AREQUIPA · empresa de manufactura (alfajores)</t>
        </is>
      </c>
    </row>
    <row r="617">
      <c r="B617" s="34" t="inlineStr">
        <is>
          <t>📄 No va en el informe. Es práctica de refuerzo para el examen.</t>
        </is>
      </c>
    </row>
    <row r="618" ht="39" customHeight="1">
      <c r="A618" s="35" t="inlineStr">
        <is>
          <t>📘</t>
        </is>
      </c>
      <c r="B618" s="14" t="inlineStr">
        <is>
          <t>El dueño de ANTOJITOS DE AREQUIPA quiere ganar S/ 25,000 de utilidad operativa AL MES. Además evalúa subir el precio del producto A de S/ 25.00 a S/ 27.00 (con IGV), manteniendo la misma mezcla de ventas. Se pide comparar los dos escenarios.</t>
        </is>
      </c>
    </row>
    <row r="620" ht="30" customHeight="1">
      <c r="B620" s="5" t="inlineStr">
        <is>
          <t>Concepto</t>
        </is>
      </c>
      <c r="C620" s="5" t="inlineStr">
        <is>
          <t>Precio A = S/ 25.00</t>
        </is>
      </c>
      <c r="D620" s="5" t="inlineStr">
        <is>
          <t>Precio A = S/ 27.00</t>
        </is>
      </c>
    </row>
    <row r="621">
      <c r="B621" s="7" t="inlineStr">
        <is>
          <t>Precio sin IGV del producto A (S/)</t>
        </is>
      </c>
      <c r="C621" s="42">
        <f>$C$228</f>
        <v/>
      </c>
      <c r="D621" s="40" t="n"/>
    </row>
    <row r="622">
      <c r="B622" s="7" t="inlineStr">
        <is>
          <t>Margen de contribución unitario de A (S/)</t>
        </is>
      </c>
      <c r="C622" s="57">
        <f>$C$232</f>
        <v/>
      </c>
      <c r="D622" s="44" t="n"/>
    </row>
    <row r="623">
      <c r="B623" s="7" t="inlineStr">
        <is>
          <t>Margen de contribución ponderado (S/)</t>
        </is>
      </c>
      <c r="C623" s="57">
        <f>$F$280</f>
        <v/>
      </c>
      <c r="D623" s="44" t="n"/>
      <c r="N623" s="46" t="inlineStr">
        <is>
          <t>🎯 con el precio nuevo ≈ S/ 14.7237</t>
        </is>
      </c>
    </row>
    <row r="624">
      <c r="B624" s="7" t="inlineStr">
        <is>
          <t>Costos fijos del mes (S/)</t>
        </is>
      </c>
      <c r="C624" s="42">
        <f>$C$274</f>
        <v/>
      </c>
      <c r="D624" s="42">
        <f>$C$274</f>
        <v/>
      </c>
    </row>
    <row r="625">
      <c r="B625" s="6" t="inlineStr">
        <is>
          <t>Punto de equilibrio (unidades al mes)</t>
        </is>
      </c>
      <c r="C625" s="58" t="n"/>
      <c r="D625" s="58" t="n"/>
      <c r="N625" s="46" t="inlineStr">
        <is>
          <t>🎯 antes ≈ 1,405  |  con precio nuevo ≈ 1,298</t>
        </is>
      </c>
    </row>
    <row r="626">
      <c r="B626" s="6" t="inlineStr">
        <is>
          <t>Unidades al mes para ganar S/ 25,000</t>
        </is>
      </c>
      <c r="C626" s="58" t="n"/>
      <c r="D626" s="58" t="n"/>
      <c r="M626" s="41" t="inlineStr">
        <is>
          <t>💡 =ROUNDUP((costos fijos + utilidad objetivo) / margen ponderado, 0)</t>
        </is>
      </c>
      <c r="N626" s="46" t="inlineStr">
        <is>
          <t>🎯 antes ≈ 3,244  |  con precio nuevo ≈ 2,996</t>
        </is>
      </c>
    </row>
    <row r="627">
      <c r="B627" s="7" t="inlineStr">
        <is>
          <t>¿Conviene subir el precio? Comente en dos líneas.</t>
        </is>
      </c>
      <c r="C627" s="61" t="n"/>
    </row>
    <row r="630" ht="20" customHeight="1">
      <c r="A630" s="49" t="inlineStr">
        <is>
          <t>☕ CAFÉ Y VINO WINE BAR · empresa de servicio (wine bar y cafetería)</t>
        </is>
      </c>
    </row>
    <row r="632">
      <c r="B632" s="34" t="inlineStr">
        <is>
          <t>📄 No va en el informe. Es práctica de refuerzo para el examen.</t>
        </is>
      </c>
    </row>
    <row r="633" ht="39" customHeight="1">
      <c r="A633" s="35" t="inlineStr">
        <is>
          <t>📘</t>
        </is>
      </c>
      <c r="B633" s="14" t="inlineStr">
        <is>
          <t>El dueño de CAFÉ Y VINO WINE BAR quiere ganar S/ 5,000 de utilidad operativa AL MES. Además evalúa subir el precio del producto A de S/ 11.00 a S/ 12.00 (con IGV), manteniendo la misma mezcla de ventas. Se pide comparar los dos escenarios.</t>
        </is>
      </c>
    </row>
    <row r="635" ht="30" customHeight="1">
      <c r="B635" s="5" t="inlineStr">
        <is>
          <t>Concepto</t>
        </is>
      </c>
      <c r="C635" s="5" t="inlineStr">
        <is>
          <t>Precio A = S/ 11.00</t>
        </is>
      </c>
      <c r="D635" s="5" t="inlineStr">
        <is>
          <t>Precio A = S/ 12.00</t>
        </is>
      </c>
    </row>
    <row r="636">
      <c r="B636" s="7" t="inlineStr">
        <is>
          <t>Precio sin IGV del producto A (S/)</t>
        </is>
      </c>
      <c r="C636" s="42">
        <f>$C$246</f>
        <v/>
      </c>
      <c r="D636" s="40" t="n"/>
    </row>
    <row r="637">
      <c r="B637" s="7" t="inlineStr">
        <is>
          <t>Margen de contribución unitario de A (S/)</t>
        </is>
      </c>
      <c r="C637" s="57">
        <f>$C$250</f>
        <v/>
      </c>
      <c r="D637" s="44" t="n"/>
    </row>
    <row r="638">
      <c r="B638" s="7" t="inlineStr">
        <is>
          <t>Margen de contribución ponderado (S/)</t>
        </is>
      </c>
      <c r="C638" s="57">
        <f>$F$318</f>
        <v/>
      </c>
      <c r="D638" s="44" t="n"/>
      <c r="N638" s="46" t="inlineStr">
        <is>
          <t>🎯 con el precio nuevo ≈ S/ 9.6409</t>
        </is>
      </c>
    </row>
    <row r="639">
      <c r="B639" s="7" t="inlineStr">
        <is>
          <t>Costos fijos del mes (S/)</t>
        </is>
      </c>
      <c r="C639" s="42">
        <f>$C$312</f>
        <v/>
      </c>
      <c r="D639" s="42">
        <f>$C$312</f>
        <v/>
      </c>
    </row>
    <row r="640">
      <c r="B640" s="6" t="inlineStr">
        <is>
          <t>Punto de equilibrio (unidades al mes)</t>
        </is>
      </c>
      <c r="C640" s="58" t="n"/>
      <c r="D640" s="58" t="n"/>
      <c r="N640" s="46" t="inlineStr">
        <is>
          <t>🎯 antes ≈ 1,293  |  con precio nuevo ≈ 1,206</t>
        </is>
      </c>
    </row>
    <row r="641">
      <c r="B641" s="6" t="inlineStr">
        <is>
          <t>Unidades al mes para ganar S/ 5,000</t>
        </is>
      </c>
      <c r="C641" s="58" t="n"/>
      <c r="D641" s="58" t="n"/>
      <c r="M641" s="41" t="inlineStr">
        <is>
          <t>💡 =ROUNDUP((costos fijos + utilidad objetivo) / margen ponderado, 0)</t>
        </is>
      </c>
      <c r="N641" s="46" t="inlineStr">
        <is>
          <t>🎯 antes ≈ 1,850  |  con precio nuevo ≈ 1,725</t>
        </is>
      </c>
    </row>
    <row r="642">
      <c r="B642" s="7" t="inlineStr">
        <is>
          <t>¿Conviene subir el precio? Comente en dos líneas.</t>
        </is>
      </c>
      <c r="C642" s="61" t="n"/>
    </row>
    <row r="646" ht="24" customHeight="1">
      <c r="A646" s="31" t="inlineStr">
        <is>
          <t>SEMANA 14 · SESIÓN 2 · Jue 19-nov   ▸   Simulador presupuestario por escenarios   ▸   Anexo A.1</t>
        </is>
      </c>
    </row>
    <row r="647">
      <c r="A647" s="32" t="inlineStr">
        <is>
          <t>⬜ SEMANA 14, SESIÓN 2.</t>
        </is>
      </c>
    </row>
    <row r="649" ht="84" customHeight="1">
      <c r="D649" s="12" t="inlineStr">
        <is>
          <t>El simulador se mueve con fórmulas, no a mano. Cambie un supuesto y vea cómo se mueve toda la utilidad del mes.</t>
        </is>
      </c>
    </row>
    <row r="651" ht="20" customHeight="1">
      <c r="A651" s="33" t="inlineStr">
        <is>
          <t>🍪 ANTOJITOS DE AREQUIPA · empresa de manufactura (alfajores)</t>
        </is>
      </c>
    </row>
    <row r="653">
      <c r="B653" s="34" t="inlineStr">
        <is>
          <t>📄 Va en el Anexo A.1 del informe (archivo Excel con fórmulas activas).</t>
        </is>
      </c>
    </row>
    <row r="654" ht="26" customHeight="1">
      <c r="A654" s="35" t="inlineStr">
        <is>
          <t>📘</t>
        </is>
      </c>
      <c r="B654" s="14" t="inlineStr">
        <is>
          <t>Simulador del resultado mensual. Cambie los supuestos (celdas amarillas de variación) y todo se recalcula. Sirve para la conclusión del capítulo 4.</t>
        </is>
      </c>
    </row>
    <row r="656" ht="30" customHeight="1">
      <c r="B656" s="5" t="inlineStr">
        <is>
          <t>Dato base del mes</t>
        </is>
      </c>
      <c r="C656" s="5" t="inlineStr">
        <is>
          <t>Producto A</t>
        </is>
      </c>
      <c r="D656" s="5" t="inlineStr">
        <is>
          <t>Producto B</t>
        </is>
      </c>
    </row>
    <row r="657">
      <c r="B657" s="7" t="inlineStr">
        <is>
          <t>Ventas mensuales (unidades)</t>
        </is>
      </c>
      <c r="C657" s="65">
        <f>$C$101</f>
        <v/>
      </c>
      <c r="D657" s="65">
        <f>$C$102</f>
        <v/>
      </c>
    </row>
    <row r="658">
      <c r="B658" s="7" t="inlineStr">
        <is>
          <t>Precio sin IGV (S/)</t>
        </is>
      </c>
      <c r="C658" s="42">
        <f>$C$228</f>
        <v/>
      </c>
      <c r="D658" s="42">
        <f>$D$228</f>
        <v/>
      </c>
    </row>
    <row r="659">
      <c r="B659" s="7" t="inlineStr">
        <is>
          <t>Costo variable unitario (S/)</t>
        </is>
      </c>
      <c r="C659" s="57">
        <f>$C$231</f>
        <v/>
      </c>
      <c r="D659" s="57">
        <f>$D$231</f>
        <v/>
      </c>
    </row>
    <row r="660">
      <c r="B660" s="7" t="inlineStr">
        <is>
          <t>Costos fijos del mes (S/)</t>
        </is>
      </c>
      <c r="C660" s="42">
        <f>$C$274</f>
        <v/>
      </c>
    </row>
    <row r="662" ht="30" customHeight="1">
      <c r="B662" s="5" t="inlineStr">
        <is>
          <t>Supuesto (variación)</t>
        </is>
      </c>
      <c r="C662" s="5" t="inlineStr">
        <is>
          <t>Pesimista</t>
        </is>
      </c>
      <c r="D662" s="5" t="inlineStr">
        <is>
          <t>Conservador</t>
        </is>
      </c>
      <c r="E662" s="5" t="inlineStr">
        <is>
          <t>Optimista</t>
        </is>
      </c>
    </row>
    <row r="663">
      <c r="B663" s="7" t="inlineStr">
        <is>
          <t>Volumen de ventas</t>
        </is>
      </c>
      <c r="C663" s="53" t="n">
        <v>-0.15</v>
      </c>
      <c r="D663" s="53" t="n">
        <v>0</v>
      </c>
      <c r="E663" s="53" t="n">
        <v>0.1</v>
      </c>
    </row>
    <row r="664">
      <c r="B664" s="7" t="inlineStr">
        <is>
          <t>Precio de venta</t>
        </is>
      </c>
      <c r="C664" s="53" t="n">
        <v>0</v>
      </c>
      <c r="D664" s="53" t="n">
        <v>0</v>
      </c>
      <c r="E664" s="53" t="n">
        <v>0.05</v>
      </c>
    </row>
    <row r="665">
      <c r="B665" s="7" t="inlineStr">
        <is>
          <t>Costo variable unitario</t>
        </is>
      </c>
      <c r="C665" s="53" t="n">
        <v>0.08</v>
      </c>
      <c r="D665" s="53" t="n">
        <v>0</v>
      </c>
      <c r="E665" s="53" t="n">
        <v>0</v>
      </c>
    </row>
    <row r="666">
      <c r="B666" s="7" t="inlineStr">
        <is>
          <t>Costos fijos</t>
        </is>
      </c>
      <c r="C666" s="53" t="n">
        <v>0.05</v>
      </c>
      <c r="D666" s="53" t="n">
        <v>0</v>
      </c>
      <c r="E666" s="53" t="n">
        <v>0</v>
      </c>
    </row>
    <row r="668" ht="30" customHeight="1">
      <c r="B668" s="5" t="inlineStr">
        <is>
          <t>Resultado del mes (S/)</t>
        </is>
      </c>
      <c r="C668" s="5" t="inlineStr">
        <is>
          <t>Pesimista</t>
        </is>
      </c>
      <c r="D668" s="5" t="inlineStr">
        <is>
          <t>Conservador</t>
        </is>
      </c>
      <c r="E668" s="5" t="inlineStr">
        <is>
          <t>Optimista</t>
        </is>
      </c>
    </row>
    <row r="669">
      <c r="B669" s="7" t="inlineStr">
        <is>
          <t>Ventas</t>
        </is>
      </c>
      <c r="C669" s="40" t="n"/>
      <c r="D669" s="40" t="n"/>
      <c r="E669" s="40" t="n"/>
    </row>
    <row r="670">
      <c r="B670" s="7" t="inlineStr">
        <is>
          <t>(−) Costos variables</t>
        </is>
      </c>
      <c r="C670" s="40" t="n"/>
      <c r="D670" s="40" t="n"/>
      <c r="E670" s="40" t="n"/>
    </row>
    <row r="671">
      <c r="B671" s="6">
        <f> Margen de contribución</f>
        <v/>
      </c>
      <c r="C671" s="48" t="n"/>
      <c r="D671" s="48" t="n"/>
      <c r="E671" s="48" t="n"/>
    </row>
    <row r="672">
      <c r="B672" s="7" t="inlineStr">
        <is>
          <t>(−) Costos fijos</t>
        </is>
      </c>
      <c r="C672" s="40" t="n"/>
      <c r="D672" s="40" t="n"/>
      <c r="E672" s="40" t="n"/>
    </row>
    <row r="673">
      <c r="B673" s="6">
        <f> UTILIDAD OPERATIVA DEL MES</f>
        <v/>
      </c>
      <c r="C673" s="48" t="n"/>
      <c r="D673" s="48" t="n"/>
      <c r="E673" s="48" t="n"/>
    </row>
    <row r="674">
      <c r="B674" s="7" t="inlineStr">
        <is>
          <t>¿Qué escenario preocupa y por qué?</t>
        </is>
      </c>
      <c r="C674" s="61" t="n"/>
    </row>
    <row r="677" ht="20" customHeight="1">
      <c r="A677" s="49" t="inlineStr">
        <is>
          <t>☕ CAFÉ Y VINO WINE BAR · empresa de servicio (wine bar y cafetería)</t>
        </is>
      </c>
    </row>
    <row r="679">
      <c r="B679" s="34" t="inlineStr">
        <is>
          <t>📄 Va en el Anexo A.1 del informe (archivo Excel con fórmulas activas).</t>
        </is>
      </c>
    </row>
    <row r="680" ht="26" customHeight="1">
      <c r="A680" s="35" t="inlineStr">
        <is>
          <t>📘</t>
        </is>
      </c>
      <c r="B680" s="14" t="inlineStr">
        <is>
          <t>Simulador del resultado mensual. Cambie los supuestos (celdas amarillas de variación) y todo se recalcula. Sirve para la conclusión del capítulo 4.</t>
        </is>
      </c>
    </row>
    <row r="682" ht="30" customHeight="1">
      <c r="B682" s="5" t="inlineStr">
        <is>
          <t>Dato base del mes</t>
        </is>
      </c>
      <c r="C682" s="5" t="inlineStr">
        <is>
          <t>Producto A</t>
        </is>
      </c>
      <c r="D682" s="5" t="inlineStr">
        <is>
          <t>Producto B</t>
        </is>
      </c>
    </row>
    <row r="683">
      <c r="B683" s="7" t="inlineStr">
        <is>
          <t>Ventas mensuales (unidades)</t>
        </is>
      </c>
      <c r="C683" s="65">
        <f>$C$126</f>
        <v/>
      </c>
      <c r="D683" s="65">
        <f>$C$127</f>
        <v/>
      </c>
    </row>
    <row r="684">
      <c r="B684" s="7" t="inlineStr">
        <is>
          <t>Precio sin IGV (S/)</t>
        </is>
      </c>
      <c r="C684" s="42">
        <f>$C$246</f>
        <v/>
      </c>
      <c r="D684" s="42">
        <f>$D$246</f>
        <v/>
      </c>
    </row>
    <row r="685">
      <c r="B685" s="7" t="inlineStr">
        <is>
          <t>Costo variable unitario (S/)</t>
        </is>
      </c>
      <c r="C685" s="57">
        <f>$C$249</f>
        <v/>
      </c>
      <c r="D685" s="57">
        <f>$D$249</f>
        <v/>
      </c>
    </row>
    <row r="686">
      <c r="B686" s="7" t="inlineStr">
        <is>
          <t>Costos fijos del mes (S/)</t>
        </is>
      </c>
      <c r="C686" s="42">
        <f>$C$312</f>
        <v/>
      </c>
    </row>
    <row r="688" ht="30" customHeight="1">
      <c r="B688" s="5" t="inlineStr">
        <is>
          <t>Supuesto (variación)</t>
        </is>
      </c>
      <c r="C688" s="5" t="inlineStr">
        <is>
          <t>Pesimista</t>
        </is>
      </c>
      <c r="D688" s="5" t="inlineStr">
        <is>
          <t>Conservador</t>
        </is>
      </c>
      <c r="E688" s="5" t="inlineStr">
        <is>
          <t>Optimista</t>
        </is>
      </c>
    </row>
    <row r="689">
      <c r="B689" s="7" t="inlineStr">
        <is>
          <t>Volumen de ventas</t>
        </is>
      </c>
      <c r="C689" s="53" t="n">
        <v>-0.15</v>
      </c>
      <c r="D689" s="53" t="n">
        <v>0</v>
      </c>
      <c r="E689" s="53" t="n">
        <v>0.1</v>
      </c>
    </row>
    <row r="690">
      <c r="B690" s="7" t="inlineStr">
        <is>
          <t>Precio de venta</t>
        </is>
      </c>
      <c r="C690" s="53" t="n">
        <v>0</v>
      </c>
      <c r="D690" s="53" t="n">
        <v>0</v>
      </c>
      <c r="E690" s="53" t="n">
        <v>0.05</v>
      </c>
    </row>
    <row r="691">
      <c r="B691" s="7" t="inlineStr">
        <is>
          <t>Costo variable unitario</t>
        </is>
      </c>
      <c r="C691" s="53" t="n">
        <v>0.08</v>
      </c>
      <c r="D691" s="53" t="n">
        <v>0</v>
      </c>
      <c r="E691" s="53" t="n">
        <v>0</v>
      </c>
    </row>
    <row r="692">
      <c r="B692" s="7" t="inlineStr">
        <is>
          <t>Costos fijos</t>
        </is>
      </c>
      <c r="C692" s="53" t="n">
        <v>0.05</v>
      </c>
      <c r="D692" s="53" t="n">
        <v>0</v>
      </c>
      <c r="E692" s="53" t="n">
        <v>0</v>
      </c>
    </row>
    <row r="694" ht="30" customHeight="1">
      <c r="B694" s="5" t="inlineStr">
        <is>
          <t>Resultado del mes (S/)</t>
        </is>
      </c>
      <c r="C694" s="5" t="inlineStr">
        <is>
          <t>Pesimista</t>
        </is>
      </c>
      <c r="D694" s="5" t="inlineStr">
        <is>
          <t>Conservador</t>
        </is>
      </c>
      <c r="E694" s="5" t="inlineStr">
        <is>
          <t>Optimista</t>
        </is>
      </c>
    </row>
    <row r="695">
      <c r="B695" s="7" t="inlineStr">
        <is>
          <t>Ventas</t>
        </is>
      </c>
      <c r="C695" s="40" t="n"/>
      <c r="D695" s="40" t="n"/>
      <c r="E695" s="40" t="n"/>
    </row>
    <row r="696">
      <c r="B696" s="7" t="inlineStr">
        <is>
          <t>(−) Costos variables</t>
        </is>
      </c>
      <c r="C696" s="40" t="n"/>
      <c r="D696" s="40" t="n"/>
      <c r="E696" s="40" t="n"/>
    </row>
    <row r="697">
      <c r="B697" s="6">
        <f> Margen de contribución</f>
        <v/>
      </c>
      <c r="C697" s="48" t="n"/>
      <c r="D697" s="48" t="n"/>
      <c r="E697" s="48" t="n"/>
    </row>
    <row r="698">
      <c r="B698" s="7" t="inlineStr">
        <is>
          <t>(−) Costos fijos</t>
        </is>
      </c>
      <c r="C698" s="40" t="n"/>
      <c r="D698" s="40" t="n"/>
      <c r="E698" s="40" t="n"/>
    </row>
    <row r="699">
      <c r="B699" s="6">
        <f> UTILIDAD OPERATIVA DEL MES</f>
        <v/>
      </c>
      <c r="C699" s="48" t="n"/>
      <c r="D699" s="48" t="n"/>
      <c r="E699" s="48" t="n"/>
    </row>
    <row r="700">
      <c r="B700" s="7" t="inlineStr">
        <is>
          <t>¿Qué escenario preocupa y por qué?</t>
        </is>
      </c>
      <c r="C700" s="61" t="n"/>
    </row>
    <row r="704" ht="24" customHeight="1">
      <c r="A704" s="31" t="inlineStr">
        <is>
          <t>SEMANA 15 · SESIÓN 1 · Mar 24-nov   ▸   Direccionamiento de CIF: primario, secundario y final   ▸   Refuerzo del sílabo</t>
        </is>
      </c>
    </row>
    <row r="705">
      <c r="A705" s="32" t="inlineStr">
        <is>
          <t>⬜ SEMANA 15, SESIÓN 1.</t>
        </is>
      </c>
    </row>
    <row r="707" ht="84" customHeight="1">
      <c r="D707" s="12" t="inlineStr">
        <is>
          <t>Al final del reparto, ningún sol puede quedarse en un departamento de servicio. Todo el CIF termina en los departamentos de producción y de ahí en los productos.</t>
        </is>
      </c>
    </row>
    <row r="709" ht="20" customHeight="1">
      <c r="A709" s="33" t="inlineStr">
        <is>
          <t>🍪 ANTOJITOS DE AREQUIPA · empresa de manufactura (alfajores)</t>
        </is>
      </c>
    </row>
    <row r="711">
      <c r="B711" s="34" t="inlineStr">
        <is>
          <t>📄 No va en el informe. Refuerzo del sílabo: así se reparten los CIF en una empresa con varios departamentos.</t>
        </is>
      </c>
    </row>
    <row r="712" ht="39" customHeight="1">
      <c r="A712" s="35" t="inlineStr">
        <is>
          <t>📘</t>
        </is>
      </c>
      <c r="B712" s="14" t="inlineStr">
        <is>
          <t>En ANTOJITOS DE AREQUIPA los CIF se reparten en tres pasos: PRIMARIO (de cada costo a cada departamento), SECUNDARIO (de los departamentos de servicio a los de producción) y FINAL (de los departamentos de producción a cada producto).</t>
        </is>
      </c>
    </row>
    <row r="714">
      <c r="B714" s="13" t="inlineStr">
        <is>
          <t>PASO 1 · Direccionamiento PRIMARIO (% de reparto dado por la empresa)</t>
        </is>
      </c>
    </row>
    <row r="715" ht="30" customHeight="1">
      <c r="B715" s="5" t="inlineStr">
        <is>
          <t>Costo indirecto</t>
        </is>
      </c>
      <c r="C715" s="5" t="inlineStr">
        <is>
          <t>Monto (S/)</t>
        </is>
      </c>
      <c r="D715" s="5" t="inlineStr">
        <is>
          <t>% Amasado y horneado</t>
        </is>
      </c>
      <c r="E715" s="5" t="inlineStr">
        <is>
          <t>% Relleno y empacado</t>
        </is>
      </c>
      <c r="F715" s="5" t="inlineStr">
        <is>
          <t>% Mantenimiento</t>
        </is>
      </c>
      <c r="G715" s="5" t="inlineStr">
        <is>
          <t>% Almacén</t>
        </is>
      </c>
      <c r="H715" s="5" t="inlineStr">
        <is>
          <t>S/ Amasado y horneado</t>
        </is>
      </c>
      <c r="I715" s="5" t="inlineStr">
        <is>
          <t>S/ Relleno y empacado</t>
        </is>
      </c>
      <c r="J715" s="5" t="inlineStr">
        <is>
          <t>S/ Mantenimiento</t>
        </is>
      </c>
      <c r="K715" s="5" t="inlineStr">
        <is>
          <t>S/ Almacén</t>
        </is>
      </c>
    </row>
    <row r="716">
      <c r="B716" s="7" t="inlineStr">
        <is>
          <t>Alquiler de la planta (por m²)</t>
        </is>
      </c>
      <c r="C716" s="39" t="n">
        <v>1800</v>
      </c>
      <c r="D716" s="66" t="n">
        <v>0.45</v>
      </c>
      <c r="E716" s="66" t="n">
        <v>0.3</v>
      </c>
      <c r="F716" s="66" t="n">
        <v>0.1</v>
      </c>
      <c r="G716" s="66" t="n">
        <v>0.15</v>
      </c>
      <c r="H716" s="40" t="n"/>
      <c r="I716" s="40" t="n"/>
      <c r="J716" s="40" t="n"/>
      <c r="K716" s="40" t="n"/>
      <c r="M716" s="41" t="inlineStr">
        <is>
          <t>💡 = monto × % → =$C716*D716</t>
        </is>
      </c>
    </row>
    <row r="717">
      <c r="B717" s="7" t="inlineStr">
        <is>
          <t>Luz, agua y gas (por kWh)</t>
        </is>
      </c>
      <c r="C717" s="39" t="n">
        <v>650</v>
      </c>
      <c r="D717" s="66" t="n">
        <v>0.55</v>
      </c>
      <c r="E717" s="66" t="n">
        <v>0.25</v>
      </c>
      <c r="F717" s="66" t="n">
        <v>0.12</v>
      </c>
      <c r="G717" s="66" t="n">
        <v>0.08</v>
      </c>
      <c r="H717" s="40" t="n"/>
      <c r="I717" s="40" t="n"/>
      <c r="J717" s="40" t="n"/>
      <c r="K717" s="40" t="n"/>
    </row>
    <row r="718">
      <c r="B718" s="7" t="inlineStr">
        <is>
          <t>Depreciación de equipos (por valor del equipo)</t>
        </is>
      </c>
      <c r="C718" s="39" t="n">
        <v>350</v>
      </c>
      <c r="D718" s="66" t="n">
        <v>0.6</v>
      </c>
      <c r="E718" s="66" t="n">
        <v>0.3</v>
      </c>
      <c r="F718" s="66" t="n">
        <v>0.05</v>
      </c>
      <c r="G718" s="66" t="n">
        <v>0.05</v>
      </c>
      <c r="H718" s="40" t="n"/>
      <c r="I718" s="40" t="n"/>
      <c r="J718" s="40" t="n"/>
      <c r="K718" s="40" t="n"/>
    </row>
    <row r="719">
      <c r="B719" s="7" t="inlineStr">
        <is>
          <t>Mano de obra indirecta y mantenimiento</t>
        </is>
      </c>
      <c r="C719" s="39" t="n">
        <v>2648.33</v>
      </c>
      <c r="D719" s="66" t="n">
        <v>0.3</v>
      </c>
      <c r="E719" s="66" t="n">
        <v>0.3</v>
      </c>
      <c r="F719" s="66" t="n">
        <v>0.25</v>
      </c>
      <c r="G719" s="66" t="n">
        <v>0.15</v>
      </c>
      <c r="H719" s="40" t="n"/>
      <c r="I719" s="40" t="n"/>
      <c r="J719" s="40" t="n"/>
      <c r="K719" s="40" t="n"/>
    </row>
    <row r="720">
      <c r="B720" s="6" t="inlineStr">
        <is>
          <t>TOTAL por departamento</t>
        </is>
      </c>
      <c r="H720" s="48" t="n"/>
      <c r="I720" s="48" t="n"/>
      <c r="J720" s="48" t="n"/>
      <c r="K720" s="48" t="n"/>
      <c r="N720" s="46" t="inlineStr">
        <is>
          <t>🎯 la suma de los 4 departamentos debe dar ≈ S/ 5,448.33</t>
        </is>
      </c>
    </row>
    <row r="722">
      <c r="B722" s="13" t="inlineStr">
        <is>
          <t>PASO 2 · Direccionamiento SECUNDARIO (los departamentos de servicio se reparten)</t>
        </is>
      </c>
    </row>
    <row r="723" ht="30" customHeight="1">
      <c r="B723" s="5" t="inlineStr">
        <is>
          <t>Departamento de servicio</t>
        </is>
      </c>
      <c r="C723" s="5" t="inlineStr">
        <is>
          <t>Base de reparto</t>
        </is>
      </c>
      <c r="D723" s="5" t="inlineStr">
        <is>
          <t>% Amasado y horneado</t>
        </is>
      </c>
      <c r="E723" s="5" t="inlineStr">
        <is>
          <t>% Relleno y empacado</t>
        </is>
      </c>
      <c r="F723" s="5" t="inlineStr">
        <is>
          <t>S/ Amasado y horneado</t>
        </is>
      </c>
      <c r="G723" s="5" t="inlineStr">
        <is>
          <t>S/ Relleno y empacado</t>
        </is>
      </c>
    </row>
    <row r="724">
      <c r="B724" s="7" t="inlineStr">
        <is>
          <t>Mantenimiento</t>
        </is>
      </c>
      <c r="C724" s="67" t="inlineStr">
        <is>
          <t>horas de mantenimiento</t>
        </is>
      </c>
      <c r="D724" s="66" t="n">
        <v>0.6</v>
      </c>
      <c r="E724" s="66" t="n">
        <v>0.4</v>
      </c>
      <c r="F724" s="40" t="n"/>
      <c r="G724" s="40" t="n"/>
    </row>
    <row r="725">
      <c r="B725" s="7" t="inlineStr">
        <is>
          <t>Almacén</t>
        </is>
      </c>
      <c r="C725" s="67" t="inlineStr">
        <is>
          <t>número de pedidos atendidos</t>
        </is>
      </c>
      <c r="D725" s="66" t="n">
        <v>0.45</v>
      </c>
      <c r="E725" s="66" t="n">
        <v>0.55</v>
      </c>
      <c r="F725" s="40" t="n"/>
      <c r="G725" s="40" t="n"/>
    </row>
    <row r="726">
      <c r="B726" s="6" t="inlineStr">
        <is>
          <t>➡️ CIF TOTAL de cada departamento de producción</t>
        </is>
      </c>
      <c r="F726" s="48" t="n"/>
      <c r="G726" s="48" t="n"/>
      <c r="M726" s="41" t="inlineStr">
        <is>
          <t>💡 = total primario del departamento + lo que recibe de los departamentos de servicio</t>
        </is>
      </c>
    </row>
    <row r="728">
      <c r="B728" s="13" t="inlineStr">
        <is>
          <t>PASO 3 · Direccionamiento FINAL (a cada producto, por minutos de MOD)</t>
        </is>
      </c>
    </row>
    <row r="729" ht="30" customHeight="1">
      <c r="B729" s="5" t="inlineStr">
        <is>
          <t>Producto</t>
        </is>
      </c>
      <c r="C729" s="5" t="inlineStr">
        <is>
          <t>Minutos de MOD del mes</t>
        </is>
      </c>
      <c r="D729" s="5" t="inlineStr">
        <is>
          <t>% de participación</t>
        </is>
      </c>
      <c r="E729" s="5" t="inlineStr">
        <is>
          <t>CIF asignado (S/)</t>
        </is>
      </c>
      <c r="F729" s="5" t="inlineStr">
        <is>
          <t>CIF por unidad (S/)</t>
        </is>
      </c>
    </row>
    <row r="730">
      <c r="B730" s="7" t="inlineStr">
        <is>
          <t>A: Caja de 12 alfajorcitos de manjar blanco</t>
        </is>
      </c>
      <c r="C730" s="52" t="n"/>
      <c r="D730" s="53" t="n"/>
      <c r="E730" s="40" t="n"/>
      <c r="F730" s="40" t="n"/>
    </row>
    <row r="731">
      <c r="B731" s="7" t="inlineStr">
        <is>
          <t>B: Caja de 6 alfajores bañados en chocolate</t>
        </is>
      </c>
      <c r="C731" s="52" t="n"/>
      <c r="D731" s="53" t="n"/>
      <c r="E731" s="40" t="n"/>
      <c r="F731" s="40" t="n"/>
      <c r="N731" s="46" t="inlineStr">
        <is>
          <t>🎯 compare con la Tabla 8 de la semana 9: el resultado debe parecerse</t>
        </is>
      </c>
    </row>
    <row r="734" ht="20" customHeight="1">
      <c r="A734" s="49" t="inlineStr">
        <is>
          <t>☕ CAFÉ Y VINO WINE BAR · empresa de servicio (wine bar y cafetería)</t>
        </is>
      </c>
    </row>
    <row r="736">
      <c r="B736" s="34" t="inlineStr">
        <is>
          <t>📄 No va en el informe. Refuerzo del sílabo: así se reparten los CIF en una empresa con varios departamentos.</t>
        </is>
      </c>
    </row>
    <row r="737" ht="39" customHeight="1">
      <c r="A737" s="35" t="inlineStr">
        <is>
          <t>📘</t>
        </is>
      </c>
      <c r="B737" s="14" t="inlineStr">
        <is>
          <t>En CAFÉ Y VINO WINE BAR los CIF se reparten en tres pasos: PRIMARIO (de cada costo a cada departamento), SECUNDARIO (de los departamentos de servicio a los de producción) y FINAL (de los departamentos de producción a cada producto).</t>
        </is>
      </c>
    </row>
    <row r="739">
      <c r="B739" s="13" t="inlineStr">
        <is>
          <t>PASO 1 · Direccionamiento PRIMARIO (% de reparto dado por la empresa)</t>
        </is>
      </c>
    </row>
    <row r="740" ht="30" customHeight="1">
      <c r="B740" s="5" t="inlineStr">
        <is>
          <t>Costo indirecto</t>
        </is>
      </c>
      <c r="C740" s="5" t="inlineStr">
        <is>
          <t>Monto (S/)</t>
        </is>
      </c>
      <c r="D740" s="5" t="inlineStr">
        <is>
          <t>% Barra de café</t>
        </is>
      </c>
      <c r="E740" s="5" t="inlineStr">
        <is>
          <t>% Barra de coctelería</t>
        </is>
      </c>
      <c r="F740" s="5" t="inlineStr">
        <is>
          <t>% Limpieza y vajilla</t>
        </is>
      </c>
      <c r="G740" s="5" t="inlineStr">
        <is>
          <t>% Almacén y bodega</t>
        </is>
      </c>
      <c r="H740" s="5" t="inlineStr">
        <is>
          <t>S/ Barra de café</t>
        </is>
      </c>
      <c r="I740" s="5" t="inlineStr">
        <is>
          <t>S/ Barra de coctelería</t>
        </is>
      </c>
      <c r="J740" s="5" t="inlineStr">
        <is>
          <t>S/ Limpieza y vajilla</t>
        </is>
      </c>
      <c r="K740" s="5" t="inlineStr">
        <is>
          <t>S/ Almacén y bodega</t>
        </is>
      </c>
    </row>
    <row r="741">
      <c r="B741" s="7" t="inlineStr">
        <is>
          <t>Alquiler de la zona de barra (por m²)</t>
        </is>
      </c>
      <c r="C741" s="39" t="n">
        <v>1200</v>
      </c>
      <c r="D741" s="66" t="n">
        <v>0.4</v>
      </c>
      <c r="E741" s="66" t="n">
        <v>0.35</v>
      </c>
      <c r="F741" s="66" t="n">
        <v>0.15</v>
      </c>
      <c r="G741" s="66" t="n">
        <v>0.1</v>
      </c>
      <c r="H741" s="40" t="n"/>
      <c r="I741" s="40" t="n"/>
      <c r="J741" s="40" t="n"/>
      <c r="K741" s="40" t="n"/>
      <c r="M741" s="41" t="inlineStr">
        <is>
          <t>💡 = monto × % → =$C741*D741</t>
        </is>
      </c>
    </row>
    <row r="742">
      <c r="B742" s="7" t="inlineStr">
        <is>
          <t>Luz y agua de la barra (por kWh)</t>
        </is>
      </c>
      <c r="C742" s="39" t="n">
        <v>380</v>
      </c>
      <c r="D742" s="66" t="n">
        <v>0.5</v>
      </c>
      <c r="E742" s="66" t="n">
        <v>0.3</v>
      </c>
      <c r="F742" s="66" t="n">
        <v>0.15</v>
      </c>
      <c r="G742" s="66" t="n">
        <v>0.05</v>
      </c>
      <c r="H742" s="40" t="n"/>
      <c r="I742" s="40" t="n"/>
      <c r="J742" s="40" t="n"/>
      <c r="K742" s="40" t="n"/>
    </row>
    <row r="743">
      <c r="B743" s="7" t="inlineStr">
        <is>
          <t>Depreciación de equipos (por valor del equipo)</t>
        </is>
      </c>
      <c r="C743" s="39" t="n">
        <v>250</v>
      </c>
      <c r="D743" s="66" t="n">
        <v>0.65</v>
      </c>
      <c r="E743" s="66" t="n">
        <v>0.25</v>
      </c>
      <c r="F743" s="66" t="n">
        <v>0.05</v>
      </c>
      <c r="G743" s="66" t="n">
        <v>0.05</v>
      </c>
      <c r="H743" s="40" t="n"/>
      <c r="I743" s="40" t="n"/>
      <c r="J743" s="40" t="n"/>
      <c r="K743" s="40" t="n"/>
    </row>
    <row r="744">
      <c r="B744" s="7" t="inlineStr">
        <is>
          <t>Mano de obra indirecta y otros CIF</t>
        </is>
      </c>
      <c r="C744" s="39" t="n">
        <v>1488.51</v>
      </c>
      <c r="D744" s="66" t="n">
        <v>0.25</v>
      </c>
      <c r="E744" s="66" t="n">
        <v>0.25</v>
      </c>
      <c r="F744" s="66" t="n">
        <v>0.35</v>
      </c>
      <c r="G744" s="66" t="n">
        <v>0.15</v>
      </c>
      <c r="H744" s="40" t="n"/>
      <c r="I744" s="40" t="n"/>
      <c r="J744" s="40" t="n"/>
      <c r="K744" s="40" t="n"/>
    </row>
    <row r="745">
      <c r="B745" s="6" t="inlineStr">
        <is>
          <t>TOTAL por departamento</t>
        </is>
      </c>
      <c r="H745" s="48" t="n"/>
      <c r="I745" s="48" t="n"/>
      <c r="J745" s="48" t="n"/>
      <c r="K745" s="48" t="n"/>
      <c r="N745" s="46" t="inlineStr">
        <is>
          <t>🎯 la suma de los 4 departamentos debe dar ≈ S/ 3,318.51</t>
        </is>
      </c>
    </row>
    <row r="747">
      <c r="B747" s="13" t="inlineStr">
        <is>
          <t>PASO 2 · Direccionamiento SECUNDARIO (los departamentos de servicio se reparten)</t>
        </is>
      </c>
    </row>
    <row r="748" ht="30" customHeight="1">
      <c r="B748" s="5" t="inlineStr">
        <is>
          <t>Departamento de servicio</t>
        </is>
      </c>
      <c r="C748" s="5" t="inlineStr">
        <is>
          <t>Base de reparto</t>
        </is>
      </c>
      <c r="D748" s="5" t="inlineStr">
        <is>
          <t>% Barra de café</t>
        </is>
      </c>
      <c r="E748" s="5" t="inlineStr">
        <is>
          <t>% Barra de coctelería</t>
        </is>
      </c>
      <c r="F748" s="5" t="inlineStr">
        <is>
          <t>S/ Barra de café</t>
        </is>
      </c>
      <c r="G748" s="5" t="inlineStr">
        <is>
          <t>S/ Barra de coctelería</t>
        </is>
      </c>
    </row>
    <row r="749">
      <c r="B749" s="7" t="inlineStr">
        <is>
          <t>Limpieza y vajilla</t>
        </is>
      </c>
      <c r="C749" s="67" t="inlineStr">
        <is>
          <t>número de piezas lavadas</t>
        </is>
      </c>
      <c r="D749" s="66" t="n">
        <v>0.55</v>
      </c>
      <c r="E749" s="66" t="n">
        <v>0.45</v>
      </c>
      <c r="F749" s="40" t="n"/>
      <c r="G749" s="40" t="n"/>
    </row>
    <row r="750">
      <c r="B750" s="7" t="inlineStr">
        <is>
          <t>Almacén y bodega</t>
        </is>
      </c>
      <c r="C750" s="67" t="inlineStr">
        <is>
          <t>número de pedidos atendidos</t>
        </is>
      </c>
      <c r="D750" s="66" t="n">
        <v>0.4</v>
      </c>
      <c r="E750" s="66" t="n">
        <v>0.6</v>
      </c>
      <c r="F750" s="40" t="n"/>
      <c r="G750" s="40" t="n"/>
    </row>
    <row r="751">
      <c r="B751" s="6" t="inlineStr">
        <is>
          <t>➡️ CIF TOTAL de cada departamento de producción</t>
        </is>
      </c>
      <c r="F751" s="48" t="n"/>
      <c r="G751" s="48" t="n"/>
      <c r="M751" s="41" t="inlineStr">
        <is>
          <t>💡 = total primario del departamento + lo que recibe de los departamentos de servicio</t>
        </is>
      </c>
    </row>
    <row r="753">
      <c r="B753" s="13" t="inlineStr">
        <is>
          <t>PASO 3 · Direccionamiento FINAL (a cada producto, por minutos de MOD)</t>
        </is>
      </c>
    </row>
    <row r="754" ht="30" customHeight="1">
      <c r="B754" s="5" t="inlineStr">
        <is>
          <t>Producto</t>
        </is>
      </c>
      <c r="C754" s="5" t="inlineStr">
        <is>
          <t>Minutos de MOD del mes</t>
        </is>
      </c>
      <c r="D754" s="5" t="inlineStr">
        <is>
          <t>% de participación</t>
        </is>
      </c>
      <c r="E754" s="5" t="inlineStr">
        <is>
          <t>CIF asignado (S/)</t>
        </is>
      </c>
      <c r="F754" s="5" t="inlineStr">
        <is>
          <t>CIF por unidad (S/)</t>
        </is>
      </c>
    </row>
    <row r="755">
      <c r="B755" s="7" t="inlineStr">
        <is>
          <t>A: Capuccino (taza de 8 oz)</t>
        </is>
      </c>
      <c r="C755" s="52" t="n"/>
      <c r="D755" s="53" t="n"/>
      <c r="E755" s="40" t="n"/>
      <c r="F755" s="40" t="n"/>
    </row>
    <row r="756">
      <c r="B756" s="7" t="inlineStr">
        <is>
          <t>B: Piña colada (vaso de 12 oz)</t>
        </is>
      </c>
      <c r="C756" s="52" t="n"/>
      <c r="D756" s="53" t="n"/>
      <c r="E756" s="40" t="n"/>
      <c r="F756" s="40" t="n"/>
      <c r="N756" s="46" t="inlineStr">
        <is>
          <t>🎯 compare con la Tabla 8 de la semana 9: el resultado debe parecerse</t>
        </is>
      </c>
    </row>
    <row r="760" ht="24" customHeight="1">
      <c r="A760" s="31" t="inlineStr">
        <is>
          <t>SEMANA 15 · SESIÓN 2 · Jue 26-nov   ▸   Tasa predeterminada de CIF y sobre o subaplicación   ▸   Refuerzo del sílabo</t>
        </is>
      </c>
    </row>
    <row r="761">
      <c r="A761" s="32" t="inlineStr">
        <is>
          <t>⬜ SEMANA 15, SESIÓN 2.</t>
        </is>
      </c>
    </row>
    <row r="763" ht="84" customHeight="1">
      <c r="D763" s="12" t="inlineStr">
        <is>
          <t>La tasa predeterminada se calcula con los datos PRESUPUESTADOS, no con los reales. Se usa durante el año, cuando todavía no se conocen los reales.</t>
        </is>
      </c>
    </row>
    <row r="765" ht="20" customHeight="1">
      <c r="A765" s="33" t="inlineStr">
        <is>
          <t>🍪 ANTOJITOS DE AREQUIPA · empresa de manufactura (alfajores)</t>
        </is>
      </c>
    </row>
    <row r="767">
      <c r="B767" s="34" t="inlineStr">
        <is>
          <t>📄 No va en el informe. Refuerzo del sílabo.</t>
        </is>
      </c>
    </row>
    <row r="768" ht="39" customHeight="1">
      <c r="A768" s="35" t="inlineStr">
        <is>
          <t>📘</t>
        </is>
      </c>
      <c r="B768" s="14" t="inlineStr">
        <is>
          <t>ANTOJITOS DE AREQUIPA presupuestó para el año CIF por S/ 67,721 y 6,885 horas de mano de obra directa. Al cierre, los CIF reales fueron S/ 70,500 y se trabajaron 7,100 horas. Además entró el Pedido N.° 48: 1,500 cajas de 12 alfajorcitos para un hotel, que usó 187.5 horas de MOD.</t>
        </is>
      </c>
    </row>
    <row r="770" ht="30" customHeight="1">
      <c r="B770" s="5" t="inlineStr">
        <is>
          <t>Concepto</t>
        </is>
      </c>
      <c r="C770" s="5" t="inlineStr">
        <is>
          <t>Valor</t>
        </is>
      </c>
    </row>
    <row r="771">
      <c r="B771" s="7" t="inlineStr">
        <is>
          <t>CIF presupuestados del año (S/)</t>
        </is>
      </c>
      <c r="C771" s="39" t="n">
        <v>67721</v>
      </c>
    </row>
    <row r="772">
      <c r="B772" s="7" t="inlineStr">
        <is>
          <t>Horas de MOD presupuestadas</t>
        </is>
      </c>
      <c r="C772" s="51" t="n">
        <v>6885</v>
      </c>
    </row>
    <row r="773">
      <c r="B773" s="7" t="inlineStr">
        <is>
          <t>CIF reales del año (S/)</t>
        </is>
      </c>
      <c r="C773" s="39" t="n">
        <v>70500</v>
      </c>
    </row>
    <row r="774">
      <c r="B774" s="7" t="inlineStr">
        <is>
          <t>Horas de MOD reales</t>
        </is>
      </c>
      <c r="C774" s="51" t="n">
        <v>7100</v>
      </c>
    </row>
    <row r="775">
      <c r="B775" s="6" t="inlineStr">
        <is>
          <t>➡️ TASA PREDETERMINADA (S/ por hora de MOD)</t>
        </is>
      </c>
      <c r="C775" s="48" t="n"/>
      <c r="M775" s="41" t="inlineStr">
        <is>
          <t>💡 = CIF presupuestados ÷ horas presupuestadas</t>
        </is>
      </c>
      <c r="N775" s="46" t="inlineStr">
        <is>
          <t>🎯 ≈ S/ 9.8360 por hora</t>
        </is>
      </c>
    </row>
    <row r="776">
      <c r="B776" s="7" t="inlineStr">
        <is>
          <t>CIF aplicados (horas reales × tasa)</t>
        </is>
      </c>
      <c r="C776" s="40" t="n"/>
      <c r="N776" s="46" t="inlineStr">
        <is>
          <t>🎯 ≈ S/ 69,835.74</t>
        </is>
      </c>
    </row>
    <row r="777">
      <c r="B777" s="7" t="inlineStr">
        <is>
          <t>Diferencia (aplicados − reales)</t>
        </is>
      </c>
      <c r="C777" s="40" t="n"/>
      <c r="N777" s="46" t="inlineStr">
        <is>
          <t>🎯 ≈ S/ -664.26</t>
        </is>
      </c>
    </row>
    <row r="778">
      <c r="B778" s="6" t="inlineStr">
        <is>
          <t>Resultado: ¿sobreaplicación o subaplicación?</t>
        </is>
      </c>
      <c r="C778" s="64" t="n"/>
      <c r="N778" s="46" t="inlineStr">
        <is>
          <t>🎯 Subaplicación (se aplicó menos de lo real)</t>
        </is>
      </c>
    </row>
    <row r="780" ht="30" customHeight="1">
      <c r="B780" s="5" t="inlineStr">
        <is>
          <t>Pedido N.° 48: 1,500 cajas de 12 alfajorcitos para un hotel</t>
        </is>
      </c>
      <c r="C780" s="5" t="inlineStr">
        <is>
          <t>S/</t>
        </is>
      </c>
    </row>
    <row r="781">
      <c r="B781" s="7" t="inlineStr">
        <is>
          <t>Materia prima directa</t>
        </is>
      </c>
      <c r="C781" s="40" t="n"/>
      <c r="M781" s="41" t="inlineStr">
        <is>
          <t>💡 =$C$144*1500</t>
        </is>
      </c>
    </row>
    <row r="782">
      <c r="B782" s="7" t="inlineStr">
        <is>
          <t>Mano de obra directa</t>
        </is>
      </c>
      <c r="C782" s="40" t="n"/>
      <c r="M782" s="41" t="inlineStr">
        <is>
          <t>💡 =$F$33*1500</t>
        </is>
      </c>
    </row>
    <row r="783">
      <c r="B783" s="7" t="inlineStr">
        <is>
          <t>CIF aplicados (187.5 h × tasa)</t>
        </is>
      </c>
      <c r="C783" s="40" t="n"/>
      <c r="N783" s="46" t="inlineStr">
        <is>
          <t>🎯 ≈ S/ 1,844.25</t>
        </is>
      </c>
    </row>
    <row r="784">
      <c r="B784" s="6" t="inlineStr">
        <is>
          <t>➡️ COSTO TOTAL DE LA ORDEN</t>
        </is>
      </c>
      <c r="C784" s="48" t="n"/>
    </row>
    <row r="785">
      <c r="B785" s="7" t="inlineStr">
        <is>
          <t>Costo por unidad (1,500 unidades)</t>
        </is>
      </c>
      <c r="C785" s="44" t="n"/>
    </row>
    <row r="788" ht="20" customHeight="1">
      <c r="A788" s="49" t="inlineStr">
        <is>
          <t>☕ CAFÉ Y VINO WINE BAR · empresa de servicio (wine bar y cafetería)</t>
        </is>
      </c>
    </row>
    <row r="790">
      <c r="B790" s="34" t="inlineStr">
        <is>
          <t>📄 No va en el informe. Refuerzo del sílabo.</t>
        </is>
      </c>
    </row>
    <row r="791" ht="39" customHeight="1">
      <c r="A791" s="35" t="inlineStr">
        <is>
          <t>📘</t>
        </is>
      </c>
      <c r="B791" s="14" t="inlineStr">
        <is>
          <t>CAFÉ Y VINO WINE BAR presupuestó para el año CIF por S/ 46,961 y 1,080 horas de mano de obra directa. Al cierre, los CIF reales fueron S/ 48,000 y se trabajaron 1,120 horas. Además entró el Evento N.° 12: 200 capuccinos para una reunión corporativa, que usó 10.0 horas de MOD.</t>
        </is>
      </c>
    </row>
    <row r="793" ht="30" customHeight="1">
      <c r="B793" s="5" t="inlineStr">
        <is>
          <t>Concepto</t>
        </is>
      </c>
      <c r="C793" s="5" t="inlineStr">
        <is>
          <t>Valor</t>
        </is>
      </c>
    </row>
    <row r="794">
      <c r="B794" s="7" t="inlineStr">
        <is>
          <t>CIF presupuestados del año (S/)</t>
        </is>
      </c>
      <c r="C794" s="39" t="n">
        <v>46961</v>
      </c>
    </row>
    <row r="795">
      <c r="B795" s="7" t="inlineStr">
        <is>
          <t>Horas de MOD presupuestadas</t>
        </is>
      </c>
      <c r="C795" s="51" t="n">
        <v>1080</v>
      </c>
    </row>
    <row r="796">
      <c r="B796" s="7" t="inlineStr">
        <is>
          <t>CIF reales del año (S/)</t>
        </is>
      </c>
      <c r="C796" s="39" t="n">
        <v>48000</v>
      </c>
    </row>
    <row r="797">
      <c r="B797" s="7" t="inlineStr">
        <is>
          <t>Horas de MOD reales</t>
        </is>
      </c>
      <c r="C797" s="51" t="n">
        <v>1120</v>
      </c>
    </row>
    <row r="798">
      <c r="B798" s="6" t="inlineStr">
        <is>
          <t>➡️ TASA PREDETERMINADA (S/ por hora de MOD)</t>
        </is>
      </c>
      <c r="C798" s="48" t="n"/>
      <c r="M798" s="41" t="inlineStr">
        <is>
          <t>💡 = CIF presupuestados ÷ horas presupuestadas</t>
        </is>
      </c>
      <c r="N798" s="46" t="inlineStr">
        <is>
          <t>🎯 ≈ S/ 43.4824 por hora</t>
        </is>
      </c>
    </row>
    <row r="799">
      <c r="B799" s="7" t="inlineStr">
        <is>
          <t>CIF aplicados (horas reales × tasa)</t>
        </is>
      </c>
      <c r="C799" s="40" t="n"/>
      <c r="N799" s="46" t="inlineStr">
        <is>
          <t>🎯 ≈ S/ 48,700.30</t>
        </is>
      </c>
    </row>
    <row r="800">
      <c r="B800" s="7" t="inlineStr">
        <is>
          <t>Diferencia (aplicados − reales)</t>
        </is>
      </c>
      <c r="C800" s="40" t="n"/>
      <c r="N800" s="46" t="inlineStr">
        <is>
          <t>🎯 ≈ S/ 700.30</t>
        </is>
      </c>
    </row>
    <row r="801">
      <c r="B801" s="6" t="inlineStr">
        <is>
          <t>Resultado: ¿sobreaplicación o subaplicación?</t>
        </is>
      </c>
      <c r="C801" s="64" t="n"/>
      <c r="N801" s="46" t="inlineStr">
        <is>
          <t>🎯 Sobreaplicación (se aplicó más de lo real)</t>
        </is>
      </c>
    </row>
    <row r="803" ht="30" customHeight="1">
      <c r="B803" s="5" t="inlineStr">
        <is>
          <t>Evento N.° 12: 200 capuccinos para una reunión corporativa</t>
        </is>
      </c>
      <c r="C803" s="5" t="inlineStr">
        <is>
          <t>S/</t>
        </is>
      </c>
    </row>
    <row r="804">
      <c r="B804" s="7" t="inlineStr">
        <is>
          <t>Materia prima directa</t>
        </is>
      </c>
      <c r="C804" s="40" t="n"/>
      <c r="M804" s="41" t="inlineStr">
        <is>
          <t>💡 =$C$183*200</t>
        </is>
      </c>
    </row>
    <row r="805">
      <c r="B805" s="7" t="inlineStr">
        <is>
          <t>Mano de obra directa</t>
        </is>
      </c>
      <c r="C805" s="40" t="n"/>
      <c r="M805" s="41" t="inlineStr">
        <is>
          <t>💡 =$F$64*200</t>
        </is>
      </c>
    </row>
    <row r="806">
      <c r="B806" s="7" t="inlineStr">
        <is>
          <t>CIF aplicados (10.0 h × tasa)</t>
        </is>
      </c>
      <c r="C806" s="40" t="n"/>
      <c r="N806" s="46" t="inlineStr">
        <is>
          <t>🎯 ≈ S/ 434.82</t>
        </is>
      </c>
    </row>
    <row r="807">
      <c r="B807" s="6" t="inlineStr">
        <is>
          <t>➡️ COSTO TOTAL DE LA ORDEN</t>
        </is>
      </c>
      <c r="C807" s="48" t="n"/>
    </row>
    <row r="808">
      <c r="B808" s="7" t="inlineStr">
        <is>
          <t>Costo por unidad (200 unidades)</t>
        </is>
      </c>
      <c r="C808" s="44" t="n"/>
    </row>
    <row r="812" ht="24" customHeight="1">
      <c r="A812" s="31" t="inlineStr">
        <is>
          <t>SEMANA 16 · SESIÓN 1 · Mar 1-dic   ▸   Costo meta de la nueva línea   ▸   Refuerzo del sílabo</t>
        </is>
      </c>
    </row>
    <row r="813">
      <c r="A813" s="32" t="inlineStr">
        <is>
          <t>⬜ SEMANA 16, SESIÓN 1.</t>
        </is>
      </c>
    </row>
    <row r="815" ht="84" customHeight="1">
      <c r="D815" s="12" t="inlineStr">
        <is>
          <t>El costo meta va al revés de lo normal: parte del precio que el mercado acepta y de ahí baja al costo máximo permitido.</t>
        </is>
      </c>
    </row>
    <row r="817" ht="20" customHeight="1">
      <c r="A817" s="33" t="inlineStr">
        <is>
          <t>🍪 ANTOJITOS DE AREQUIPA · empresa de manufactura (alfajores)</t>
        </is>
      </c>
    </row>
    <row r="819">
      <c r="B819" s="34" t="inlineStr">
        <is>
          <t>📄 No va en el informe, pero sirve para justificar el precio de la nueva línea (punto 7.7).</t>
        </is>
      </c>
    </row>
    <row r="820" ht="39" customHeight="1">
      <c r="A820" s="35" t="inlineStr">
        <is>
          <t>📘</t>
        </is>
      </c>
      <c r="B820" s="14" t="inlineStr">
        <is>
          <t>La nueva línea de ANTOJITOS DE AREQUIPA («Box de alfajores personalizados para empresas») se vende en el mercado a S/ 70.00 CON IGV y la empresa quiere ganar 30% del precio sin IGV. Se pide el costo meta, la brecha frente al costo actual y si las mejoras propuestas alcanzan para llegar.</t>
        </is>
      </c>
    </row>
    <row r="822" ht="30" customHeight="1">
      <c r="B822" s="5" t="inlineStr">
        <is>
          <t>Concepto</t>
        </is>
      </c>
      <c r="C822" s="5" t="inlineStr">
        <is>
          <t>S/</t>
        </is>
      </c>
    </row>
    <row r="823">
      <c r="B823" s="7" t="inlineStr">
        <is>
          <t>Precio de mercado CON IGV</t>
        </is>
      </c>
      <c r="C823" s="39" t="n">
        <v>70</v>
      </c>
    </row>
    <row r="824">
      <c r="B824" s="7" t="inlineStr">
        <is>
          <t>Precio meta SIN IGV</t>
        </is>
      </c>
      <c r="C824" s="40" t="n"/>
      <c r="M824" s="41" t="inlineStr">
        <is>
          <t>💡 =70/1.18</t>
        </is>
      </c>
      <c r="N824" s="46" t="inlineStr">
        <is>
          <t>🎯 ≈ S/ 59.32</t>
        </is>
      </c>
    </row>
    <row r="825">
      <c r="B825" s="7" t="inlineStr">
        <is>
          <t>Utilidad deseada (30% del precio sin IGV)</t>
        </is>
      </c>
      <c r="C825" s="40" t="n"/>
      <c r="N825" s="46" t="inlineStr">
        <is>
          <t>🎯 ≈ S/ 17.80</t>
        </is>
      </c>
    </row>
    <row r="826">
      <c r="B826" s="6" t="inlineStr">
        <is>
          <t>➡️ COSTO META (lo máximo que puede costar)</t>
        </is>
      </c>
      <c r="C826" s="48" t="n"/>
      <c r="N826" s="46" t="inlineStr">
        <is>
          <t>🎯 ≈ S/ 41.53</t>
        </is>
      </c>
    </row>
    <row r="828" ht="30" customHeight="1">
      <c r="B828" s="5" t="inlineStr">
        <is>
          <t>Costo actual estimado</t>
        </is>
      </c>
      <c r="C828" s="5" t="inlineStr">
        <is>
          <t>S/</t>
        </is>
      </c>
    </row>
    <row r="829">
      <c r="B829" s="7" t="inlineStr">
        <is>
          <t>Costo variable del box (semana 13)</t>
        </is>
      </c>
      <c r="C829" s="39" t="n">
        <v>30</v>
      </c>
    </row>
    <row r="830">
      <c r="B830" s="7" t="inlineStr">
        <is>
          <t>Costo fijo asignado por box (S/ 841.67 ÷ 40 box)</t>
        </is>
      </c>
      <c r="C830" s="39" t="n">
        <v>21.04</v>
      </c>
    </row>
    <row r="831">
      <c r="B831" s="6" t="inlineStr">
        <is>
          <t>Costo actual total</t>
        </is>
      </c>
      <c r="C831" s="48" t="n"/>
      <c r="M831" s="41" t="inlineStr">
        <is>
          <t>💡 =SUM(C829:C830)</t>
        </is>
      </c>
      <c r="N831" s="46" t="inlineStr">
        <is>
          <t>🎯 ≈ S/ 51.04</t>
        </is>
      </c>
    </row>
    <row r="832">
      <c r="B832" s="6" t="inlineStr">
        <is>
          <t>BRECHA a reducir (costo actual − costo meta)</t>
        </is>
      </c>
      <c r="C832" s="48" t="n"/>
      <c r="N832" s="46" t="inlineStr">
        <is>
          <t>🎯 ≈ S/ 9.51</t>
        </is>
      </c>
    </row>
    <row r="834" ht="30" customHeight="1">
      <c r="B834" s="5" t="inlineStr">
        <is>
          <t>Mejora propuesta</t>
        </is>
      </c>
      <c r="C834" s="5" t="inlineStr">
        <is>
          <t>Ahorro por unidad (S/)</t>
        </is>
      </c>
    </row>
    <row r="835">
      <c r="B835" s="7" t="inlineStr">
        <is>
          <t>Cambiar la caja importada por una caja impresa local</t>
        </is>
      </c>
      <c r="C835" s="39" t="n">
        <v>4</v>
      </c>
    </row>
    <row r="836">
      <c r="B836" s="7" t="inlineStr">
        <is>
          <t>Comprar manjar y chocolate por volumen trimestral</t>
        </is>
      </c>
      <c r="C836" s="39" t="n">
        <v>3.5</v>
      </c>
    </row>
    <row r="837">
      <c r="B837" s="7" t="inlineStr">
        <is>
          <t>Ordenar el armado del box (menos minutos de MOD)</t>
        </is>
      </c>
      <c r="C837" s="39" t="n">
        <v>2.5</v>
      </c>
    </row>
    <row r="838">
      <c r="B838" s="6" t="inlineStr">
        <is>
          <t>Ahorro total</t>
        </is>
      </c>
      <c r="C838" s="48" t="n"/>
      <c r="M838" s="41" t="inlineStr">
        <is>
          <t>💡 =SUM(C835:C837)</t>
        </is>
      </c>
      <c r="N838" s="46" t="inlineStr">
        <is>
          <t>🎯 ≈ S/ 10.00</t>
        </is>
      </c>
    </row>
    <row r="839">
      <c r="B839" s="6" t="inlineStr">
        <is>
          <t>Nuevo costo por unidad</t>
        </is>
      </c>
      <c r="C839" s="48" t="n"/>
      <c r="N839" s="46" t="inlineStr">
        <is>
          <t>🎯 ≈ S/ 41.04</t>
        </is>
      </c>
    </row>
    <row r="840">
      <c r="B840" s="6" t="inlineStr">
        <is>
          <t>¿Se alcanza el costo meta? (sí / no)</t>
        </is>
      </c>
      <c r="C840" s="64" t="n"/>
      <c r="N840" s="46" t="inlineStr">
        <is>
          <t>🎯 Sí ✅</t>
        </is>
      </c>
    </row>
    <row r="843" ht="20" customHeight="1">
      <c r="A843" s="49" t="inlineStr">
        <is>
          <t>☕ CAFÉ Y VINO WINE BAR · empresa de servicio (wine bar y cafetería)</t>
        </is>
      </c>
    </row>
    <row r="845">
      <c r="B845" s="34" t="inlineStr">
        <is>
          <t>📄 No va en el informe, pero sirve para justificar el precio de la nueva línea (punto 7.7).</t>
        </is>
      </c>
    </row>
    <row r="846" ht="39" customHeight="1">
      <c r="A846" s="35" t="inlineStr">
        <is>
          <t>📘</t>
        </is>
      </c>
      <c r="B846" s="14" t="inlineStr">
        <is>
          <t>La nueva línea de CAFÉ Y VINO WINE BAR («Taller de cata de vinos y coctelería para principiantes») se vende en el mercado a S/ 80.00 CON IGV y la empresa quiere ganar 30% del precio sin IGV. Se pide el costo meta, la brecha frente al costo actual y si las mejoras propuestas alcanzan para llegar.</t>
        </is>
      </c>
    </row>
    <row r="848" ht="30" customHeight="1">
      <c r="B848" s="5" t="inlineStr">
        <is>
          <t>Concepto</t>
        </is>
      </c>
      <c r="C848" s="5" t="inlineStr">
        <is>
          <t>S/</t>
        </is>
      </c>
    </row>
    <row r="849">
      <c r="B849" s="7" t="inlineStr">
        <is>
          <t>Precio de mercado CON IGV</t>
        </is>
      </c>
      <c r="C849" s="39" t="n">
        <v>80</v>
      </c>
    </row>
    <row r="850">
      <c r="B850" s="7" t="inlineStr">
        <is>
          <t>Precio meta SIN IGV</t>
        </is>
      </c>
      <c r="C850" s="40" t="n"/>
      <c r="M850" s="41" t="inlineStr">
        <is>
          <t>💡 =80/1.18</t>
        </is>
      </c>
      <c r="N850" s="46" t="inlineStr">
        <is>
          <t>🎯 ≈ S/ 67.80</t>
        </is>
      </c>
    </row>
    <row r="851">
      <c r="B851" s="7" t="inlineStr">
        <is>
          <t>Utilidad deseada (30% del precio sin IGV)</t>
        </is>
      </c>
      <c r="C851" s="40" t="n"/>
      <c r="N851" s="46" t="inlineStr">
        <is>
          <t>🎯 ≈ S/ 20.34</t>
        </is>
      </c>
    </row>
    <row r="852">
      <c r="B852" s="6" t="inlineStr">
        <is>
          <t>➡️ COSTO META (lo máximo que puede costar)</t>
        </is>
      </c>
      <c r="C852" s="48" t="n"/>
      <c r="N852" s="46" t="inlineStr">
        <is>
          <t>🎯 ≈ S/ 47.46</t>
        </is>
      </c>
    </row>
    <row r="854" ht="30" customHeight="1">
      <c r="B854" s="5" t="inlineStr">
        <is>
          <t>Costo actual estimado</t>
        </is>
      </c>
      <c r="C854" s="5" t="inlineStr">
        <is>
          <t>S/</t>
        </is>
      </c>
    </row>
    <row r="855">
      <c r="B855" s="7" t="inlineStr">
        <is>
          <t>Costo variable por participante (semana 13)</t>
        </is>
      </c>
      <c r="C855" s="39" t="n">
        <v>25</v>
      </c>
    </row>
    <row r="856">
      <c r="B856" s="7" t="inlineStr">
        <is>
          <t>Costo fijo asignado por participante (S/ 830 ÷ 20)</t>
        </is>
      </c>
      <c r="C856" s="39" t="n">
        <v>41.5</v>
      </c>
    </row>
    <row r="857">
      <c r="B857" s="6" t="inlineStr">
        <is>
          <t>Costo actual total</t>
        </is>
      </c>
      <c r="C857" s="48" t="n"/>
      <c r="M857" s="41" t="inlineStr">
        <is>
          <t>💡 =SUM(C855:C856)</t>
        </is>
      </c>
      <c r="N857" s="46" t="inlineStr">
        <is>
          <t>🎯 ≈ S/ 66.50</t>
        </is>
      </c>
    </row>
    <row r="858">
      <c r="B858" s="6" t="inlineStr">
        <is>
          <t>BRECHA a reducir (costo actual − costo meta)</t>
        </is>
      </c>
      <c r="C858" s="48" t="n"/>
      <c r="N858" s="46" t="inlineStr">
        <is>
          <t>🎯 ≈ S/ 19.04</t>
        </is>
      </c>
    </row>
    <row r="860" ht="30" customHeight="1">
      <c r="B860" s="5" t="inlineStr">
        <is>
          <t>Mejora propuesta</t>
        </is>
      </c>
      <c r="C860" s="5" t="inlineStr">
        <is>
          <t>Ahorro por unidad (S/)</t>
        </is>
      </c>
    </row>
    <row r="861">
      <c r="B861" s="7" t="inlineStr">
        <is>
          <t>Comprar los vinos por caja cerrada</t>
        </is>
      </c>
      <c r="C861" s="39" t="n">
        <v>3</v>
      </c>
    </row>
    <row r="862">
      <c r="B862" s="7" t="inlineStr">
        <is>
          <t>Abrir el grupo a 25 participantes (el costo fijo se reparte entre más)</t>
        </is>
      </c>
      <c r="C862" s="39" t="n">
        <v>8.300000000000001</v>
      </c>
    </row>
    <row r="863">
      <c r="B863" s="7" t="inlineStr">
        <is>
          <t>Entregar el material en digital en lugar de impreso</t>
        </is>
      </c>
      <c r="C863" s="39" t="n">
        <v>2.5</v>
      </c>
    </row>
    <row r="864">
      <c r="B864" s="6" t="inlineStr">
        <is>
          <t>Ahorro total</t>
        </is>
      </c>
      <c r="C864" s="48" t="n"/>
      <c r="M864" s="41" t="inlineStr">
        <is>
          <t>💡 =SUM(C861:C863)</t>
        </is>
      </c>
      <c r="N864" s="46" t="inlineStr">
        <is>
          <t>🎯 ≈ S/ 13.80</t>
        </is>
      </c>
    </row>
    <row r="865">
      <c r="B865" s="6" t="inlineStr">
        <is>
          <t>Nuevo costo por unidad</t>
        </is>
      </c>
      <c r="C865" s="48" t="n"/>
      <c r="N865" s="46" t="inlineStr">
        <is>
          <t>🎯 ≈ S/ 52.70</t>
        </is>
      </c>
    </row>
    <row r="866">
      <c r="B866" s="6" t="inlineStr">
        <is>
          <t>¿Se alcanza el costo meta? (sí / no)</t>
        </is>
      </c>
      <c r="C866" s="64" t="n"/>
      <c r="N866" s="46" t="inlineStr">
        <is>
          <t>🎯 No ⚠️ · falta reducir más, o hay que revisar el precio</t>
        </is>
      </c>
    </row>
    <row r="870" ht="24" customHeight="1">
      <c r="A870" s="31" t="inlineStr">
        <is>
          <t>SEMANA 16 · SESIÓN 2 · Jue 3-dic   ▸   Decisiones de corto plazo: pedido especial y hacer o comprar   ▸   Refuerzo del sílabo</t>
        </is>
      </c>
    </row>
    <row r="871">
      <c r="A871" s="32" t="inlineStr">
        <is>
          <t>⬜ SEMANA 16, SESIÓN 2.</t>
        </is>
      </c>
    </row>
    <row r="873" ht="84" customHeight="1">
      <c r="D873" s="12" t="inlineStr">
        <is>
          <t>Para decidir un pedido especial no sirve el costo unitario total. Solo importan los costos que CAMBIAN con la decisión.</t>
        </is>
      </c>
    </row>
    <row r="875" ht="20" customHeight="1">
      <c r="A875" s="33" t="inlineStr">
        <is>
          <t>🍪 ANTOJITOS DE AREQUIPA · empresa de manufactura (alfajores)</t>
        </is>
      </c>
    </row>
    <row r="877">
      <c r="B877" s="34" t="inlineStr">
        <is>
          <t>📄 No va en el informe. Refuerzo del sílabo: decisiones de corto plazo.</t>
        </is>
      </c>
    </row>
    <row r="878">
      <c r="B878" s="13" t="inlineStr">
        <is>
          <t>PARTE 1 · Pedido especial</t>
        </is>
      </c>
    </row>
    <row r="879" ht="39" customHeight="1">
      <c r="A879" s="35" t="inlineStr">
        <is>
          <t>📘</t>
        </is>
      </c>
      <c r="B879" s="14" t="inlineStr">
        <is>
          <t>Un hotel pide 1,500 cajas de 12 alfajorcitos a S/ 16.00 por caja (sin IGV). El precio normal sin IGV es S/ 21.19. Hay capacidad ociosa y los costos fijos no cambian. La caja lleva el logo del hotel: S/ 0.50 más por caja.</t>
        </is>
      </c>
    </row>
    <row r="881" ht="30" customHeight="1">
      <c r="B881" s="5" t="inlineStr">
        <is>
          <t>Pedido especial</t>
        </is>
      </c>
      <c r="C881" s="5" t="inlineStr">
        <is>
          <t>S/</t>
        </is>
      </c>
    </row>
    <row r="882">
      <c r="B882" s="7" t="inlineStr">
        <is>
          <t>Precio ofrecido por unidad</t>
        </is>
      </c>
      <c r="C882" s="39" t="n">
        <v>16</v>
      </c>
    </row>
    <row r="883">
      <c r="B883" s="7" t="inlineStr">
        <is>
          <t>Costo variable unitario normal (semana 10)</t>
        </is>
      </c>
      <c r="C883" s="57">
        <f>$C$231</f>
        <v/>
      </c>
    </row>
    <row r="884">
      <c r="B884" s="7" t="inlineStr">
        <is>
          <t>Costo adicional del pedido (personalización)</t>
        </is>
      </c>
      <c r="C884" s="39" t="n">
        <v>0.5</v>
      </c>
    </row>
    <row r="885">
      <c r="B885" s="6" t="inlineStr">
        <is>
          <t>Costo variable del pedido por unidad</t>
        </is>
      </c>
      <c r="C885" s="48" t="n"/>
      <c r="N885" s="46" t="inlineStr">
        <is>
          <t>🎯 ≈ S/ 8.6756</t>
        </is>
      </c>
    </row>
    <row r="886">
      <c r="B886" s="6" t="inlineStr">
        <is>
          <t>➡️ Margen de contribución por unidad</t>
        </is>
      </c>
      <c r="C886" s="48" t="n"/>
      <c r="N886" s="46" t="inlineStr">
        <is>
          <t>🎯 ≈ S/ 7.3244</t>
        </is>
      </c>
    </row>
    <row r="887">
      <c r="B887" s="6" t="inlineStr">
        <is>
          <t>Ganancia adicional del pedido (1,500 unidades)</t>
        </is>
      </c>
      <c r="C887" s="48" t="n"/>
      <c r="N887" s="46" t="inlineStr">
        <is>
          <t>🎯 ≈ S/ 10,986.60</t>
        </is>
      </c>
    </row>
    <row r="888">
      <c r="B888" s="6" t="inlineStr">
        <is>
          <t>Decisión: ¿acepta o rechaza? ¿Por qué?</t>
        </is>
      </c>
      <c r="C888" s="64" t="n"/>
      <c r="N888" s="46" t="inlineStr">
        <is>
          <t>🎯 Aceptar: el margen es positivo y los costos fijos no cambian</t>
        </is>
      </c>
    </row>
    <row r="889">
      <c r="B889" s="50" t="inlineStr">
        <is>
          <t>⚠️ OJO: el costo unitario TOTAL no sirve para decidir un pedido especial. Solo importan los costos que cambian (los variables), porque los fijos se pagan igual.</t>
        </is>
      </c>
    </row>
    <row r="891">
      <c r="B891" s="13" t="inlineStr">
        <is>
          <t>PARTE 2 · Hacer o comprar</t>
        </is>
      </c>
    </row>
    <row r="892" ht="39" customHeight="1">
      <c r="A892" s="35" t="inlineStr">
        <is>
          <t>📘</t>
        </is>
      </c>
      <c r="B892" s="14" t="inlineStr">
        <is>
          <t>Antojitos usa 40,000 cajas impresas al año. La imprenta las vende a S/ 1.00 cada una (sin IGV). Si las hace en su taller: material S/ 0.45, MOD adicional S/ 0.25, CIF variable S/ 0.10 y CIF fijo asignado S/ 0.30 (este último se paga igual, las haga o no).</t>
        </is>
      </c>
    </row>
    <row r="894" ht="30" customHeight="1">
      <c r="B894" s="5" t="inlineStr">
        <is>
          <t>Hacer o comprar (por caja impresa)</t>
        </is>
      </c>
      <c r="C894" s="5" t="inlineStr">
        <is>
          <t>S/</t>
        </is>
      </c>
      <c r="D894" s="5" t="inlineStr">
        <is>
          <t>¿Es relevante?</t>
        </is>
      </c>
    </row>
    <row r="895">
      <c r="B895" s="7" t="inlineStr">
        <is>
          <t>Material</t>
        </is>
      </c>
      <c r="C895" s="39" t="n">
        <v>0.45</v>
      </c>
      <c r="D895" s="28" t="inlineStr">
        <is>
          <t>Sí</t>
        </is>
      </c>
    </row>
    <row r="896">
      <c r="B896" s="7" t="inlineStr">
        <is>
          <t>Mano de obra directa adicional</t>
        </is>
      </c>
      <c r="C896" s="39" t="n">
        <v>0.25</v>
      </c>
      <c r="D896" s="28" t="inlineStr">
        <is>
          <t>Sí</t>
        </is>
      </c>
    </row>
    <row r="897">
      <c r="B897" s="7" t="inlineStr">
        <is>
          <t>CIF variable</t>
        </is>
      </c>
      <c r="C897" s="39" t="n">
        <v>0.1</v>
      </c>
      <c r="D897" s="28" t="inlineStr">
        <is>
          <t>Sí</t>
        </is>
      </c>
    </row>
    <row r="898">
      <c r="B898" s="7" t="inlineStr">
        <is>
          <t>CIF fijo asignado (se paga igual)</t>
        </is>
      </c>
      <c r="C898" s="39" t="n">
        <v>0.3</v>
      </c>
      <c r="D898" s="28" t="inlineStr">
        <is>
          <t>No</t>
        </is>
      </c>
    </row>
    <row r="899">
      <c r="B899" s="6" t="inlineStr">
        <is>
          <t>Costo RELEVANTE de hacer (sin el CIF fijo)</t>
        </is>
      </c>
      <c r="C899" s="48" t="n"/>
      <c r="N899" s="46" t="inlineStr">
        <is>
          <t>🎯 ≈ S/ 0.80</t>
        </is>
      </c>
    </row>
    <row r="900">
      <c r="B900" s="7" t="inlineStr">
        <is>
          <t>Costo de comprar</t>
        </is>
      </c>
      <c r="C900" s="56" t="n">
        <v>1</v>
      </c>
    </row>
    <row r="901">
      <c r="B901" s="6" t="inlineStr">
        <is>
          <t>Ahorro anual si se hace (40,000 unidades)</t>
        </is>
      </c>
      <c r="C901" s="48" t="n"/>
      <c r="N901" s="46" t="inlineStr">
        <is>
          <t>🎯 ≈ S/ 8,000.00</t>
        </is>
      </c>
    </row>
    <row r="902">
      <c r="B902" s="6" t="inlineStr">
        <is>
          <t>Decisión: ¿hacer o comprar?</t>
        </is>
      </c>
      <c r="C902" s="64" t="n"/>
      <c r="N902" s="46" t="inlineStr">
        <is>
          <t>🎯 Hacer</t>
        </is>
      </c>
    </row>
    <row r="905" ht="20" customHeight="1">
      <c r="A905" s="49" t="inlineStr">
        <is>
          <t>☕ CAFÉ Y VINO WINE BAR · empresa de servicio (wine bar y cafetería)</t>
        </is>
      </c>
    </row>
    <row r="907">
      <c r="B907" s="34" t="inlineStr">
        <is>
          <t>📄 No va en el informe. Refuerzo del sílabo: decisiones de corto plazo.</t>
        </is>
      </c>
    </row>
    <row r="908">
      <c r="B908" s="13" t="inlineStr">
        <is>
          <t>PARTE 1 · Pedido especial</t>
        </is>
      </c>
    </row>
    <row r="909" ht="39" customHeight="1">
      <c r="A909" s="35" t="inlineStr">
        <is>
          <t>📘</t>
        </is>
      </c>
      <c r="B909" s="14" t="inlineStr">
        <is>
          <t>Una empresa pide 300 capuccinos para un evento a S/ 6.50 por bebida (sin IGV). El precio normal sin IGV es S/ 9.32. Hay capacidad ociosa en la mañana y los costos fijos no cambian. Se sirve en vaso descartable con logo: S/ 0.40 más por bebida.</t>
        </is>
      </c>
    </row>
    <row r="911" ht="30" customHeight="1">
      <c r="B911" s="5" t="inlineStr">
        <is>
          <t>Pedido especial</t>
        </is>
      </c>
      <c r="C911" s="5" t="inlineStr">
        <is>
          <t>S/</t>
        </is>
      </c>
    </row>
    <row r="912">
      <c r="B912" s="7" t="inlineStr">
        <is>
          <t>Precio ofrecido por unidad</t>
        </is>
      </c>
      <c r="C912" s="39" t="n">
        <v>6.5</v>
      </c>
    </row>
    <row r="913">
      <c r="B913" s="7" t="inlineStr">
        <is>
          <t>Costo variable unitario normal (semana 10)</t>
        </is>
      </c>
      <c r="C913" s="57">
        <f>$C$249</f>
        <v/>
      </c>
    </row>
    <row r="914">
      <c r="B914" s="7" t="inlineStr">
        <is>
          <t>Costo adicional del pedido (personalización)</t>
        </is>
      </c>
      <c r="C914" s="39" t="n">
        <v>0.4</v>
      </c>
    </row>
    <row r="915">
      <c r="B915" s="6" t="inlineStr">
        <is>
          <t>Costo variable del pedido por unidad</t>
        </is>
      </c>
      <c r="C915" s="48" t="n"/>
      <c r="N915" s="46" t="inlineStr">
        <is>
          <t>🎯 ≈ S/ 2.8637</t>
        </is>
      </c>
    </row>
    <row r="916">
      <c r="B916" s="6" t="inlineStr">
        <is>
          <t>➡️ Margen de contribución por unidad</t>
        </is>
      </c>
      <c r="C916" s="48" t="n"/>
      <c r="N916" s="46" t="inlineStr">
        <is>
          <t>🎯 ≈ S/ 3.6363</t>
        </is>
      </c>
    </row>
    <row r="917">
      <c r="B917" s="6" t="inlineStr">
        <is>
          <t>Ganancia adicional del pedido (300 unidades)</t>
        </is>
      </c>
      <c r="C917" s="48" t="n"/>
      <c r="N917" s="46" t="inlineStr">
        <is>
          <t>🎯 ≈ S/ 1,090.89</t>
        </is>
      </c>
    </row>
    <row r="918">
      <c r="B918" s="6" t="inlineStr">
        <is>
          <t>Decisión: ¿acepta o rechaza? ¿Por qué?</t>
        </is>
      </c>
      <c r="C918" s="64" t="n"/>
      <c r="N918" s="46" t="inlineStr">
        <is>
          <t>🎯 Aceptar: el margen es positivo y los costos fijos no cambian</t>
        </is>
      </c>
    </row>
    <row r="919">
      <c r="B919" s="50" t="inlineStr">
        <is>
          <t>⚠️ OJO: el costo unitario TOTAL no sirve para decidir un pedido especial. Solo importan los costos que cambian (los variables), porque los fijos se pagan igual.</t>
        </is>
      </c>
    </row>
    <row r="921">
      <c r="B921" s="13" t="inlineStr">
        <is>
          <t>PARTE 2 · Hacer o comprar</t>
        </is>
      </c>
    </row>
    <row r="922" ht="39" customHeight="1">
      <c r="A922" s="35" t="inlineStr">
        <is>
          <t>📘</t>
        </is>
      </c>
      <c r="B922" s="14" t="inlineStr">
        <is>
          <t>Café y Vino usa 6,000 kg de hielo al año y hoy lo compra a S/ 1.19 por kg (sin IGV). Ya tiene una máquina de hielo parada en el almacén. Si lo produce: agua y luz S/ 0.35, MOD adicional S/ 0.30, CIF variable S/ 0.10 y CIF fijo asignado S/ 0.45 (depreciación de la máquina, que se paga igual).</t>
        </is>
      </c>
    </row>
    <row r="924" ht="30" customHeight="1">
      <c r="B924" s="5" t="inlineStr">
        <is>
          <t>Hacer o comprar (por kg de hielo)</t>
        </is>
      </c>
      <c r="C924" s="5" t="inlineStr">
        <is>
          <t>S/</t>
        </is>
      </c>
      <c r="D924" s="5" t="inlineStr">
        <is>
          <t>¿Es relevante?</t>
        </is>
      </c>
    </row>
    <row r="925">
      <c r="B925" s="7" t="inlineStr">
        <is>
          <t>Agua y luz</t>
        </is>
      </c>
      <c r="C925" s="39" t="n">
        <v>0.35</v>
      </c>
      <c r="D925" s="28" t="inlineStr">
        <is>
          <t>Sí</t>
        </is>
      </c>
    </row>
    <row r="926">
      <c r="B926" s="7" t="inlineStr">
        <is>
          <t>Mano de obra directa adicional</t>
        </is>
      </c>
      <c r="C926" s="39" t="n">
        <v>0.3</v>
      </c>
      <c r="D926" s="28" t="inlineStr">
        <is>
          <t>Sí</t>
        </is>
      </c>
    </row>
    <row r="927">
      <c r="B927" s="7" t="inlineStr">
        <is>
          <t>CIF variable</t>
        </is>
      </c>
      <c r="C927" s="39" t="n">
        <v>0.1</v>
      </c>
      <c r="D927" s="28" t="inlineStr">
        <is>
          <t>Sí</t>
        </is>
      </c>
    </row>
    <row r="928">
      <c r="B928" s="7" t="inlineStr">
        <is>
          <t>CIF fijo asignado (se paga igual)</t>
        </is>
      </c>
      <c r="C928" s="39" t="n">
        <v>0.45</v>
      </c>
      <c r="D928" s="28" t="inlineStr">
        <is>
          <t>No</t>
        </is>
      </c>
    </row>
    <row r="929">
      <c r="B929" s="6" t="inlineStr">
        <is>
          <t>Costo RELEVANTE de hacer (sin el CIF fijo)</t>
        </is>
      </c>
      <c r="C929" s="48" t="n"/>
      <c r="N929" s="46" t="inlineStr">
        <is>
          <t>🎯 ≈ S/ 0.75</t>
        </is>
      </c>
    </row>
    <row r="930">
      <c r="B930" s="7" t="inlineStr">
        <is>
          <t>Costo de comprar</t>
        </is>
      </c>
      <c r="C930" s="56" t="n">
        <v>1.1864</v>
      </c>
    </row>
    <row r="931">
      <c r="B931" s="6" t="inlineStr">
        <is>
          <t>Ahorro anual si se hace (6,000 unidades)</t>
        </is>
      </c>
      <c r="C931" s="48" t="n"/>
      <c r="N931" s="46" t="inlineStr">
        <is>
          <t>🎯 ≈ S/ 2,618.40</t>
        </is>
      </c>
    </row>
    <row r="932">
      <c r="B932" s="6" t="inlineStr">
        <is>
          <t>Decisión: ¿hacer o comprar?</t>
        </is>
      </c>
      <c r="C932" s="64" t="n"/>
      <c r="N932" s="46" t="inlineStr">
        <is>
          <t>🎯 Hacer</t>
        </is>
      </c>
    </row>
  </sheetData>
  <mergeCells count="64">
    <mergeCell ref="A176:K176"/>
    <mergeCell ref="A258:K258"/>
    <mergeCell ref="A534:K534"/>
    <mergeCell ref="A490:K490"/>
    <mergeCell ref="D9:J9"/>
    <mergeCell ref="D873:J873"/>
    <mergeCell ref="A615:K615"/>
    <mergeCell ref="A11:K11"/>
    <mergeCell ref="A340:K340"/>
    <mergeCell ref="A216:K216"/>
    <mergeCell ref="A462:K462"/>
    <mergeCell ref="A760:K760"/>
    <mergeCell ref="A132:K132"/>
    <mergeCell ref="A430:K430"/>
    <mergeCell ref="A905:K905"/>
    <mergeCell ref="A6:K6"/>
    <mergeCell ref="A435:K435"/>
    <mergeCell ref="A399:K399"/>
    <mergeCell ref="D343:J343"/>
    <mergeCell ref="A812:K812"/>
    <mergeCell ref="A870:K870"/>
    <mergeCell ref="A677:K677"/>
    <mergeCell ref="D79:J79"/>
    <mergeCell ref="D815:J815"/>
    <mergeCell ref="D433:J433"/>
    <mergeCell ref="A345:K345"/>
    <mergeCell ref="A137:K137"/>
    <mergeCell ref="A221:K221"/>
    <mergeCell ref="D613:J613"/>
    <mergeCell ref="A817:K817"/>
    <mergeCell ref="A369:K369"/>
    <mergeCell ref="D261:J261"/>
    <mergeCell ref="A610:K610"/>
    <mergeCell ref="A394:K394"/>
    <mergeCell ref="D397:J397"/>
    <mergeCell ref="D649:J649"/>
    <mergeCell ref="A301:K301"/>
    <mergeCell ref="A875:K875"/>
    <mergeCell ref="A239:K239"/>
    <mergeCell ref="A630:K630"/>
    <mergeCell ref="A788:K788"/>
    <mergeCell ref="A704:K704"/>
    <mergeCell ref="A76:K76"/>
    <mergeCell ref="D219:J219"/>
    <mergeCell ref="D577:J577"/>
    <mergeCell ref="A651:K651"/>
    <mergeCell ref="D493:J493"/>
    <mergeCell ref="A263:K263"/>
    <mergeCell ref="A414:K414"/>
    <mergeCell ref="A574:K574"/>
    <mergeCell ref="A106:K106"/>
    <mergeCell ref="A734:K734"/>
    <mergeCell ref="D707:J707"/>
    <mergeCell ref="A495:K495"/>
    <mergeCell ref="A579:K579"/>
    <mergeCell ref="D763:J763"/>
    <mergeCell ref="A843:K843"/>
    <mergeCell ref="D135:J135"/>
    <mergeCell ref="A709:K709"/>
    <mergeCell ref="A81:K81"/>
    <mergeCell ref="A594:K594"/>
    <mergeCell ref="A765:K765"/>
    <mergeCell ref="A44:K44"/>
    <mergeCell ref="A646:K646"/>
  </mergeCells>
  <dataValidations count="3">
    <dataValidation sqref="D21:D26 D54:D58" showDropDown="0" showInputMessage="0" showErrorMessage="0" allowBlank="1" type="list">
      <formula1>"MOD,MOI (va a CIF),Gasto de ventas,Gasto administrativo"</formula1>
    </dataValidation>
    <dataValidation sqref="D88:D93 D113:D118" showDropDown="0" showInputMessage="0" showErrorMessage="0" allowBlank="1" type="list">
      <formula1>"Fijo,Variable"</formula1>
    </dataValidation>
    <dataValidation sqref="D151:D158 D190:D197" showDropDown="0" showInputMessage="0" showErrorMessage="0" allowBlank="1" type="list">
      <formula1>"Gasto administrativo,Gasto de ventas"</formula1>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8E8E94"/>
    <outlinePr summaryBelow="1" summaryRight="1"/>
    <pageSetUpPr fitToPage="1"/>
  </sheetPr>
  <dimension ref="A1:N53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5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80" customWidth="1" min="13" max="13"/>
    <col width="64" customWidth="1" min="14" max="14"/>
  </cols>
  <sheetData>
    <row r="1">
      <c r="A1" s="1" t="inlineStr">
        <is>
          <t>🆘 AYUDAS · RECETA DE CADA SESIÓN Y EMPRESA EJEMPLO PARA PRACTICAR</t>
        </is>
      </c>
    </row>
    <row r="2">
      <c r="A2" s="2" t="inlineStr">
        <is>
          <t>Parte 1: la receta de las 16 sesiones.   Parte 2: Heladería Brisa Polar, la empresa ejemplo, SIN RESOLVER para que la resuelva usted.</t>
        </is>
      </c>
    </row>
    <row r="3">
      <c r="A3" s="30" t="inlineStr">
        <is>
          <t>⚠️ Esta hoja NO trae resultados. Es a propósito: aquí se practica. Los resultados esperados están en la hoja «2 · CASOS S9-S16», columna 🎯.</t>
        </is>
      </c>
    </row>
    <row r="6">
      <c r="A6" s="68" t="inlineStr">
        <is>
          <t>PARTE 1 · LA RECETA DE CADA SESIÓN</t>
        </is>
      </c>
    </row>
    <row r="8" ht="26" customHeight="1">
      <c r="B8" s="5" t="inlineStr">
        <is>
          <t>Sesión</t>
        </is>
      </c>
      <c r="C8" s="5" t="inlineStr">
        <is>
          <t>¿Qué se busca?</t>
        </is>
      </c>
      <c r="D8" s="5" t="inlineStr">
        <is>
          <t>Paso a paso</t>
        </is>
      </c>
      <c r="E8" s="8" t="n"/>
      <c r="F8" s="8" t="n"/>
      <c r="G8" s="9" t="n"/>
      <c r="H8" s="5" t="inlineStr">
        <is>
          <t>Fórmulas de Excel que debe escribir</t>
        </is>
      </c>
      <c r="I8" s="8" t="n"/>
      <c r="J8" s="9" t="n"/>
      <c r="K8" s="5" t="inlineStr">
        <is>
          <t>⚠️ El error que se comete casi siempre</t>
        </is>
      </c>
      <c r="L8" s="8" t="n"/>
      <c r="M8" s="8" t="n"/>
      <c r="N8" s="9" t="n"/>
    </row>
    <row r="9" ht="60" customHeight="1">
      <c r="B9" s="69" t="inlineStr">
        <is>
          <t>SEMANA 9 · sesión 1
Mano de obra directa (MOD) por unidad</t>
        </is>
      </c>
      <c r="C9" s="7" t="inlineStr">
        <is>
          <t>Cuánto cuesta, en soles, la persona que FABRICA una unidad.</t>
        </is>
      </c>
      <c r="D9" s="70" t="inlineStr">
        <is>
          <t>1) Costo laboral = sueldo × (1 + factor de cargas sociales).
2) Remuneración por hora = costo laboral ÷ 208 horas.
3) MOD por unidad = remuneración por hora × minutos que demanda la unidad ÷ 60.
4) Sume la MOD de todos los puestos que intervienen en esa unidad.</t>
        </is>
      </c>
      <c r="E9" s="8" t="n"/>
      <c r="F9" s="8" t="n"/>
      <c r="G9" s="9" t="n"/>
      <c r="H9" s="71">
        <f>E13*(1+$C$7)    =F13/$C$8    =C22*D22/60    =SUM(F22:F23)</f>
        <v/>
      </c>
      <c r="I9" s="8" t="n"/>
      <c r="J9" s="9" t="n"/>
      <c r="K9" s="72" t="inlineStr">
        <is>
          <t>Meter al mozo, al vendedor o al administrador como MOD. MOD es SOLO quien fabrica o prepara el producto. El mozo que lleva la bebida a la mesa es gasto de ventas.</t>
        </is>
      </c>
      <c r="L9" s="8" t="n"/>
      <c r="M9" s="8" t="n"/>
      <c r="N9" s="9" t="n"/>
    </row>
    <row r="10" ht="84" customHeight="1">
      <c r="B10" s="69" t="inlineStr">
        <is>
          <t>SEMANA 9 · sesión 2
CIF del mes y asignación por producto</t>
        </is>
      </c>
      <c r="C10" s="7" t="inlineStr">
        <is>
          <t>Juntar todo lo indirecto de la planta y repartirlo entre A y B.</t>
        </is>
      </c>
      <c r="D10" s="70" t="inlineStr">
        <is>
          <t>1) Arme el cuadro de CIF del mes y marque cada línea como Fijo o Variable.
2) Total CIF = suma. CIF variable = SUMIF de "Variable". CIF fijo = SUMIF de "Fijo".
3) Base de reparto = minutos de MOD del mes = unidades del mes × minutos por unidad.
4) % de participación = minutos del producto ÷ minutos totales.
5) CIF asignado = total CIF × %.   CIF por unidad = CIF asignado ÷ unidades del mes.</t>
        </is>
      </c>
      <c r="E10" s="8" t="n"/>
      <c r="F10" s="8" t="n"/>
      <c r="G10" s="9" t="n"/>
      <c r="H10" s="71">
        <f>SUM(C11:C16)    =SUMIF($D$11:$D$16,"Variable",$C$11:$C$16)    =C21*D21    =E21/$E$23    =$C$17*F21    =G21/C21</f>
        <v/>
      </c>
      <c r="I10" s="8" t="n"/>
      <c r="J10" s="9" t="n"/>
      <c r="K10" s="72" t="inlineStr">
        <is>
          <t>Olvidar que la materia prima INDIRECTA y la mano de obra INDIRECTA ya calculadas en las semanas 7 y 9 son las dos primeras líneas del CIF. No se vuelven a calcular: se traen.</t>
        </is>
      </c>
      <c r="L10" s="8" t="n"/>
      <c r="M10" s="8" t="n"/>
      <c r="N10" s="9" t="n"/>
    </row>
    <row r="11" ht="60" customHeight="1">
      <c r="B11" s="69" t="inlineStr">
        <is>
          <t>SEMANA 10 · sesión 1
Costo unitario total y estructura de costos</t>
        </is>
      </c>
      <c r="C11" s="7" t="inlineStr">
        <is>
          <t>Lo que cuesta producir una unidad y el peso de cada elemento en el mes.</t>
        </is>
      </c>
      <c r="D11" s="70" t="inlineStr">
        <is>
          <t>1) Costo unitario total = materia prima directa + MOD + CIF, todo POR UNIDAD.
2) Clasifique cada gasto del mes como administrativo o de ventas.
3) Estructura del mes: lleve cada elemento a soles del mes (por unidad × unidades del mes) y calcule el % sobre el costo total.</t>
        </is>
      </c>
      <c r="E11" s="8" t="n"/>
      <c r="F11" s="8" t="n"/>
      <c r="G11" s="9" t="n"/>
      <c r="H11" s="71">
        <f>SUM(C11:C13)    =SUMIF($D$18:$D$24,"Gasto administrativo",$C$18:$C$24)    =C27/$C$32</f>
        <v/>
      </c>
      <c r="I11" s="8" t="n"/>
      <c r="J11" s="9" t="n"/>
      <c r="K11" s="72" t="inlineStr">
        <is>
          <t>Mezclar costos con gastos. Costo = lo que entra al producto (materia prima, MOD, CIF). Gasto = lo que sostiene el negocio (administración y ventas). La limpieza del LOCAL es gasto administrativo; la limpieza de la PLANTA es CIF.</t>
        </is>
      </c>
      <c r="L11" s="8" t="n"/>
      <c r="M11" s="8" t="n"/>
      <c r="N11" s="9" t="n"/>
    </row>
    <row r="12" ht="60" customHeight="1">
      <c r="B12" s="69" t="inlineStr">
        <is>
          <t>SEMANA 10 · sesión 2
Precio de venta y margen de contribución</t>
        </is>
      </c>
      <c r="C12" s="7" t="inlineStr">
        <is>
          <t>Cuánto deja cada unidad vendida para pagar los costos fijos.</t>
        </is>
      </c>
      <c r="D12" s="70" t="inlineStr">
        <is>
          <t>1) Precio sin IGV = precio con IGV ÷ 1.18.
2) Costo variable unitario = materia prima directa + CIF variable por unidad.
3) Margen de contribución unitario = precio sin IGV − costo variable unitario.
4) Margen de contribución % = margen ÷ precio sin IGV.</t>
        </is>
      </c>
      <c r="E12" s="8" t="n"/>
      <c r="F12" s="8" t="n"/>
      <c r="G12" s="9" t="n"/>
      <c r="H12" s="71">
        <f>C11/1.18    =C13+C14    =C12-C15    =C16/C12</f>
        <v/>
      </c>
      <c r="I12" s="8" t="n"/>
      <c r="J12" s="9" t="n"/>
      <c r="K12" s="72" t="inlineStr">
        <is>
          <t>Meter la MOD en el costo variable. Si el personal está en planilla, se le paga igual venda 100 o 500 unidades: es costo FIJO. Y no confundir margen de CONTRIBUCIÓN (precio − costo variable) con margen de UTILIDAD (precio − costo unitario total).</t>
        </is>
      </c>
      <c r="L12" s="8" t="n"/>
      <c r="M12" s="8" t="n"/>
      <c r="N12" s="9" t="n"/>
    </row>
    <row r="13" ht="108" customHeight="1">
      <c r="B13" s="69" t="inlineStr">
        <is>
          <t>SEMANA 11 · sesión 1
Punto de equilibrio con margen ponderado</t>
        </is>
      </c>
      <c r="C13" s="7" t="inlineStr">
        <is>
          <t>Cuántas unidades hay que vender al mes para no ganar ni perder.</t>
        </is>
      </c>
      <c r="D13" s="70" t="inlineStr">
        <is>
          <t>1) Costos fijos del mes = MOD aplicada + CIF fijos + gastos administrativos + gastos de ventas.
2) % de la mezcla = ventas anuales del producto ÷ ventas anuales totales.
3) Margen ponderado = suma de (% mezcla × margen de contribución unitario).
4) Punto de equilibrio en unidades = costos fijos ÷ margen ponderado (redondee hacia arriba).
5) Reparta ese total entre A y B con el % de la mezcla y conviértalo a soles con el precio sin IGV.
6) Margen de seguridad = (ventas del mes − punto de equilibrio) ÷ ventas del mes.</t>
        </is>
      </c>
      <c r="E13" s="8" t="n"/>
      <c r="F13" s="8" t="n"/>
      <c r="G13" s="9" t="n"/>
      <c r="H13" s="71">
        <f>C18/SUM($C$18:$C$19)    =D18*E18    =ROUNDUP($C$15/$F$20,0)    =ROUND(C23*D18,0)    =(C27-C23)/C27</f>
        <v/>
      </c>
      <c r="I13" s="8" t="n"/>
      <c r="J13" s="9" t="n"/>
      <c r="K13" s="72" t="inlineStr">
        <is>
          <t>Usar el margen de un solo producto, o usar el costo unitario total en lugar del costo variable. El punto de equilibrio SIEMPRE se calcula con margen de contribución.</t>
        </is>
      </c>
      <c r="L13" s="8" t="n"/>
      <c r="M13" s="8" t="n"/>
      <c r="N13" s="9" t="n"/>
    </row>
    <row r="14" ht="60" customHeight="1">
      <c r="B14" s="69" t="inlineStr">
        <is>
          <t>SEMANA 11 · sesión 2
Presupuesto de ventas en soles</t>
        </is>
      </c>
      <c r="C14" s="7" t="inlineStr">
        <is>
          <t>Pasar las unidades del presupuesto a soles, mes por mes.</t>
        </is>
      </c>
      <c r="D14" s="70" t="inlineStr">
        <is>
          <t>1) Ventas del producto = unidades del mes × precio SIN IGV.
2) Ventas sin IGV = ventas A + ventas B.
3) IGV = ventas sin IGV × 18 %.   Ventas con IGV = ventas sin IGV + IGV.
4) Totalice la columna del año con SUM.</t>
        </is>
      </c>
      <c r="E14" s="8" t="n"/>
      <c r="F14" s="8" t="n"/>
      <c r="G14" s="9" t="n"/>
      <c r="H14" s="71">
        <f>C14*$C$10    =E14+F14    =G14*18%    =G14+H14    =SUM(G14:G25)</f>
        <v/>
      </c>
      <c r="I14" s="8" t="n"/>
      <c r="J14" s="9" t="n"/>
      <c r="K14" s="72" t="inlineStr">
        <is>
          <t>Mezclar precios con y sin IGV en la misma columna. En el informe TODO va sin IGV; el IGV se muestra en su propia columna.</t>
        </is>
      </c>
      <c r="L14" s="8" t="n"/>
      <c r="M14" s="8" t="n"/>
      <c r="N14" s="9" t="n"/>
    </row>
    <row r="15" ht="60" customHeight="1">
      <c r="B15" s="69" t="inlineStr">
        <is>
          <t>SEMANA 12 · sesión 1
Índice costo-beneficio (ICB) de marketing</t>
        </is>
      </c>
      <c r="C15" s="7" t="inlineStr">
        <is>
          <t>Si una acción de marketing se paga sola.</t>
        </is>
      </c>
      <c r="D15" s="70" t="inlineStr">
        <is>
          <t>1) Beneficio = unidades adicionales × margen de contribución unitario del producto.
2) ICB = beneficio ÷ costo anual de la acción.
3) Si el ICB es 1 o más, la acción recupera lo que cuesta: se mantiene. Si es menor que 1, se revisa o se elimina.</t>
        </is>
      </c>
      <c r="E15" s="8" t="n"/>
      <c r="F15" s="8" t="n"/>
      <c r="G15" s="9" t="n"/>
      <c r="H15" s="71">
        <f>E14*IF(D14="A",$C$10,$C$11)    =F14/C14    =IF(G14&gt;=1,"Mantener","Revisar o eliminar")</f>
        <v/>
      </c>
      <c r="I15" s="8" t="n"/>
      <c r="J15" s="9" t="n"/>
      <c r="K15" s="72" t="inlineStr">
        <is>
          <t>Usar como beneficio la VENTA de las unidades adicionales. El beneficio es solo el MARGEN, porque la materia prima de esas unidades también hay que pagarla.</t>
        </is>
      </c>
      <c r="L15" s="8" t="n"/>
      <c r="M15" s="8" t="n"/>
      <c r="N15" s="9" t="n"/>
    </row>
    <row r="16" ht="84" customHeight="1">
      <c r="B16" s="69" t="inlineStr">
        <is>
          <t>SEMANA 12 · sesión 2
Estado de Resultados proyectado</t>
        </is>
      </c>
      <c r="C16" s="7" t="inlineStr">
        <is>
          <t>La utilidad del año y si alcanza para financiar la nueva línea.</t>
        </is>
      </c>
      <c r="D16" s="70" t="inlineStr">
        <is>
          <t>1) Ventas netas = unidades del año × precio sin IGV (de los dos productos).
2) Costo de ventas = unidades del año × costo unitario TOTAL.
3) Utilidad bruta = ventas − costo de ventas.
4) Reste los gastos administrativos y de ventas del AÑO (los del mes × 12).
5) Impuesto MYPE: 10 % hasta 15 UIT (S/ 82,500) y 29.5 % sobre el exceso.
6) Utilidad neta = utilidad antes de impuestos − impuesto.</t>
        </is>
      </c>
      <c r="E16" s="8" t="n"/>
      <c r="F16" s="8" t="n"/>
      <c r="G16" s="9" t="n"/>
      <c r="H16" s="71">
        <f>C11*C12+D11*D12    =$C$14*12    =MIN(MAX(C24,0),$C$16)*10%+MAX(C24-$C$16,0)*29.5%</f>
        <v/>
      </c>
      <c r="I16" s="8" t="n"/>
      <c r="J16" s="9" t="n"/>
      <c r="K16" s="72" t="inlineStr">
        <is>
          <t>Poner las ventas CON IGV. El IGV no es ingreso de la empresa: se cobra para la SUNAT.</t>
        </is>
      </c>
      <c r="L16" s="8" t="n"/>
      <c r="M16" s="8" t="n"/>
      <c r="N16" s="9" t="n"/>
    </row>
    <row r="17" ht="84" customHeight="1">
      <c r="B17" s="69" t="inlineStr">
        <is>
          <t>SEMANA 13 · sesión 1
Presupuesto y equilibrio de la nueva línea</t>
        </is>
      </c>
      <c r="C17" s="7" t="inlineStr">
        <is>
          <t>Cuánto cuesta arrancar la nueva línea y cuántas ventas necesita.</t>
        </is>
      </c>
      <c r="D17" s="70" t="inlineStr">
        <is>
          <t>1) Inversión total = activos fijos + intangibles + capital de trabajo.
2) Compare la inversión con la utilidad neta del año (inversión ÷ utilidad neta).
3) Margen de contribución de la nueva línea = precio sin IGV − costo variable unitario.
4) Punto de equilibrio = costos fijos mensuales de la línea ÷ margen (hacia arriba).
5) Compárelo con la demanda esperada por mes.</t>
        </is>
      </c>
      <c r="E17" s="8" t="n"/>
      <c r="F17" s="8" t="n"/>
      <c r="G17" s="9" t="n"/>
      <c r="H17" s="71">
        <f>SUM(C11:C14)    =650/1.18    =ROUNDUP(C32/C31,0)    =IF(C35&gt;=C33,"Sí","No")</f>
        <v/>
      </c>
      <c r="I17" s="8" t="n"/>
      <c r="J17" s="9" t="n"/>
      <c r="K17" s="72" t="inlineStr">
        <is>
          <t>Cargar a la nueva línea los costos fijos de TODA la empresa. Solo van los costos fijos NUEVOS que aparecen por la nueva línea.</t>
        </is>
      </c>
      <c r="L17" s="8" t="n"/>
      <c r="M17" s="8" t="n"/>
      <c r="N17" s="9" t="n"/>
    </row>
    <row r="18" ht="60" customHeight="1">
      <c r="B18" s="69" t="inlineStr">
        <is>
          <t>SEMANA 13 · sesión 2
Repaso integral: tablero de control</t>
        </is>
      </c>
      <c r="C18" s="7" t="inlineStr">
        <is>
          <t>Comprobar que el informe cierra antes de entregarlo.</t>
        </is>
      </c>
      <c r="D18" s="70" t="inlineStr">
        <is>
          <t>1) Utilidad del mes por margen = (margen A × unidades A + margen B × unidades B) − costos fijos.
2) Utilidad del mes según el Estado de Resultados = utilidad operativa del año ÷ 12.
3) Las dos deben parecerse. Si no, revise el costo variable o los costos fijos.</t>
        </is>
      </c>
      <c r="E18" s="8" t="n"/>
      <c r="F18" s="8" t="n"/>
      <c r="G18" s="9" t="n"/>
      <c r="H18" s="71">
        <f>(mcA*unidA+mcB*unidB)-costosFijos</f>
        <v/>
      </c>
      <c r="I18" s="8" t="n"/>
      <c r="J18" s="9" t="n"/>
      <c r="K18" s="72" t="inlineStr">
        <is>
          <t>Entregar sin comprobar. Un informe con tablas que no cuadran entre sí pierde puntos aunque cada tabla por separado esté bien hecha.</t>
        </is>
      </c>
      <c r="L18" s="8" t="n"/>
      <c r="M18" s="8" t="n"/>
      <c r="N18" s="9" t="n"/>
    </row>
    <row r="19" ht="60" customHeight="1">
      <c r="B19" s="69" t="inlineStr">
        <is>
          <t>SEMANA 14 · sesión 1
Utilidad objetivo y sensibilidad del precio</t>
        </is>
      </c>
      <c r="C19" s="7" t="inlineStr">
        <is>
          <t>Cuántas unidades se necesitan para ganar una cantidad fijada.</t>
        </is>
      </c>
      <c r="D19" s="70" t="inlineStr">
        <is>
          <t>1) Unidades = (costos fijos + utilidad deseada) ÷ margen de contribución ponderado.
2) Si cambia el precio, recalcule el margen del producto y el margen ponderado.
3) Compare el punto de equilibrio y las unidades objetivo en los dos escenarios.</t>
        </is>
      </c>
      <c r="E19" s="8" t="n"/>
      <c r="F19" s="8" t="n"/>
      <c r="G19" s="9" t="n"/>
      <c r="H19" s="71">
        <f>ROUNDUP((C13+3000)/C12,0)</f>
        <v/>
      </c>
      <c r="I19" s="8" t="n"/>
      <c r="J19" s="9" t="n"/>
      <c r="K19" s="72" t="inlineStr">
        <is>
          <t>Sumar la utilidad deseada al margen en lugar de a los costos fijos.</t>
        </is>
      </c>
      <c r="L19" s="8" t="n"/>
      <c r="M19" s="8" t="n"/>
      <c r="N19" s="9" t="n"/>
    </row>
    <row r="20" ht="72" customHeight="1">
      <c r="B20" s="69" t="inlineStr">
        <is>
          <t>SEMANA 14 · sesión 2
Simulador por escenarios</t>
        </is>
      </c>
      <c r="C20" s="7" t="inlineStr">
        <is>
          <t>Ver qué pasa con la utilidad si cambian volumen, precio o costos.</t>
        </is>
      </c>
      <c r="D20" s="70" t="inlineStr">
        <is>
          <t>1) Ventas del escenario = unidades × (1 + variación de volumen) × precio × (1 + variación de precio).
2) Costos variables = unidades ajustadas × costo variable × (1 + variación de costo).
3) Costos fijos del escenario = costos fijos × (1 + variación de fijos).
4) Utilidad operativa = margen de contribución − costos fijos.</t>
        </is>
      </c>
      <c r="E20" s="8" t="n"/>
      <c r="F20" s="8" t="n"/>
      <c r="G20" s="9" t="n"/>
      <c r="H20" s="71">
        <f>$C$10*(1+C16)*$C$11*(1+C17)</f>
        <v/>
      </c>
      <c r="I20" s="8" t="n"/>
      <c r="J20" s="9" t="n"/>
      <c r="K20" s="72" t="inlineStr">
        <is>
          <t>Cambiar los números a mano en lugar de dejar fórmulas. El simulador sirve justamente para mover un supuesto y ver todo recalcularse.</t>
        </is>
      </c>
      <c r="L20" s="8" t="n"/>
      <c r="M20" s="8" t="n"/>
      <c r="N20" s="9" t="n"/>
    </row>
    <row r="21" ht="72" customHeight="1">
      <c r="B21" s="69" t="inlineStr">
        <is>
          <t>SEMANA 15 · sesión 1
Direccionamiento de CIF</t>
        </is>
      </c>
      <c r="C21" s="7" t="inlineStr">
        <is>
          <t>Repartir los CIF cuando hay varios departamentos.</t>
        </is>
      </c>
      <c r="D21" s="70" t="inlineStr">
        <is>
          <t>1) PRIMARIO: cada costo indirecto se reparte entre todos los departamentos con una base (m², kWh, valor del equipo).
2) SECUNDARIO: los departamentos de SERVICIO reparten su total entre los de PRODUCCIÓN.
3) FINAL: los departamentos de producción reparten su total entre los productos.</t>
        </is>
      </c>
      <c r="E21" s="8" t="n"/>
      <c r="F21" s="8" t="n"/>
      <c r="G21" s="9" t="n"/>
      <c r="H21" s="71">
        <f>$C11*D11</f>
        <v/>
      </c>
      <c r="I21" s="8" t="n"/>
      <c r="J21" s="9" t="n"/>
      <c r="K21" s="72" t="inlineStr">
        <is>
          <t>Dejar costo en un departamento de servicio. Al final, TODO el CIF debe quedar en los departamentos de producción y de ahí en los productos.</t>
        </is>
      </c>
      <c r="L21" s="8" t="n"/>
      <c r="M21" s="8" t="n"/>
      <c r="N21" s="9" t="n"/>
    </row>
    <row r="22" ht="72" customHeight="1">
      <c r="B22" s="69" t="inlineStr">
        <is>
          <t>SEMANA 15 · sesión 2
Tasa predeterminada de CIF</t>
        </is>
      </c>
      <c r="C22" s="7" t="inlineStr">
        <is>
          <t>Aplicar CIF antes de conocer el gasto real del año.</t>
        </is>
      </c>
      <c r="D22" s="70" t="inlineStr">
        <is>
          <t>1) Tasa predeterminada = CIF presupuestados ÷ base presupuestada (horas).
2) CIF aplicados = base REAL × tasa.
3) Diferencia = aplicados − reales. Si es positiva hay SOBREaplicación; si es negativa, SUBaplicación.
4) Costo de una orden = materia prima + MOD + (horas de la orden × tasa).</t>
        </is>
      </c>
      <c r="E22" s="8" t="n"/>
      <c r="F22" s="8" t="n"/>
      <c r="G22" s="9" t="n"/>
      <c r="H22" s="71">
        <f>C10/C11    =C13*C14    =C15-C12</f>
        <v/>
      </c>
      <c r="I22" s="8" t="n"/>
      <c r="J22" s="9" t="n"/>
      <c r="K22" s="72" t="inlineStr">
        <is>
          <t>Calcular la tasa con los datos REALES. La tasa predeterminada se calcula con los datos PRESUPUESTADOS, porque se usa durante el año, antes de conocer los reales.</t>
        </is>
      </c>
      <c r="L22" s="8" t="n"/>
      <c r="M22" s="8" t="n"/>
      <c r="N22" s="9" t="n"/>
    </row>
    <row r="23" ht="72" customHeight="1">
      <c r="B23" s="69" t="inlineStr">
        <is>
          <t>SEMANA 16 · sesión 1
Costo meta</t>
        </is>
      </c>
      <c r="C23" s="7" t="inlineStr">
        <is>
          <t>Cuánto puede costar como máximo un producto, partiendo del precio del mercado.</t>
        </is>
      </c>
      <c r="D23" s="70" t="inlineStr">
        <is>
          <t>1) Precio meta sin IGV = precio del mercado con IGV ÷ 1.18.
2) Utilidad deseada = precio meta × % de margen deseado.
3) Costo meta = precio meta − utilidad deseada.
4) Brecha = costo actual − costo meta.
5) Reste los ahorros de las mejoras y compare el nuevo costo con el costo meta.</t>
        </is>
      </c>
      <c r="E23" s="8" t="n"/>
      <c r="F23" s="8" t="n"/>
      <c r="G23" s="9" t="n"/>
      <c r="H23" s="71">
        <f>C10-C11    =C13-C12    =IF(C21&lt;=C12,"Sí","No")</f>
        <v/>
      </c>
      <c r="I23" s="8" t="n"/>
      <c r="J23" s="9" t="n"/>
      <c r="K23" s="72" t="inlineStr">
        <is>
          <t>Partir del costo para fijar el precio. El costo meta hace lo contrario: parte del precio que el mercado acepta y de ahí baja al costo permitido.</t>
        </is>
      </c>
      <c r="L23" s="8" t="n"/>
      <c r="M23" s="8" t="n"/>
      <c r="N23" s="9" t="n"/>
    </row>
    <row r="24" ht="72" customHeight="1">
      <c r="B24" s="69" t="inlineStr">
        <is>
          <t>SEMANA 16 · sesión 2
Pedido especial y hacer o comprar</t>
        </is>
      </c>
      <c r="C24" s="7" t="inlineStr">
        <is>
          <t>Decidir con los costos que SÍ cambian.</t>
        </is>
      </c>
      <c r="D24" s="70" t="inlineStr">
        <is>
          <t>1) Pedido especial: compare el precio ofrecido con el costo VARIABLE (más lo que agregue el pedido). Si el margen es positivo y hay capacidad ociosa, conviene aceptar.
2) Hacer o comprar: el costo relevante de hacer EXCLUYE el CIF fijo que se paga igual.
3) Ahorro = (costo de comprar − costo relevante de hacer) × cantidad del año.</t>
        </is>
      </c>
      <c r="E24" s="8" t="n"/>
      <c r="F24" s="8" t="n"/>
      <c r="G24" s="9" t="n"/>
      <c r="H24" s="71">
        <f>C8-C9    =C10*1500    =(C17-C16)*40000</f>
        <v/>
      </c>
      <c r="I24" s="8" t="n"/>
      <c r="J24" s="9" t="n"/>
      <c r="K24" s="72" t="inlineStr">
        <is>
          <t>Usar el costo unitario TOTAL para decidir. Los costos fijos que se pagan igual no son relevantes: no cambian con la decisión.</t>
        </is>
      </c>
      <c r="L24" s="8" t="n"/>
      <c r="M24" s="8" t="n"/>
      <c r="N24" s="9" t="n"/>
    </row>
    <row r="28">
      <c r="A28" s="68" t="inlineStr">
        <is>
          <t>PARTE 2 · EMPRESA EJEMPLO PARA PRACTICAR: HELADERÍA BRISA POLAR (sin resolver)</t>
        </is>
      </c>
    </row>
    <row r="29">
      <c r="A29" s="2" t="inlineStr">
        <is>
          <t>🍦 Misma secuencia de las 16 sesiones, con los datos de la heladería. Resuélvala completa: si le sale esta, le sale la de su empresa.</t>
        </is>
      </c>
    </row>
    <row r="31" ht="24" customHeight="1">
      <c r="A31" s="31" t="inlineStr">
        <is>
          <t>SEMANA 9 · SESIÓN 1 · Mano de obra directa (MOD) por unidad</t>
        </is>
      </c>
    </row>
    <row r="32">
      <c r="A32" s="32" t="inlineStr">
        <is>
          <t>🍦 Práctica con la empresa ejemplo · Tabla 6 · punto 4.2.2</t>
        </is>
      </c>
    </row>
    <row r="34" ht="84" customHeight="1">
      <c r="D34" s="12" t="inlineStr">
        <is>
          <t>Mano de obra DIRECTA es solo quien fabrica o prepara el producto. El mozo que lleva la bebida a la mesa y la vendedora de tienda NO son MOD: son gasto de ventas.</t>
        </is>
      </c>
    </row>
    <row r="36" ht="20" customHeight="1">
      <c r="A36" s="73" t="inlineStr">
        <is>
          <t>🍦 HELADERÍA BRISA POLAR · empresa ejemplo del curso (practíquela usted)</t>
        </is>
      </c>
    </row>
    <row r="38">
      <c r="B38" s="34" t="inlineStr">
        <is>
          <t>📄 Va en el informe: Tabla 6 «Mano de obra directa por unidad» (punto 4.2.2).</t>
        </is>
      </c>
    </row>
    <row r="39" ht="39" customHeight="1">
      <c r="A39" s="35" t="inlineStr">
        <is>
          <t>📘</t>
        </is>
      </c>
      <c r="B39" s="14" t="inlineStr">
        <is>
          <t>HELADERÍA BRISA POLAR tiene a su personal en planilla (régimen de pequeña empresa) y trabaja 48 horas a la semana. Se pide: 1) la remuneración por hora de cada puesto; 2) la MOD por unidad usando los minutos de fabricación.</t>
        </is>
      </c>
    </row>
    <row r="41">
      <c r="B41" s="7" t="inlineStr">
        <is>
          <t>Factor de cargas sociales (EsSalud 9 %, gratificaciones 8.33 %, bonificación 0.75 %, CTS 4.17 %, vacaciones 4.17 %)</t>
        </is>
      </c>
      <c r="C41" s="36" t="n">
        <v>0.264166666666667</v>
      </c>
    </row>
    <row r="42">
      <c r="B42" s="7" t="inlineStr">
        <is>
          <t>Horas al mes por trabajador (48 h × 52 semanas ÷ 12)</t>
        </is>
      </c>
      <c r="C42" s="37" t="n">
        <v>208</v>
      </c>
    </row>
    <row r="44">
      <c r="B44" s="13" t="inlineStr">
        <is>
          <t>PASO 1 · Remuneración por hora de cada puesto</t>
        </is>
      </c>
    </row>
    <row r="45" ht="30" customHeight="1">
      <c r="B45" s="5" t="inlineStr">
        <is>
          <t>Puesto</t>
        </is>
      </c>
      <c r="C45" s="5" t="inlineStr">
        <is>
          <t>Cantidad</t>
        </is>
      </c>
      <c r="D45" s="5" t="inlineStr">
        <is>
          <t>¿A dónde va?</t>
        </is>
      </c>
      <c r="E45" s="5" t="inlineStr">
        <is>
          <t>Sueldo mensual por
trabajador (S/)</t>
        </is>
      </c>
      <c r="F45" s="5" t="inlineStr">
        <is>
          <t>Costo laboral mensual
por trabajador (S/)</t>
        </is>
      </c>
      <c r="G45" s="5" t="inlineStr">
        <is>
          <t>Remuneración
por hora (S/)</t>
        </is>
      </c>
      <c r="H45" s="5" t="inlineStr">
        <is>
          <t>Costo laboral total
del puesto (S/)</t>
        </is>
      </c>
    </row>
    <row r="46">
      <c r="B46" s="7" t="inlineStr">
        <is>
          <t>Maestro heladero</t>
        </is>
      </c>
      <c r="C46" s="38" t="n">
        <v>1</v>
      </c>
      <c r="D46" s="28" t="inlineStr">
        <is>
          <t>MOD</t>
        </is>
      </c>
      <c r="E46" s="39" t="n">
        <v>1800</v>
      </c>
      <c r="F46" s="40" t="n"/>
      <c r="G46" s="40" t="n"/>
      <c r="H46" s="40" t="n"/>
      <c r="M46" s="41" t="inlineStr">
        <is>
          <t>💡 F = sueldo × (1 + factor) → =E46*(1+$C$41)   |   G = costo laboral ÷ horas al mes → =F46/$C$42   |   H = costo laboral × cantidad → =F46*C46</t>
        </is>
      </c>
    </row>
    <row r="47">
      <c r="B47" s="7" t="inlineStr">
        <is>
          <t>Ayudante de producción</t>
        </is>
      </c>
      <c r="C47" s="38" t="n">
        <v>2</v>
      </c>
      <c r="D47" s="28" t="inlineStr">
        <is>
          <t>MOD</t>
        </is>
      </c>
      <c r="E47" s="39" t="n">
        <v>1200</v>
      </c>
      <c r="F47" s="40" t="n"/>
      <c r="G47" s="40" t="n"/>
      <c r="H47" s="40" t="n"/>
    </row>
    <row r="48">
      <c r="B48" s="7" t="inlineStr">
        <is>
          <t>Encargado de almacén y limpieza de planta</t>
        </is>
      </c>
      <c r="C48" s="38" t="n">
        <v>1</v>
      </c>
      <c r="D48" s="28" t="inlineStr">
        <is>
          <t>MOI (va a CIF)</t>
        </is>
      </c>
      <c r="E48" s="39" t="n">
        <v>1130</v>
      </c>
      <c r="F48" s="40" t="n"/>
      <c r="G48" s="40" t="n"/>
      <c r="H48" s="40" t="n"/>
    </row>
    <row r="49">
      <c r="B49" s="7" t="inlineStr">
        <is>
          <t>Vendedor-repartidor</t>
        </is>
      </c>
      <c r="C49" s="38" t="n">
        <v>1</v>
      </c>
      <c r="D49" s="28" t="inlineStr">
        <is>
          <t>Gasto de ventas</t>
        </is>
      </c>
      <c r="E49" s="39" t="n">
        <v>1300</v>
      </c>
      <c r="F49" s="40" t="n"/>
      <c r="G49" s="40" t="n"/>
      <c r="H49" s="40" t="n"/>
    </row>
    <row r="50">
      <c r="B50" s="7" t="inlineStr">
        <is>
          <t>Administrador</t>
        </is>
      </c>
      <c r="C50" s="38" t="n">
        <v>1</v>
      </c>
      <c r="D50" s="28" t="inlineStr">
        <is>
          <t>Gasto administrativo</t>
        </is>
      </c>
      <c r="E50" s="39" t="n">
        <v>2200</v>
      </c>
      <c r="F50" s="40" t="n"/>
      <c r="G50" s="40" t="n"/>
      <c r="H50" s="40" t="n"/>
    </row>
    <row r="52">
      <c r="B52" s="13" t="inlineStr">
        <is>
          <t>PASO 2 · MOD por unidad = remuneración por hora × minutos ÷ 60</t>
        </is>
      </c>
    </row>
    <row r="53" ht="30" customHeight="1">
      <c r="B53" s="5" t="inlineStr">
        <is>
          <t>Puesto de MOD</t>
        </is>
      </c>
      <c r="C53" s="5" t="inlineStr">
        <is>
          <t>Remuneración
por hora (S/)</t>
        </is>
      </c>
      <c r="D53" s="5" t="inlineStr">
        <is>
          <t>Minutos por
unidad – A</t>
        </is>
      </c>
      <c r="E53" s="5" t="inlineStr">
        <is>
          <t>Minutos por
unidad – B</t>
        </is>
      </c>
      <c r="F53" s="5" t="inlineStr">
        <is>
          <t>MOD por unidad
A (S/)</t>
        </is>
      </c>
      <c r="G53" s="5" t="inlineStr">
        <is>
          <t>MOD por unidad
B (S/)</t>
        </is>
      </c>
    </row>
    <row r="54">
      <c r="B54" s="7" t="inlineStr">
        <is>
          <t>Maestro heladero</t>
        </is>
      </c>
      <c r="C54" s="42">
        <f>G46</f>
        <v/>
      </c>
      <c r="D54" s="43" t="n">
        <v>6</v>
      </c>
      <c r="E54" s="43" t="n">
        <v>1</v>
      </c>
      <c r="F54" s="44" t="n"/>
      <c r="G54" s="44" t="n"/>
      <c r="M54" s="41" t="inlineStr">
        <is>
          <t>💡 =C54*D54/60  y  =C54*E54/60</t>
        </is>
      </c>
    </row>
    <row r="55">
      <c r="B55" s="7" t="inlineStr">
        <is>
          <t>Ayudante de producción</t>
        </is>
      </c>
      <c r="C55" s="42">
        <f>G47</f>
        <v/>
      </c>
      <c r="D55" s="43" t="n">
        <v>10</v>
      </c>
      <c r="E55" s="43" t="n">
        <v>3</v>
      </c>
      <c r="F55" s="44" t="n"/>
      <c r="G55" s="44" t="n"/>
    </row>
    <row r="56">
      <c r="B56" s="6" t="inlineStr">
        <is>
          <t>➡️ MOD POR UNIDAD (unidad)</t>
        </is>
      </c>
      <c r="F56" s="45" t="n"/>
      <c r="G56" s="45" t="n"/>
    </row>
    <row r="57">
      <c r="F57" s="47" t="inlineStr">
        <is>
          <t>A: Pote de helado de vainilla de 1 L</t>
        </is>
      </c>
    </row>
    <row r="58">
      <c r="F58" s="47" t="inlineStr">
        <is>
          <t>B: Paleta de fresa con leche</t>
        </is>
      </c>
    </row>
    <row r="60">
      <c r="B60" s="13" t="inlineStr">
        <is>
          <t>PASO 3 · Costo laboral del mes por destino (lo necesitará en todas las sesiones siguientes)</t>
        </is>
      </c>
    </row>
    <row r="61">
      <c r="B61" s="6" t="inlineStr">
        <is>
          <t>Total MOD (mano de obra directa)</t>
        </is>
      </c>
      <c r="C61" s="48" t="n"/>
      <c r="M61" s="41" t="inlineStr">
        <is>
          <t>💡 =SUMIF($D$46:$D$50,"MOD",$H$46:$H$50)</t>
        </is>
      </c>
    </row>
    <row r="62">
      <c r="B62" s="6" t="inlineStr">
        <is>
          <t>Total MOI → se va a los CIF</t>
        </is>
      </c>
      <c r="C62" s="48" t="n"/>
    </row>
    <row r="63">
      <c r="B63" s="6" t="inlineStr">
        <is>
          <t>Total Gasto de ventas</t>
        </is>
      </c>
      <c r="C63" s="48" t="n"/>
    </row>
    <row r="64">
      <c r="B64" s="6" t="inlineStr">
        <is>
          <t>Total Gasto administrativo</t>
        </is>
      </c>
      <c r="C64" s="48" t="n"/>
    </row>
    <row r="68" ht="24" customHeight="1">
      <c r="A68" s="31" t="inlineStr">
        <is>
          <t>SEMANA 9 · SESIÓN 2 · Costos indirectos de fabricación (CIF) y su asignación</t>
        </is>
      </c>
    </row>
    <row r="69">
      <c r="A69" s="32" t="inlineStr">
        <is>
          <t>🍦 Práctica con la empresa ejemplo · Tablas 7 y 8 · punto 4.2.3</t>
        </is>
      </c>
    </row>
    <row r="71" ht="84" customHeight="1">
      <c r="D71" s="12" t="inlineStr">
        <is>
          <t>Las dos primeras líneas del CIF ya las tienen: la materia prima INDIRECTA de la semana 7 y la mano de obra INDIRECTA de la semana 9. No se vuelven a calcular, se traen.</t>
        </is>
      </c>
    </row>
    <row r="73" ht="20" customHeight="1">
      <c r="A73" s="73" t="inlineStr">
        <is>
          <t>🍦 HELADERÍA BRISA POLAR · empresa ejemplo del curso (practíquela usted)</t>
        </is>
      </c>
    </row>
    <row r="75">
      <c r="B75" s="34" t="inlineStr">
        <is>
          <t>📄 Va en el informe: Tabla 7 «Costos indirectos de fabricación del mes» y Tabla 8 «Asignación de los CIF a cada producto» (punto 4.2.3).</t>
        </is>
      </c>
    </row>
    <row r="76" ht="39" customHeight="1">
      <c r="A76" s="35" t="inlineStr">
        <is>
          <t>📘</t>
        </is>
      </c>
      <c r="B76" s="14" t="inlineStr">
        <is>
          <t>Con la MOD ya calculada, HELADERÍA BRISA POLAR reúne sus costos indirectos de fabricación (CIF) del mes y los reparte entre sus dos productos. La base de reparto son los MINUTOS de mano de obra directa del mes: es la más justa porque el producto que demanda más tiempo usa más planta, más luz y más supervisión.</t>
        </is>
      </c>
    </row>
    <row r="78">
      <c r="B78" s="13" t="inlineStr">
        <is>
          <t>TABLA 7 · Costos indirectos de fabricación del mes</t>
        </is>
      </c>
    </row>
    <row r="79" ht="30" customHeight="1">
      <c r="B79" s="5" t="inlineStr">
        <is>
          <t>Concepto del CIF</t>
        </is>
      </c>
      <c r="C79" s="5" t="inlineStr">
        <is>
          <t>Monto del mes
sin IGV (S/)</t>
        </is>
      </c>
      <c r="D79" s="5" t="inlineStr">
        <is>
          <t>Fijo o variable</t>
        </is>
      </c>
    </row>
    <row r="80">
      <c r="B80" s="7" t="inlineStr">
        <is>
          <t>Materia prima indirecta del mes</t>
        </is>
      </c>
      <c r="C80" s="39" t="n">
        <v>245.76</v>
      </c>
      <c r="D80" s="28" t="inlineStr">
        <is>
          <t>Variable</t>
        </is>
      </c>
    </row>
    <row r="81">
      <c r="B81" s="7" t="inlineStr">
        <is>
          <t>Mano de obra indirecta (de la sesión de MOD)</t>
        </is>
      </c>
      <c r="C81" s="42">
        <f>$C$62</f>
        <v/>
      </c>
      <c r="D81" s="28" t="inlineStr">
        <is>
          <t>Fijo</t>
        </is>
      </c>
    </row>
    <row r="82">
      <c r="B82" s="7" t="inlineStr">
        <is>
          <t>Alquiler de la zona de producción</t>
        </is>
      </c>
      <c r="C82" s="39" t="n">
        <v>1200</v>
      </c>
      <c r="D82" s="28" t="inlineStr">
        <is>
          <t>Fijo</t>
        </is>
      </c>
    </row>
    <row r="83">
      <c r="B83" s="7" t="inlineStr">
        <is>
          <t>Luz y agua de la planta</t>
        </is>
      </c>
      <c r="C83" s="39" t="n">
        <v>520</v>
      </c>
      <c r="D83" s="28" t="inlineStr">
        <is>
          <t>Fijo</t>
        </is>
      </c>
    </row>
    <row r="84">
      <c r="B84" s="7" t="inlineStr">
        <is>
          <t>Depreciación de máquina heladera y congeladora</t>
        </is>
      </c>
      <c r="C84" s="39" t="n">
        <v>400</v>
      </c>
      <c r="D84" s="28" t="inlineStr">
        <is>
          <t>Fijo</t>
        </is>
      </c>
    </row>
    <row r="85">
      <c r="B85" s="7" t="inlineStr">
        <is>
          <t>Mantenimiento y otros CIF</t>
        </is>
      </c>
      <c r="C85" s="39" t="n">
        <v>100</v>
      </c>
      <c r="D85" s="28" t="inlineStr">
        <is>
          <t>Fijo</t>
        </is>
      </c>
    </row>
    <row r="86">
      <c r="B86" s="6" t="inlineStr">
        <is>
          <t>Total CIF del mes</t>
        </is>
      </c>
      <c r="C86" s="48" t="n"/>
      <c r="M86" s="41" t="inlineStr">
        <is>
          <t>💡 =SUM(C80:C85)</t>
        </is>
      </c>
    </row>
    <row r="87">
      <c r="B87" s="7" t="inlineStr">
        <is>
          <t>De ello, CIF VARIABLE (sube o baja con la producción)</t>
        </is>
      </c>
      <c r="C87" s="40" t="n"/>
      <c r="M87" s="41" t="inlineStr">
        <is>
          <t>💡 =SUMIF($D$80:$D$85,"Variable",$C$80:$C$85)</t>
        </is>
      </c>
    </row>
    <row r="88">
      <c r="B88" s="7" t="inlineStr">
        <is>
          <t>De ello, CIF FIJO (se paga igual, se produzca mucho o poco)</t>
        </is>
      </c>
      <c r="C88" s="40" t="n"/>
      <c r="M88" s="41" t="inlineStr">
        <is>
          <t>💡 =SUMIF($D$80:$D$85,"Fijo",$C$80:$C$85)</t>
        </is>
      </c>
    </row>
    <row r="90">
      <c r="B90" s="13" t="inlineStr">
        <is>
          <t>TABLA 8 · Asignación de los CIF a cada producto (base: minutos de MOD del mes)</t>
        </is>
      </c>
    </row>
    <row r="91">
      <c r="B91" s="50" t="inlineStr">
        <is>
          <t>📝 Producción del mes = producción anual ÷ 12 (8,844 potes y 26,960 paletas al año).</t>
        </is>
      </c>
    </row>
    <row r="92" ht="30" customHeight="1">
      <c r="B92" s="5" t="inlineStr">
        <is>
          <t>Producto</t>
        </is>
      </c>
      <c r="C92" s="5" t="inlineStr">
        <is>
          <t>Unidades producidas
en el mes (unidades)</t>
        </is>
      </c>
      <c r="D92" s="5" t="inlineStr">
        <is>
          <t>Minutos de MOD
por unidad</t>
        </is>
      </c>
      <c r="E92" s="5" t="inlineStr">
        <is>
          <t>Minutos de MOD
del mes</t>
        </is>
      </c>
      <c r="F92" s="5" t="inlineStr">
        <is>
          <t>% de participación</t>
        </is>
      </c>
      <c r="G92" s="5" t="inlineStr">
        <is>
          <t>CIF asignado
del mes (S/)</t>
        </is>
      </c>
      <c r="H92" s="5" t="inlineStr">
        <is>
          <t>CIF por
unidad (S/)</t>
        </is>
      </c>
      <c r="I92" s="5" t="inlineStr">
        <is>
          <t>CIF VARIABLE por
unidad (S/)</t>
        </is>
      </c>
    </row>
    <row r="93">
      <c r="B93" s="7" t="inlineStr">
        <is>
          <t>A: Pote de helado de vainilla de 1 L</t>
        </is>
      </c>
      <c r="C93" s="51" t="n">
        <v>737</v>
      </c>
      <c r="D93" s="43" t="n">
        <v>16</v>
      </c>
      <c r="E93" s="52" t="n"/>
      <c r="F93" s="53" t="n"/>
      <c r="G93" s="40" t="n"/>
      <c r="H93" s="44" t="n"/>
      <c r="I93" s="44" t="n"/>
      <c r="M93" s="41" t="inlineStr">
        <is>
          <t>💡 E=C93*D93  |  F=E93/$E$95  |  G=$C$86*F93  |  H=G93/C93  |  I=$C$87*F93/C93</t>
        </is>
      </c>
    </row>
    <row r="94">
      <c r="B94" s="7" t="inlineStr">
        <is>
          <t>B: Paleta de fresa con leche</t>
        </is>
      </c>
      <c r="C94" s="51" t="n">
        <v>2246.6667</v>
      </c>
      <c r="D94" s="43" t="n">
        <v>4</v>
      </c>
      <c r="E94" s="52" t="n"/>
      <c r="F94" s="53" t="n"/>
      <c r="G94" s="40" t="n"/>
      <c r="H94" s="44" t="n"/>
      <c r="I94" s="44" t="n"/>
    </row>
    <row r="95">
      <c r="B95" s="6" t="inlineStr">
        <is>
          <t>TOTAL</t>
        </is>
      </c>
      <c r="E95" s="54" t="n"/>
      <c r="F95" s="55" t="n"/>
      <c r="G95" s="48" t="n"/>
    </row>
    <row r="99" ht="24" customHeight="1">
      <c r="A99" s="31" t="inlineStr">
        <is>
          <t>SEMANA 10 · SESIÓN 1 · Costo unitario total y estructura de costos y gastos</t>
        </is>
      </c>
    </row>
    <row r="100">
      <c r="A100" s="32" t="inlineStr">
        <is>
          <t>🍦 Práctica con la empresa ejemplo · Tablas 1, 2 y 9 · puntos 4.1 y 4.2.4</t>
        </is>
      </c>
    </row>
    <row r="102" ht="84" customHeight="1">
      <c r="D102" s="12" t="inlineStr">
        <is>
          <t>Costo es lo que entra al producto. Gasto es lo que sostiene el negocio. La limpieza de la PLANTA es CIF; la limpieza del LOCAL es gasto administrativo.</t>
        </is>
      </c>
    </row>
    <row r="104" ht="20" customHeight="1">
      <c r="A104" s="73" t="inlineStr">
        <is>
          <t>🍦 HELADERÍA BRISA POLAR · empresa ejemplo del curso (practíquela usted)</t>
        </is>
      </c>
    </row>
    <row r="106">
      <c r="B106" s="34" t="inlineStr">
        <is>
          <t>📄 Va en el informe: Tabla 9 «Costo unitario total» (punto 4.2.4), Tabla 1 «Clasificación de costos y gastos del mes» y Tabla 2 «Estructura de costos y gastos del mes» (punto 4.1).</t>
        </is>
      </c>
    </row>
    <row r="107" ht="26" customHeight="1">
      <c r="A107" s="35" t="inlineStr">
        <is>
          <t>📘</t>
        </is>
      </c>
      <c r="B107" s="14" t="inlineStr">
        <is>
          <t>HELADERÍA BRISA POLAR ya tiene materia prima, MOD y CIF por unidad. Ahora obtiene el costo unitario total y ordena TODOS sus costos y gastos del mes.</t>
        </is>
      </c>
    </row>
    <row r="109">
      <c r="B109" s="13" t="inlineStr">
        <is>
          <t>TABLA 9 · Costo unitario total</t>
        </is>
      </c>
    </row>
    <row r="110" ht="30" customHeight="1">
      <c r="B110" s="5" t="inlineStr">
        <is>
          <t>Elemento</t>
        </is>
      </c>
      <c r="C110" s="5" t="inlineStr">
        <is>
          <t>A: Pote de helado de vainilla de 1 L
(S/)</t>
        </is>
      </c>
      <c r="D110" s="5" t="inlineStr">
        <is>
          <t>B: Paleta de fresa con leche
(S/)</t>
        </is>
      </c>
    </row>
    <row r="111">
      <c r="B111" s="7" t="inlineStr">
        <is>
          <t>Materia prima directa (viene de la semana 7)</t>
        </is>
      </c>
      <c r="C111" s="56" t="n">
        <v>6.325</v>
      </c>
      <c r="D111" s="56" t="n">
        <v>0.6181</v>
      </c>
    </row>
    <row r="112">
      <c r="B112" s="7" t="inlineStr">
        <is>
          <t>Mano de obra directa (viene de la semana 9, sesión 1)</t>
        </is>
      </c>
      <c r="C112" s="57">
        <f>$F$56</f>
        <v/>
      </c>
      <c r="D112" s="57">
        <f>$G$56</f>
        <v/>
      </c>
    </row>
    <row r="113">
      <c r="B113" s="7" t="inlineStr">
        <is>
          <t>Costos indirectos de fabricación (viene de la semana 9, sesión 2)</t>
        </is>
      </c>
      <c r="C113" s="57">
        <f>$H$93</f>
        <v/>
      </c>
      <c r="D113" s="57">
        <f>$H$94</f>
        <v/>
      </c>
    </row>
    <row r="114">
      <c r="B114" s="6" t="inlineStr">
        <is>
          <t>➡️ COSTO UNITARIO TOTAL</t>
        </is>
      </c>
      <c r="C114" s="45" t="n"/>
      <c r="D114" s="45" t="n"/>
      <c r="M114" s="41" t="inlineStr">
        <is>
          <t>💡 =SUM(C111:C113)</t>
        </is>
      </c>
    </row>
    <row r="116">
      <c r="B116" s="13" t="inlineStr">
        <is>
          <t>TABLA 1 · Clasificación de los gastos operativos del mes</t>
        </is>
      </c>
    </row>
    <row r="117" ht="30" customHeight="1">
      <c r="B117" s="5" t="inlineStr">
        <is>
          <t>Gasto operativo del mes</t>
        </is>
      </c>
      <c r="C117" s="5" t="inlineStr">
        <is>
          <t>Monto del mes
sin IGV (S/)</t>
        </is>
      </c>
      <c r="D117" s="5" t="inlineStr">
        <is>
          <t>Clasificación</t>
        </is>
      </c>
    </row>
    <row r="118">
      <c r="B118" s="7" t="inlineStr">
        <is>
          <t>Personal administrativo (de la sesión de MOD)</t>
        </is>
      </c>
      <c r="C118" s="42">
        <f>$C$64</f>
        <v/>
      </c>
      <c r="D118" s="28" t="inlineStr">
        <is>
          <t>Gasto administrativo</t>
        </is>
      </c>
    </row>
    <row r="119">
      <c r="B119" s="7" t="inlineStr">
        <is>
          <t>Limpieza del local</t>
        </is>
      </c>
      <c r="C119" s="39" t="n">
        <v>120</v>
      </c>
      <c r="D119" s="28" t="inlineStr">
        <is>
          <t>Gasto administrativo</t>
        </is>
      </c>
    </row>
    <row r="120">
      <c r="B120" s="7" t="inlineStr">
        <is>
          <t>Contador externo</t>
        </is>
      </c>
      <c r="C120" s="39" t="n">
        <v>400</v>
      </c>
      <c r="D120" s="28" t="inlineStr">
        <is>
          <t>Gasto administrativo</t>
        </is>
      </c>
    </row>
    <row r="121">
      <c r="B121" s="7" t="inlineStr">
        <is>
          <t>Internet y teléfono</t>
        </is>
      </c>
      <c r="C121" s="39" t="n">
        <v>120</v>
      </c>
      <c r="D121" s="28" t="inlineStr">
        <is>
          <t>Gasto administrativo</t>
        </is>
      </c>
    </row>
    <row r="122">
      <c r="B122" s="7" t="inlineStr">
        <is>
          <t>Personal de ventas (de la sesión de MOD)</t>
        </is>
      </c>
      <c r="C122" s="42">
        <f>$C$63</f>
        <v/>
      </c>
      <c r="D122" s="28" t="inlineStr">
        <is>
          <t>Gasto de ventas</t>
        </is>
      </c>
    </row>
    <row r="123">
      <c r="B123" s="7" t="inlineStr">
        <is>
          <t>Bolsas térmicas de despacho</t>
        </is>
      </c>
      <c r="C123" s="39" t="n">
        <v>125</v>
      </c>
      <c r="D123" s="28" t="inlineStr">
        <is>
          <t>Gasto de ventas</t>
        </is>
      </c>
    </row>
    <row r="124">
      <c r="B124" s="7" t="inlineStr">
        <is>
          <t>Publicidad en redes sociales</t>
        </is>
      </c>
      <c r="C124" s="39" t="n">
        <v>300</v>
      </c>
      <c r="D124" s="28" t="inlineStr">
        <is>
          <t>Gasto de ventas</t>
        </is>
      </c>
    </row>
    <row r="125">
      <c r="B125" s="6" t="inlineStr">
        <is>
          <t>Total gastos administrativos del mes</t>
        </is>
      </c>
      <c r="C125" s="48" t="n"/>
      <c r="M125" s="41" t="inlineStr">
        <is>
          <t>💡 =SUMIF($D$118:$D$124,"Gasto administrativo",$C$118:$C$124)</t>
        </is>
      </c>
    </row>
    <row r="126">
      <c r="B126" s="6" t="inlineStr">
        <is>
          <t>Total gastos de ventas del mes</t>
        </is>
      </c>
      <c r="C126" s="48" t="n"/>
      <c r="M126" s="41" t="inlineStr">
        <is>
          <t>💡 =SUMIF($D$118:$D$124,"Gasto de ventas",$C$118:$C$124)</t>
        </is>
      </c>
    </row>
    <row r="128">
      <c r="B128" s="13" t="inlineStr">
        <is>
          <t>TABLA 2 · Estructura de costos y gastos del mes</t>
        </is>
      </c>
    </row>
    <row r="129" ht="30" customHeight="1">
      <c r="B129" s="5" t="inlineStr">
        <is>
          <t>Elemento del mes</t>
        </is>
      </c>
      <c r="C129" s="5" t="inlineStr">
        <is>
          <t>Fijo (S/)</t>
        </is>
      </c>
      <c r="D129" s="5" t="inlineStr">
        <is>
          <t>Variable (S/)</t>
        </is>
      </c>
      <c r="E129" s="5" t="inlineStr">
        <is>
          <t>Total (S/)</t>
        </is>
      </c>
      <c r="F129" s="5" t="inlineStr">
        <is>
          <t>% del total</t>
        </is>
      </c>
    </row>
    <row r="130">
      <c r="B130" s="7" t="inlineStr">
        <is>
          <t>Materia prima directa</t>
        </is>
      </c>
      <c r="C130" s="39" t="n">
        <v>0</v>
      </c>
      <c r="D130" s="40" t="n"/>
      <c r="E130" s="40" t="n"/>
      <c r="F130" s="53" t="n"/>
      <c r="M130" s="41" t="inlineStr">
        <is>
          <t>💡 Variable = MPD/u A × unidades A + MPD/u B × unidades B → =$C$111*$C$93+$D$111*$C$94</t>
        </is>
      </c>
    </row>
    <row r="131">
      <c r="B131" s="7" t="inlineStr">
        <is>
          <t>Mano de obra directa aplicada a A y B</t>
        </is>
      </c>
      <c r="C131" s="40" t="n"/>
      <c r="D131" s="39" t="n">
        <v>0</v>
      </c>
      <c r="E131" s="40" t="n"/>
      <c r="F131" s="53" t="n"/>
      <c r="M131" s="41" t="inlineStr">
        <is>
          <t>💡 =$F$56*$C$93+$G$56*$C$94  (la MOD es FIJA: el personal está en planilla)</t>
        </is>
      </c>
    </row>
    <row r="132">
      <c r="B132" s="7" t="inlineStr">
        <is>
          <t>Costos indirectos de fabricación</t>
        </is>
      </c>
      <c r="C132" s="42">
        <f>$C$88</f>
        <v/>
      </c>
      <c r="D132" s="42">
        <f>$C$87</f>
        <v/>
      </c>
      <c r="E132" s="40" t="n"/>
      <c r="F132" s="53" t="n"/>
    </row>
    <row r="133">
      <c r="B133" s="6">
        <f> COSTO DE PRODUCCIÓN DEL MES</f>
        <v/>
      </c>
      <c r="C133" s="48" t="n"/>
      <c r="D133" s="48" t="n"/>
      <c r="E133" s="48" t="n"/>
      <c r="F133" s="55" t="n"/>
      <c r="M133" s="41" t="inlineStr">
        <is>
          <t>💡 =SUM(C130:C132)  (arrástrela a las columnas D, E y F)</t>
        </is>
      </c>
    </row>
    <row r="134">
      <c r="B134" s="7" t="inlineStr">
        <is>
          <t>Gastos administrativos</t>
        </is>
      </c>
      <c r="C134" s="42">
        <f>$C$125</f>
        <v/>
      </c>
      <c r="D134" s="39" t="n">
        <v>0</v>
      </c>
      <c r="E134" s="40" t="n"/>
      <c r="F134" s="53" t="n"/>
    </row>
    <row r="135">
      <c r="B135" s="7" t="inlineStr">
        <is>
          <t>Gastos de ventas</t>
        </is>
      </c>
      <c r="C135" s="42">
        <f>$C$126</f>
        <v/>
      </c>
      <c r="D135" s="39" t="n">
        <v>0</v>
      </c>
      <c r="E135" s="40" t="n"/>
      <c r="F135" s="53" t="n"/>
    </row>
    <row r="136">
      <c r="B136" s="6">
        <f> GASTOS OPERATIVOS DEL MES</f>
        <v/>
      </c>
      <c r="C136" s="48" t="n"/>
      <c r="D136" s="48" t="n"/>
      <c r="E136" s="48" t="n"/>
      <c r="F136" s="55" t="n"/>
      <c r="M136" s="41" t="inlineStr">
        <is>
          <t>💡 =SUM(C134:C135)  (gastos administrativos + gastos de ventas)</t>
        </is>
      </c>
    </row>
    <row r="137">
      <c r="B137" s="6">
        <f> COSTO TOTAL DEL MES</f>
        <v/>
      </c>
      <c r="C137" s="48" t="n"/>
      <c r="D137" s="48" t="n"/>
      <c r="E137" s="48" t="n"/>
      <c r="F137" s="55" t="n"/>
      <c r="M137" s="41" t="inlineStr">
        <is>
          <t>💡 Fijo =C133+C136 (costo de producción + gastos operativos). Lo mismo en D. Total =C137+D137. % =E137/$E$137 → debe dar 100 %.</t>
        </is>
      </c>
    </row>
    <row r="138">
      <c r="B138" s="50" t="inlineStr">
        <is>
          <t>🔑 En TODA esta tabla: Total (S/) = Fijo + Variable, y % del total = Total del elemento ÷ COSTO TOTAL DEL MES. Escriba el divisor como referencia absoluta $E$137 para poder arrastrar la fórmula hacia abajo.</t>
        </is>
      </c>
    </row>
    <row r="139">
      <c r="B139" s="50" t="inlineStr">
        <is>
          <t>⚠️ La planilla de MOD cuesta S/ 5,309.50 al mes, pero en A y B solo se aplican S/ 2,931.04. La diferencia (≈ S/ 2,378.46) es capacidad no utilizada o tiempo dedicado a otros productos de la carta: NO se carga a A ni a B. Escriba esta explicación en el párrafo del punto 4.1.</t>
        </is>
      </c>
    </row>
    <row r="143" ht="24" customHeight="1">
      <c r="A143" s="31" t="inlineStr">
        <is>
          <t>SEMANA 10 · SESIÓN 2 · Precio de venta y margen de contribución</t>
        </is>
      </c>
    </row>
    <row r="144">
      <c r="A144" s="32" t="inlineStr">
        <is>
          <t>🍦 Práctica con la empresa ejemplo · Tabla 10 · punto 4.2.5</t>
        </is>
      </c>
    </row>
    <row r="146" ht="84" customHeight="1">
      <c r="D146" s="12" t="inlineStr">
        <is>
          <t>La MOD no entra en el costo variable. Si el personal está en planilla, se le paga igual venda 100 o 500 unidades: es costo FIJO.</t>
        </is>
      </c>
    </row>
    <row r="148" ht="20" customHeight="1">
      <c r="A148" s="73" t="inlineStr">
        <is>
          <t>🍦 HELADERÍA BRISA POLAR · empresa ejemplo del curso (practíquela usted)</t>
        </is>
      </c>
    </row>
    <row r="150">
      <c r="B150" s="34" t="inlineStr">
        <is>
          <t>📄 Va en el informe: Tabla 10 «Precio de venta y margen de contribución» (punto 4.2.5).</t>
        </is>
      </c>
    </row>
    <row r="151" ht="39" customHeight="1">
      <c r="A151" s="35" t="inlineStr">
        <is>
          <t>📘</t>
        </is>
      </c>
      <c r="B151" s="14" t="inlineStr">
        <is>
          <t>HELADERÍA BRISA POLAR cobra hoy S/ 28.00 por el producto A y S/ 3.50 por el producto B (precios CON IGV). En el costo variable entran la materia prima directa y el CIF variable; la MOD NO entra porque el personal está en planilla y se paga igual.</t>
        </is>
      </c>
    </row>
    <row r="153" ht="30" customHeight="1">
      <c r="B153" s="5" t="inlineStr">
        <is>
          <t>Concepto</t>
        </is>
      </c>
      <c r="C153" s="5" t="inlineStr">
        <is>
          <t>A: Pote de helado de vainilla de 1 L</t>
        </is>
      </c>
      <c r="D153" s="5" t="inlineStr">
        <is>
          <t>B: Paleta de fresa con leche</t>
        </is>
      </c>
    </row>
    <row r="154">
      <c r="B154" s="7" t="inlineStr">
        <is>
          <t>Precio de venta CON IGV (S/)</t>
        </is>
      </c>
      <c r="C154" s="39" t="n">
        <v>28</v>
      </c>
      <c r="D154" s="39" t="n">
        <v>3.5</v>
      </c>
    </row>
    <row r="155">
      <c r="B155" s="7" t="inlineStr">
        <is>
          <t>Precio de venta SIN IGV (÷ 1.18)</t>
        </is>
      </c>
      <c r="C155" s="40" t="n"/>
      <c r="D155" s="40" t="n"/>
      <c r="M155" s="41" t="inlineStr">
        <is>
          <t>💡 =C154/1.18</t>
        </is>
      </c>
    </row>
    <row r="156">
      <c r="B156" s="7" t="inlineStr">
        <is>
          <t>Materia prima directa por unidad</t>
        </is>
      </c>
      <c r="C156" s="57">
        <f>$C$111</f>
        <v/>
      </c>
      <c r="D156" s="57">
        <f>$D$111</f>
        <v/>
      </c>
    </row>
    <row r="157">
      <c r="B157" s="7" t="inlineStr">
        <is>
          <t>CIF variable por unidad</t>
        </is>
      </c>
      <c r="C157" s="57">
        <f>$I$93</f>
        <v/>
      </c>
      <c r="D157" s="57">
        <f>$I$94</f>
        <v/>
      </c>
    </row>
    <row r="158">
      <c r="B158" s="6" t="inlineStr">
        <is>
          <t>➡️ COSTO VARIABLE UNITARIO</t>
        </is>
      </c>
      <c r="C158" s="45" t="n"/>
      <c r="D158" s="45" t="n"/>
      <c r="M158" s="41" t="inlineStr">
        <is>
          <t>💡 =C156+C157</t>
        </is>
      </c>
    </row>
    <row r="159">
      <c r="B159" s="6" t="inlineStr">
        <is>
          <t>➡️ MARGEN DE CONTRIBUCIÓN UNITARIO (precio sin IGV − costo variable)</t>
        </is>
      </c>
      <c r="C159" s="45" t="n"/>
      <c r="D159" s="45" t="n"/>
    </row>
    <row r="160">
      <c r="B160" s="7" t="inlineStr">
        <is>
          <t>Margen de contribución (%)</t>
        </is>
      </c>
      <c r="C160" s="53" t="n"/>
      <c r="D160" s="53" t="n"/>
    </row>
    <row r="161">
      <c r="B161" s="7" t="inlineStr">
        <is>
          <t>Costo unitario total (viene de la sesión anterior)</t>
        </is>
      </c>
      <c r="C161" s="57">
        <f>$C$114</f>
        <v/>
      </c>
      <c r="D161" s="57">
        <f>$D$114</f>
        <v/>
      </c>
    </row>
    <row r="162">
      <c r="B162" s="7" t="inlineStr">
        <is>
          <t>Utilidad por unidad (precio sin IGV − costo unitario total)</t>
        </is>
      </c>
      <c r="C162" s="44" t="n"/>
      <c r="D162" s="44" t="n"/>
    </row>
    <row r="163">
      <c r="B163" s="7" t="inlineStr">
        <is>
          <t>Margen de utilidad (%)</t>
        </is>
      </c>
      <c r="C163" s="53" t="n"/>
      <c r="D163" s="53" t="n"/>
    </row>
    <row r="167" ht="24" customHeight="1">
      <c r="A167" s="31" t="inlineStr">
        <is>
          <t>SEMANA 11 · SESIÓN 1 · Punto de equilibrio con margen de contribución ponderado</t>
        </is>
      </c>
    </row>
    <row r="168">
      <c r="A168" s="32" t="inlineStr">
        <is>
          <t>🍦 Práctica con la empresa ejemplo · Tabla 11 y Figura 1 · punto 4.2.6</t>
        </is>
      </c>
    </row>
    <row r="170" ht="84" customHeight="1">
      <c r="D170" s="12" t="inlineStr">
        <is>
          <t>Con dos productos no sirve el margen de uno solo. Hay que ponderar: cada producto aporta según el peso que tiene en la mezcla de ventas.</t>
        </is>
      </c>
    </row>
    <row r="172" ht="20" customHeight="1">
      <c r="A172" s="73" t="inlineStr">
        <is>
          <t>🍦 HELADERÍA BRISA POLAR · empresa ejemplo del curso (practíquela usted)</t>
        </is>
      </c>
    </row>
    <row r="174">
      <c r="B174" s="34" t="inlineStr">
        <is>
          <t>📄 Va en el informe: Tabla 11 «Punto de equilibrio actual» y Figura 1 «Gráfico del punto de equilibrio» (punto 4.2.6).</t>
        </is>
      </c>
    </row>
    <row r="175" ht="39" customHeight="1">
      <c r="A175" s="35" t="inlineStr">
        <is>
          <t>📘</t>
        </is>
      </c>
      <c r="B175" s="14" t="inlineStr">
        <is>
          <t>HELADERÍA BRISA POLAR quiere saber cuántas unidades debe vender al mes para no ganar ni perder. Como vende DOS productos, no se usa el margen de uno solo: se usa el MARGEN DE CONTRIBUCIÓN PONDERADO según la mezcla de ventas.</t>
        </is>
      </c>
    </row>
    <row r="177">
      <c r="B177" s="13" t="inlineStr">
        <is>
          <t>PASO 1 · Costos y gastos FIJOS del mes</t>
        </is>
      </c>
    </row>
    <row r="178" ht="30" customHeight="1">
      <c r="B178" s="5" t="inlineStr">
        <is>
          <t>Costo fijo del mes</t>
        </is>
      </c>
      <c r="C178" s="5" t="inlineStr">
        <is>
          <t>Monto (S/)</t>
        </is>
      </c>
    </row>
    <row r="179">
      <c r="B179" s="7" t="inlineStr">
        <is>
          <t>Mano de obra directa aplicada a A y B (semana 10)</t>
        </is>
      </c>
      <c r="C179" s="42">
        <f>$C$131</f>
        <v/>
      </c>
    </row>
    <row r="180">
      <c r="B180" s="7" t="inlineStr">
        <is>
          <t>CIF fijos (semana 9, sesión 2)</t>
        </is>
      </c>
      <c r="C180" s="42">
        <f>$C$88</f>
        <v/>
      </c>
    </row>
    <row r="181">
      <c r="B181" s="7" t="inlineStr">
        <is>
          <t>Gastos administrativos (semana 10)</t>
        </is>
      </c>
      <c r="C181" s="42">
        <f>$C$125</f>
        <v/>
      </c>
    </row>
    <row r="182">
      <c r="B182" s="7" t="inlineStr">
        <is>
          <t>Gastos de ventas (semana 10)</t>
        </is>
      </c>
      <c r="C182" s="42">
        <f>$C$126</f>
        <v/>
      </c>
    </row>
    <row r="183">
      <c r="B183" s="6" t="inlineStr">
        <is>
          <t>➡️ TOTAL COSTOS FIJOS DEL MES</t>
        </is>
      </c>
      <c r="C183" s="48" t="n"/>
      <c r="M183" s="41" t="inlineStr">
        <is>
          <t>💡 =SUM(C179:C182)</t>
        </is>
      </c>
    </row>
    <row r="185">
      <c r="B185" s="13" t="inlineStr">
        <is>
          <t>PASO 2 · Mezcla de ventas y margen de contribución ponderado</t>
        </is>
      </c>
    </row>
    <row r="186" ht="30" customHeight="1">
      <c r="B186" s="5" t="inlineStr">
        <is>
          <t>Producto</t>
        </is>
      </c>
      <c r="C186" s="5" t="inlineStr">
        <is>
          <t>Ventas anuales
(unidades)</t>
        </is>
      </c>
      <c r="D186" s="5" t="inlineStr">
        <is>
          <t>% de la mezcla</t>
        </is>
      </c>
      <c r="E186" s="5" t="inlineStr">
        <is>
          <t>Margen de contribución
unitario (S/)</t>
        </is>
      </c>
      <c r="F186" s="5" t="inlineStr">
        <is>
          <t>Margen
ponderado (S/)</t>
        </is>
      </c>
      <c r="G186" s="5" t="inlineStr">
        <is>
          <t>Precio sin IGV (S/)</t>
        </is>
      </c>
    </row>
    <row r="187">
      <c r="B187" s="7" t="inlineStr">
        <is>
          <t>A: Pote de helado de vainilla de 1 L</t>
        </is>
      </c>
      <c r="C187" s="37" t="n">
        <v>8810</v>
      </c>
      <c r="D187" s="53" t="n"/>
      <c r="E187" s="57">
        <f>$C$159</f>
        <v/>
      </c>
      <c r="F187" s="44" t="n"/>
      <c r="G187" s="42">
        <f>$C$155</f>
        <v/>
      </c>
      <c r="M187" s="41" t="inlineStr">
        <is>
          <t>💡 % mezcla = ventas del producto ÷ ventas totales → =C187/$C$189   |   margen ponderado = D187*E187</t>
        </is>
      </c>
    </row>
    <row r="188">
      <c r="B188" s="7" t="inlineStr">
        <is>
          <t>B: Paleta de fresa con leche</t>
        </is>
      </c>
      <c r="C188" s="37" t="n">
        <v>26850</v>
      </c>
      <c r="D188" s="53" t="n"/>
      <c r="E188" s="57">
        <f>$D$159</f>
        <v/>
      </c>
      <c r="F188" s="44" t="n"/>
      <c r="G188" s="42">
        <f>$D$155</f>
        <v/>
      </c>
    </row>
    <row r="189">
      <c r="B189" s="6" t="inlineStr">
        <is>
          <t>TOTAL</t>
        </is>
      </c>
      <c r="C189" s="58" t="n"/>
      <c r="D189" s="55" t="n"/>
      <c r="F189" s="45" t="n"/>
    </row>
    <row r="191">
      <c r="B191" s="13" t="inlineStr">
        <is>
          <t>PASO 3 · Punto de equilibrio y margen de seguridad</t>
        </is>
      </c>
    </row>
    <row r="192" ht="30" customHeight="1">
      <c r="B192" s="5" t="inlineStr">
        <is>
          <t>Resultado</t>
        </is>
      </c>
      <c r="C192" s="5" t="inlineStr">
        <is>
          <t>Valor</t>
        </is>
      </c>
    </row>
    <row r="193">
      <c r="B193" s="6" t="inlineStr">
        <is>
          <t>Punto de equilibrio TOTAL (unidades al mes, redondeado hacia arriba)</t>
        </is>
      </c>
      <c r="C193" s="58" t="n"/>
      <c r="M193" s="41" t="inlineStr">
        <is>
          <t>💡 =ROUNDUP($C$183/$F$189,0)</t>
        </is>
      </c>
    </row>
    <row r="194">
      <c r="B194" s="7" t="inlineStr">
        <is>
          <t>Punto de equilibrio del producto A (unidades)</t>
        </is>
      </c>
      <c r="C194" s="59" t="n"/>
      <c r="M194" s="41" t="inlineStr">
        <is>
          <t>💡 =ROUND($C$193*$D$187,0)</t>
        </is>
      </c>
    </row>
    <row r="195">
      <c r="B195" s="7" t="inlineStr">
        <is>
          <t>Punto de equilibrio del producto B (unidades)</t>
        </is>
      </c>
      <c r="C195" s="59" t="n"/>
    </row>
    <row r="196">
      <c r="B196" s="6" t="inlineStr">
        <is>
          <t>Punto de equilibrio EN SOLES (al mes)</t>
        </is>
      </c>
      <c r="C196" s="48" t="n"/>
      <c r="M196" s="41" t="inlineStr">
        <is>
          <t>💡 = unidades A × precio sin IGV A + unidades B × precio sin IGV B</t>
        </is>
      </c>
    </row>
    <row r="197">
      <c r="B197" s="7" t="inlineStr">
        <is>
          <t>Ventas promedio al mes (unidades)</t>
        </is>
      </c>
      <c r="C197" s="52" t="n"/>
      <c r="M197" s="41" t="inlineStr">
        <is>
          <t>💡 =($C$187+$C$188)/12</t>
        </is>
      </c>
    </row>
    <row r="198">
      <c r="B198" s="6" t="inlineStr">
        <is>
          <t>➡️ MARGEN DE SEGURIDAD (%)</t>
        </is>
      </c>
      <c r="C198" s="55" t="n"/>
      <c r="M198" s="41" t="inlineStr">
        <is>
          <t>💡 =($C$197-$C$193)/$C$197</t>
        </is>
      </c>
    </row>
    <row r="200" ht="52" customHeight="1">
      <c r="A200" s="35" t="inlineStr">
        <is>
          <t>📈</t>
        </is>
      </c>
      <c r="B200" s="14" t="inlineStr">
        <is>
          <t>FIGURA 1 del informe · cómo hacer el gráfico: seleccione una tabla auxiliar con 6 niveles de unidades (0, 25 %, 50 %, 75 %, 100 % y 125 % del punto de equilibrio) y tres columnas: INGRESOS = unidades × precio ponderado, COSTO TOTAL = costos fijos + unidades × costo variable ponderado, COSTO FIJO = valor constante. Inserte un gráfico de LÍNEAS. El punto donde se cruzan ingresos y costo total es el punto de equilibrio.</t>
        </is>
      </c>
    </row>
    <row r="201" ht="30" customHeight="1">
      <c r="B201" s="5" t="inlineStr">
        <is>
          <t>Unidades del mes</t>
        </is>
      </c>
      <c r="C201" s="5" t="inlineStr">
        <is>
          <t>Ingresos (S/)</t>
        </is>
      </c>
      <c r="D201" s="5" t="inlineStr">
        <is>
          <t>Costo total (S/)</t>
        </is>
      </c>
      <c r="E201" s="5" t="inlineStr">
        <is>
          <t>Costo fijo (S/)</t>
        </is>
      </c>
    </row>
    <row r="202">
      <c r="B202" s="59" t="n"/>
      <c r="C202" s="40" t="n"/>
      <c r="D202" s="40" t="n"/>
      <c r="E202" s="40" t="n"/>
      <c r="M202" s="41" t="inlineStr">
        <is>
          <t>💡 Columna B: escriba $C$193*0 %, *25 %, *50 %, *75 %, *100 % y *125 %  |  C = B × precio ponderado (precio A × % mezcla A + precio B × % mezcla B)  |  D = $C$183 + B × costo variable ponderado  |  E = $C$183 (constante)</t>
        </is>
      </c>
    </row>
    <row r="203">
      <c r="B203" s="59" t="n"/>
      <c r="C203" s="40" t="n"/>
      <c r="D203" s="40" t="n"/>
      <c r="E203" s="40" t="n"/>
    </row>
    <row r="204">
      <c r="B204" s="59" t="n"/>
      <c r="C204" s="40" t="n"/>
      <c r="D204" s="40" t="n"/>
      <c r="E204" s="40" t="n"/>
    </row>
    <row r="205">
      <c r="B205" s="59" t="n"/>
      <c r="C205" s="40" t="n"/>
      <c r="D205" s="40" t="n"/>
      <c r="E205" s="40" t="n"/>
    </row>
    <row r="206">
      <c r="B206" s="59" t="n"/>
      <c r="C206" s="40" t="n"/>
      <c r="D206" s="40" t="n"/>
      <c r="E206" s="40" t="n"/>
    </row>
    <row r="207">
      <c r="B207" s="59" t="n"/>
      <c r="C207" s="40" t="n"/>
      <c r="D207" s="40" t="n"/>
      <c r="E207" s="40" t="n"/>
    </row>
    <row r="211" ht="24" customHeight="1">
      <c r="A211" s="31" t="inlineStr">
        <is>
          <t>SEMANA 11 · SESIÓN 2 · Presupuesto de ventas en soles</t>
        </is>
      </c>
    </row>
    <row r="212">
      <c r="A212" s="32" t="inlineStr">
        <is>
          <t>🍦 Práctica con la empresa ejemplo · Tabla 13 · punto 4.4.1</t>
        </is>
      </c>
    </row>
    <row r="214" ht="84" customHeight="1">
      <c r="D214" s="12" t="inlineStr">
        <is>
          <t>Todo el informe va SIN IGV. El IGV aparece solo en su propia columna de la Tabla 13, nunca mezclado con las ventas.</t>
        </is>
      </c>
    </row>
    <row r="216" ht="20" customHeight="1">
      <c r="A216" s="73" t="inlineStr">
        <is>
          <t>🍦 HELADERÍA BRISA POLAR · empresa ejemplo del curso (practíquela usted)</t>
        </is>
      </c>
    </row>
    <row r="218">
      <c r="B218" s="34" t="inlineStr">
        <is>
          <t>📄 Va en el informe: Tabla 13 «C1 Presupuesto de ventas» (punto 4.4.1), columnas en soles. Las columnas de unidades ya las tienen de la semana 8.</t>
        </is>
      </c>
    </row>
    <row r="219" ht="26" customHeight="1">
      <c r="A219" s="35" t="inlineStr">
        <is>
          <t>📘</t>
        </is>
      </c>
      <c r="B219" s="14" t="inlineStr">
        <is>
          <t>Con el precio ya definido, HELADERÍA BRISA POLAR expresa su presupuesto de ventas de 2027 en soles. Las unidades por mes son las del presupuesto de ventas de la semana 8.</t>
        </is>
      </c>
    </row>
    <row r="221">
      <c r="B221" s="7" t="inlineStr">
        <is>
          <t>Precio sin IGV – producto A</t>
        </is>
      </c>
      <c r="C221" s="42">
        <f>$C$155</f>
        <v/>
      </c>
    </row>
    <row r="222">
      <c r="B222" s="7" t="inlineStr">
        <is>
          <t>Precio sin IGV – producto B</t>
        </is>
      </c>
      <c r="C222" s="42">
        <f>$D$155</f>
        <v/>
      </c>
    </row>
    <row r="224" ht="30" customHeight="1">
      <c r="B224" s="5" t="inlineStr">
        <is>
          <t>Mes</t>
        </is>
      </c>
      <c r="C224" s="5" t="inlineStr">
        <is>
          <t>A (unidades)</t>
        </is>
      </c>
      <c r="D224" s="5" t="inlineStr">
        <is>
          <t>B (unidades)</t>
        </is>
      </c>
      <c r="E224" s="5" t="inlineStr">
        <is>
          <t>Ventas A (S/)</t>
        </is>
      </c>
      <c r="F224" s="5" t="inlineStr">
        <is>
          <t>Ventas B (S/)</t>
        </is>
      </c>
      <c r="G224" s="5" t="inlineStr">
        <is>
          <t>Ventas SIN IGV (S/)</t>
        </is>
      </c>
      <c r="H224" s="5" t="inlineStr">
        <is>
          <t>IGV 18 % (S/)</t>
        </is>
      </c>
      <c r="I224" s="5" t="inlineStr">
        <is>
          <t>Ventas CON IGV (S/)</t>
        </is>
      </c>
    </row>
    <row r="225">
      <c r="B225" s="7" t="inlineStr">
        <is>
          <t>Ene-27</t>
        </is>
      </c>
      <c r="C225" s="37" t="n">
        <v>900</v>
      </c>
      <c r="D225" s="37" t="n">
        <v>3000</v>
      </c>
      <c r="E225" s="40" t="n"/>
      <c r="F225" s="40" t="n"/>
      <c r="G225" s="40" t="n"/>
      <c r="H225" s="40" t="n"/>
      <c r="I225" s="40" t="n"/>
      <c r="M225" s="41" t="inlineStr">
        <is>
          <t>💡 E=C225*$C$221  |  F=D225*$C$222  |  G=E225+F225  |  H=G225*18%  |  I=G225+H225</t>
        </is>
      </c>
    </row>
    <row r="226">
      <c r="B226" s="7" t="inlineStr">
        <is>
          <t>Feb-27</t>
        </is>
      </c>
      <c r="C226" s="37" t="n">
        <v>950</v>
      </c>
      <c r="D226" s="37" t="n">
        <v>3200</v>
      </c>
      <c r="E226" s="40" t="n"/>
      <c r="F226" s="40" t="n"/>
      <c r="G226" s="40" t="n"/>
      <c r="H226" s="40" t="n"/>
      <c r="I226" s="40" t="n"/>
    </row>
    <row r="227">
      <c r="B227" s="7" t="inlineStr">
        <is>
          <t>Mar-27</t>
        </is>
      </c>
      <c r="C227" s="37" t="n">
        <v>820</v>
      </c>
      <c r="D227" s="37" t="n">
        <v>2600</v>
      </c>
      <c r="E227" s="40" t="n"/>
      <c r="F227" s="40" t="n"/>
      <c r="G227" s="40" t="n"/>
      <c r="H227" s="40" t="n"/>
      <c r="I227" s="40" t="n"/>
    </row>
    <row r="228">
      <c r="B228" s="7" t="inlineStr">
        <is>
          <t>Abr-27</t>
        </is>
      </c>
      <c r="C228" s="37" t="n">
        <v>650</v>
      </c>
      <c r="D228" s="37" t="n">
        <v>1900</v>
      </c>
      <c r="E228" s="40" t="n"/>
      <c r="F228" s="40" t="n"/>
      <c r="G228" s="40" t="n"/>
      <c r="H228" s="40" t="n"/>
      <c r="I228" s="40" t="n"/>
    </row>
    <row r="229">
      <c r="B229" s="7" t="inlineStr">
        <is>
          <t>May-27</t>
        </is>
      </c>
      <c r="C229" s="37" t="n">
        <v>560</v>
      </c>
      <c r="D229" s="37" t="n">
        <v>1500</v>
      </c>
      <c r="E229" s="40" t="n"/>
      <c r="F229" s="40" t="n"/>
      <c r="G229" s="40" t="n"/>
      <c r="H229" s="40" t="n"/>
      <c r="I229" s="40" t="n"/>
    </row>
    <row r="230">
      <c r="B230" s="7" t="inlineStr">
        <is>
          <t>Jun-27</t>
        </is>
      </c>
      <c r="C230" s="37" t="n">
        <v>480</v>
      </c>
      <c r="D230" s="37" t="n">
        <v>1200</v>
      </c>
      <c r="E230" s="40" t="n"/>
      <c r="F230" s="40" t="n"/>
      <c r="G230" s="40" t="n"/>
      <c r="H230" s="40" t="n"/>
      <c r="I230" s="40" t="n"/>
    </row>
    <row r="231">
      <c r="B231" s="7" t="inlineStr">
        <is>
          <t>Jul-27</t>
        </is>
      </c>
      <c r="C231" s="37" t="n">
        <v>500</v>
      </c>
      <c r="D231" s="37" t="n">
        <v>1250</v>
      </c>
      <c r="E231" s="40" t="n"/>
      <c r="F231" s="40" t="n"/>
      <c r="G231" s="40" t="n"/>
      <c r="H231" s="40" t="n"/>
      <c r="I231" s="40" t="n"/>
    </row>
    <row r="232">
      <c r="B232" s="7" t="inlineStr">
        <is>
          <t>Ago-27</t>
        </is>
      </c>
      <c r="C232" s="37" t="n">
        <v>620</v>
      </c>
      <c r="D232" s="37" t="n">
        <v>1700</v>
      </c>
      <c r="E232" s="40" t="n"/>
      <c r="F232" s="40" t="n"/>
      <c r="G232" s="40" t="n"/>
      <c r="H232" s="40" t="n"/>
      <c r="I232" s="40" t="n"/>
    </row>
    <row r="233">
      <c r="B233" s="7" t="inlineStr">
        <is>
          <t>Sep-27</t>
        </is>
      </c>
      <c r="C233" s="37" t="n">
        <v>700</v>
      </c>
      <c r="D233" s="37" t="n">
        <v>2100</v>
      </c>
      <c r="E233" s="40" t="n"/>
      <c r="F233" s="40" t="n"/>
      <c r="G233" s="40" t="n"/>
      <c r="H233" s="40" t="n"/>
      <c r="I233" s="40" t="n"/>
    </row>
    <row r="234">
      <c r="B234" s="7" t="inlineStr">
        <is>
          <t>Oct-27</t>
        </is>
      </c>
      <c r="C234" s="37" t="n">
        <v>780</v>
      </c>
      <c r="D234" s="37" t="n">
        <v>2400</v>
      </c>
      <c r="E234" s="40" t="n"/>
      <c r="F234" s="40" t="n"/>
      <c r="G234" s="40" t="n"/>
      <c r="H234" s="40" t="n"/>
      <c r="I234" s="40" t="n"/>
    </row>
    <row r="235">
      <c r="B235" s="7" t="inlineStr">
        <is>
          <t>Nov-27</t>
        </is>
      </c>
      <c r="C235" s="37" t="n">
        <v>850</v>
      </c>
      <c r="D235" s="37" t="n">
        <v>2700</v>
      </c>
      <c r="E235" s="40" t="n"/>
      <c r="F235" s="40" t="n"/>
      <c r="G235" s="40" t="n"/>
      <c r="H235" s="40" t="n"/>
      <c r="I235" s="40" t="n"/>
    </row>
    <row r="236">
      <c r="B236" s="7" t="inlineStr">
        <is>
          <t>Dic-27</t>
        </is>
      </c>
      <c r="C236" s="37" t="n">
        <v>1000</v>
      </c>
      <c r="D236" s="37" t="n">
        <v>3300</v>
      </c>
      <c r="E236" s="40" t="n"/>
      <c r="F236" s="40" t="n"/>
      <c r="G236" s="40" t="n"/>
      <c r="H236" s="40" t="n"/>
      <c r="I236" s="40" t="n"/>
    </row>
    <row r="237">
      <c r="B237" s="6" t="inlineStr">
        <is>
          <t>TOTAL 2027</t>
        </is>
      </c>
      <c r="C237" s="58" t="n"/>
      <c r="D237" s="58" t="n"/>
      <c r="E237" s="48" t="n"/>
      <c r="F237" s="48" t="n"/>
      <c r="G237" s="48" t="n"/>
      <c r="H237" s="48" t="n"/>
      <c r="I237" s="48" t="n"/>
      <c r="M237" s="41" t="inlineStr">
        <is>
          <t>💡 =SUM(C225:C236)</t>
        </is>
      </c>
    </row>
    <row r="241" ht="24" customHeight="1">
      <c r="A241" s="31" t="inlineStr">
        <is>
          <t>SEMANA 12 · SESIÓN 1 · Índice costo-beneficio (ICB) de las acciones de marketing</t>
        </is>
      </c>
    </row>
    <row r="242">
      <c r="A242" s="32" t="inlineStr">
        <is>
          <t>🍦 Práctica con la empresa ejemplo · Tabla 12 · punto 4.3</t>
        </is>
      </c>
    </row>
    <row r="244" ht="84" customHeight="1">
      <c r="D244" s="12" t="inlineStr">
        <is>
          <t>El beneficio de una acción de marketing es el MARGEN de las unidades adicionales, no la venta. Esas unidades también consumen materia prima.</t>
        </is>
      </c>
    </row>
    <row r="246" ht="20" customHeight="1">
      <c r="A246" s="73" t="inlineStr">
        <is>
          <t>🍦 HELADERÍA BRISA POLAR · empresa ejemplo del curso (practíquela usted)</t>
        </is>
      </c>
    </row>
    <row r="248">
      <c r="B248" s="34" t="inlineStr">
        <is>
          <t>📄 Va en el informe: Tabla 12 «Índice costo-beneficio de las acciones de marketing» (punto 4.3).</t>
        </is>
      </c>
    </row>
    <row r="249" ht="39" customHeight="1">
      <c r="A249" s="35" t="inlineStr">
        <is>
          <t>📘</t>
        </is>
      </c>
      <c r="B249" s="14" t="inlineStr">
        <is>
          <t>HELADERÍA BRISA POLAR quiere saber si sus acciones de marketing se pagan solas. El beneficio de cada acción es el MARGEN DE CONTRIBUCIÓN de las unidades adicionales que vendió gracias a ella (dato estimado por la empresa).</t>
        </is>
      </c>
    </row>
    <row r="251">
      <c r="B251" s="7" t="inlineStr">
        <is>
          <t>Margen de contribución unitario – A</t>
        </is>
      </c>
      <c r="C251" s="57">
        <f>$C$159</f>
        <v/>
      </c>
    </row>
    <row r="252">
      <c r="B252" s="7" t="inlineStr">
        <is>
          <t>Margen de contribución unitario – B</t>
        </is>
      </c>
      <c r="C252" s="57">
        <f>$D$159</f>
        <v/>
      </c>
    </row>
    <row r="254" ht="30" customHeight="1">
      <c r="B254" s="5" t="inlineStr">
        <is>
          <t>Acción de marketing</t>
        </is>
      </c>
      <c r="C254" s="5" t="inlineStr">
        <is>
          <t>Costo anual (S/)</t>
        </is>
      </c>
      <c r="D254" s="5" t="inlineStr">
        <is>
          <t>Producto</t>
        </is>
      </c>
      <c r="E254" s="5" t="inlineStr">
        <is>
          <t>Unidades adicionales
al año</t>
        </is>
      </c>
      <c r="F254" s="5" t="inlineStr">
        <is>
          <t>Beneficio (S/)</t>
        </is>
      </c>
      <c r="G254" s="5" t="inlineStr">
        <is>
          <t>ICB</t>
        </is>
      </c>
      <c r="H254" s="5" t="inlineStr">
        <is>
          <t>Decisión</t>
        </is>
      </c>
    </row>
    <row r="255">
      <c r="B255" s="7" t="inlineStr">
        <is>
          <t>Publicidad pagada en Instagram y Facebook</t>
        </is>
      </c>
      <c r="C255" s="39" t="n">
        <v>3600</v>
      </c>
      <c r="D255" s="28" t="inlineStr">
        <is>
          <t>A</t>
        </is>
      </c>
      <c r="E255" s="37" t="n">
        <v>300</v>
      </c>
      <c r="F255" s="40" t="n"/>
      <c r="G255" s="60" t="n"/>
      <c r="H255" s="61" t="n"/>
      <c r="M255" s="41" t="inlineStr">
        <is>
          <t>💡 F=E255*IF(D255="A",$C$251,$C$252)  |  G=F255/C255  |  H=IF(G255&gt;=1,"Mantener","Revisar o eliminar")</t>
        </is>
      </c>
    </row>
    <row r="256">
      <c r="B256" s="7" t="inlineStr">
        <is>
          <t>Degustaciones en ferias gastronómicas</t>
        </is>
      </c>
      <c r="C256" s="39" t="n">
        <v>2400</v>
      </c>
      <c r="D256" s="28" t="inlineStr">
        <is>
          <t>B</t>
        </is>
      </c>
      <c r="E256" s="37" t="n">
        <v>1500</v>
      </c>
      <c r="F256" s="40" t="n"/>
      <c r="G256" s="60" t="n"/>
      <c r="H256" s="61" t="n"/>
    </row>
    <row r="257">
      <c r="B257" s="6" t="inlineStr">
        <is>
          <t>TOTAL</t>
        </is>
      </c>
      <c r="C257" s="48" t="n"/>
      <c r="F257" s="48" t="n"/>
      <c r="G257" s="62" t="n"/>
    </row>
    <row r="258">
      <c r="B258" s="50" t="inlineStr">
        <is>
          <t>📝 ICB = beneficio ÷ costo. Si es 1 o más, la acción recupera lo que cuesta. En el informe escriba qué acción conviene mantener, mejorar o eliminar.</t>
        </is>
      </c>
    </row>
    <row r="262" ht="24" customHeight="1">
      <c r="A262" s="31" t="inlineStr">
        <is>
          <t>SEMANA 12 · SESIÓN 2 · Estado de Resultados proyectado y capacidad financiera</t>
        </is>
      </c>
    </row>
    <row r="263">
      <c r="A263" s="32" t="inlineStr">
        <is>
          <t>🍦 Práctica con la empresa ejemplo · Tabla 17 · punto 4.4.3</t>
        </is>
      </c>
    </row>
    <row r="265" ht="84" customHeight="1">
      <c r="D265" s="12" t="inlineStr">
        <is>
          <t>Las ventas netas van sin IGV. El IGV no es ingreso de la empresa: se cobra para la SUNAT y se devuelve.</t>
        </is>
      </c>
    </row>
    <row r="267" ht="20" customHeight="1">
      <c r="A267" s="73" t="inlineStr">
        <is>
          <t>🍦 HELADERÍA BRISA POLAR · empresa ejemplo del curso (practíquela usted)</t>
        </is>
      </c>
    </row>
    <row r="269">
      <c r="B269" s="34" t="inlineStr">
        <is>
          <t>📄 Va en el informe: Tabla 17 «Estado de Resultados proyectado del primer año» (punto 4.4.3).</t>
        </is>
      </c>
    </row>
    <row r="270" ht="39" customHeight="1">
      <c r="A270" s="35" t="inlineStr">
        <is>
          <t>📘</t>
        </is>
      </c>
      <c r="B270" s="14" t="inlineStr">
        <is>
          <t>HELADERÍA BRISA POLAR proyecta su resultado de 2027 para saber si puede financiar la nueva línea con su propia utilidad. Está en el Régimen MYPE Tributario: 10 % sobre la utilidad hasta 15 UIT y 29.5 % sobre el exceso (UIT referencial 2026: S/ 5,500).</t>
        </is>
      </c>
    </row>
    <row r="272" ht="30" customHeight="1">
      <c r="B272" s="5" t="inlineStr">
        <is>
          <t>Dato</t>
        </is>
      </c>
      <c r="C272" s="5" t="inlineStr">
        <is>
          <t>Producto A</t>
        </is>
      </c>
      <c r="D272" s="5" t="inlineStr">
        <is>
          <t>Producto B</t>
        </is>
      </c>
    </row>
    <row r="273">
      <c r="B273" s="7" t="inlineStr">
        <is>
          <t>Unidades vendidas en el año</t>
        </is>
      </c>
      <c r="C273" s="63">
        <f>$C$187</f>
        <v/>
      </c>
      <c r="D273" s="63">
        <f>$C$188</f>
        <v/>
      </c>
    </row>
    <row r="274">
      <c r="B274" s="7" t="inlineStr">
        <is>
          <t>Precio sin IGV (S/)</t>
        </is>
      </c>
      <c r="C274" s="42">
        <f>$C$155</f>
        <v/>
      </c>
      <c r="D274" s="42">
        <f>$D$155</f>
        <v/>
      </c>
    </row>
    <row r="275">
      <c r="B275" s="7" t="inlineStr">
        <is>
          <t>Costo unitario total (S/)</t>
        </is>
      </c>
      <c r="C275" s="57">
        <f>$C$114</f>
        <v/>
      </c>
      <c r="D275" s="57">
        <f>$D$114</f>
        <v/>
      </c>
    </row>
    <row r="276">
      <c r="B276" s="7" t="inlineStr">
        <is>
          <t>Límite de 15 UIT (S/ 5,500 × 15)</t>
        </is>
      </c>
      <c r="C276" s="39" t="n">
        <v>82500</v>
      </c>
    </row>
    <row r="278" ht="30" customHeight="1">
      <c r="B278" s="5" t="inlineStr">
        <is>
          <t>Estado de Resultados 2027</t>
        </is>
      </c>
      <c r="C278" s="5" t="inlineStr">
        <is>
          <t>Monto (S/)</t>
        </is>
      </c>
    </row>
    <row r="279">
      <c r="B279" s="7" t="inlineStr">
        <is>
          <t>Ventas netas (sin IGV)</t>
        </is>
      </c>
      <c r="C279" s="40" t="n"/>
      <c r="M279" s="41" t="inlineStr">
        <is>
          <t>💡 =$C$273*$C$274+$D$273*$D$274</t>
        </is>
      </c>
    </row>
    <row r="280">
      <c r="B280" s="7" t="inlineStr">
        <is>
          <t>(−) Costo de ventas</t>
        </is>
      </c>
      <c r="C280" s="40" t="n"/>
      <c r="M280" s="41" t="inlineStr">
        <is>
          <t>💡 =$C$273*$C$275+$D$273*$D$275</t>
        </is>
      </c>
    </row>
    <row r="281">
      <c r="B281" s="6">
        <f> Utilidad bruta</f>
        <v/>
      </c>
      <c r="C281" s="48" t="n"/>
    </row>
    <row r="282">
      <c r="B282" s="7" t="inlineStr">
        <is>
          <t>(−) Gastos administrativos del año (× 12)</t>
        </is>
      </c>
      <c r="C282" s="40" t="n"/>
      <c r="M282" s="41" t="inlineStr">
        <is>
          <t>💡 =$C$125*12</t>
        </is>
      </c>
    </row>
    <row r="283">
      <c r="B283" s="7" t="inlineStr">
        <is>
          <t>(−) Gastos de ventas del año (× 12)</t>
        </is>
      </c>
      <c r="C283" s="40" t="n"/>
      <c r="M283" s="41" t="inlineStr">
        <is>
          <t>💡 =$C$126*12</t>
        </is>
      </c>
    </row>
    <row r="284">
      <c r="B284" s="6">
        <f> Utilidad operativa</f>
        <v/>
      </c>
      <c r="C284" s="48" t="n"/>
    </row>
    <row r="285">
      <c r="B285" s="7" t="inlineStr">
        <is>
          <t>(−) Gastos financieros (si hay préstamo; si no, 0)</t>
        </is>
      </c>
      <c r="C285" s="39" t="n">
        <v>0</v>
      </c>
    </row>
    <row r="286">
      <c r="B286" s="6">
        <f> Utilidad antes de impuestos</f>
        <v/>
      </c>
      <c r="C286" s="48" t="n"/>
    </row>
    <row r="287">
      <c r="B287" s="7" t="inlineStr">
        <is>
          <t>(−) Impuesto a la renta (Régimen MYPE: 10 % hasta 15 UIT y 29.5 % el exceso)</t>
        </is>
      </c>
      <c r="C287" s="40" t="n"/>
      <c r="M287" s="41" t="inlineStr">
        <is>
          <t>💡 =MIN(MAX($C$286,0),$C$276)*10%+MAX($C$286-$C$276,0)*29.5%</t>
        </is>
      </c>
    </row>
    <row r="288">
      <c r="B288" s="6" t="inlineStr">
        <is>
          <t>➡️ UTILIDAD NETA</t>
        </is>
      </c>
      <c r="C288" s="48" t="n"/>
    </row>
    <row r="289">
      <c r="B289" s="7" t="inlineStr">
        <is>
          <t>Margen neto (%)</t>
        </is>
      </c>
      <c r="C289" s="53" t="n"/>
    </row>
    <row r="291" ht="26" customHeight="1">
      <c r="A291" s="35" t="inlineStr">
        <is>
          <t>✍️</t>
        </is>
      </c>
      <c r="B291" s="14" t="inlineStr">
        <is>
          <t>Escriba en el informe: ¿puede la empresa financiar la nueva línea con su propia utilidad? ¿Por qué? (compare la inversión total de la Tabla 18 con esta utilidad neta).</t>
        </is>
      </c>
    </row>
    <row r="295" ht="24" customHeight="1">
      <c r="A295" s="31" t="inlineStr">
        <is>
          <t>SEMANA 13 · SESIÓN 1 · Presupuesto y punto de equilibrio de la nueva línea</t>
        </is>
      </c>
    </row>
    <row r="296">
      <c r="A296" s="32" t="inlineStr">
        <is>
          <t>🍦 Práctica con la empresa ejemplo · Tablas 18 y 19 · puntos 4.4.4 y 7.7</t>
        </is>
      </c>
    </row>
    <row r="298" ht="84" customHeight="1">
      <c r="D298" s="12" t="inlineStr">
        <is>
          <t>A la nueva línea solo se le cargan los costos fijos NUEVOS, los que aparecen porque la línea existe. No se le carga el alquiler de toda la empresa.</t>
        </is>
      </c>
    </row>
    <row r="300" ht="20" customHeight="1">
      <c r="A300" s="73" t="inlineStr">
        <is>
          <t>🍦 HELADERÍA BRISA POLAR · empresa ejemplo del curso (practíquela usted)</t>
        </is>
      </c>
    </row>
    <row r="302">
      <c r="B302" s="34" t="inlineStr">
        <is>
          <t>📄 Va en el informe: Tabla 18 «Presupuesto referencial de implementación de la nueva línea» (punto 4.4.4) y Tabla 19 «Punto de equilibrio de la nueva línea» (punto 7.7).</t>
        </is>
      </c>
    </row>
    <row r="303" ht="26" customHeight="1">
      <c r="A303" s="35" t="inlineStr">
        <is>
          <t>📘</t>
        </is>
      </c>
      <c r="B303" s="14" t="inlineStr">
        <is>
          <t>HELADERÍA BRISA POLAR evalúa lanzar la nueva línea «Helados para eventos con carrito heladero». Se cobrará S/ 650.00 por evento (CON IGV) y se espera atender 6 eventos al mes. Financiamiento: recursos propios.</t>
        </is>
      </c>
    </row>
    <row r="305">
      <c r="B305" s="13" t="inlineStr">
        <is>
          <t>TABLA 18 · Presupuesto referencial de implementación</t>
        </is>
      </c>
    </row>
    <row r="306" ht="30" customHeight="1">
      <c r="B306" s="5" t="inlineStr">
        <is>
          <t>Rubro</t>
        </is>
      </c>
      <c r="C306" s="5" t="inlineStr">
        <is>
          <t>Monto sin IGV (S/)</t>
        </is>
      </c>
    </row>
    <row r="307">
      <c r="B307" s="7" t="inlineStr">
        <is>
          <t>Activo fijo: carrito congelador</t>
        </is>
      </c>
      <c r="C307" s="39" t="n">
        <v>4500</v>
      </c>
    </row>
    <row r="308">
      <c r="B308" s="7" t="inlineStr">
        <is>
          <t>Activo fijo: toldo, menaje y letrero</t>
        </is>
      </c>
      <c r="C308" s="39" t="n">
        <v>800</v>
      </c>
    </row>
    <row r="309">
      <c r="B309" s="7" t="inlineStr">
        <is>
          <t>Activo intangible: diseño y branding</t>
        </is>
      </c>
      <c r="C309" s="39" t="n">
        <v>600</v>
      </c>
    </row>
    <row r="310">
      <c r="B310" s="7" t="inlineStr">
        <is>
          <t>Capital de trabajo del primer mes</t>
        </is>
      </c>
      <c r="C310" s="39" t="n">
        <v>1500</v>
      </c>
    </row>
    <row r="311">
      <c r="B311" s="6" t="inlineStr">
        <is>
          <t>➡️ INVERSIÓN TOTAL</t>
        </is>
      </c>
      <c r="C311" s="48" t="n"/>
      <c r="M311" s="41" t="inlineStr">
        <is>
          <t>💡 =SUM(C307:C310)</t>
        </is>
      </c>
    </row>
    <row r="312">
      <c r="B312" s="7" t="inlineStr">
        <is>
          <t>Aporte de los socios (recursos propios)</t>
        </is>
      </c>
      <c r="C312" s="40" t="n"/>
    </row>
    <row r="313">
      <c r="B313" s="7" t="inlineStr">
        <is>
          <t>Préstamo (entidad, tasa y plazo) — si no hay, escriba 0</t>
        </is>
      </c>
      <c r="C313" s="39" t="n">
        <v>0</v>
      </c>
    </row>
    <row r="314">
      <c r="B314" s="7" t="inlineStr">
        <is>
          <t>Utilidad neta proyectada del año (semana 12)</t>
        </is>
      </c>
      <c r="C314" s="42">
        <f>$C$288</f>
        <v/>
      </c>
    </row>
    <row r="315">
      <c r="B315" s="7" t="inlineStr">
        <is>
          <t>La inversión equivale a … de la utilidad neta del año</t>
        </is>
      </c>
      <c r="C315" s="53" t="n"/>
    </row>
    <row r="317">
      <c r="B317" s="13" t="inlineStr">
        <is>
          <t>TABLA 19 · Punto de equilibrio de la nueva línea</t>
        </is>
      </c>
    </row>
    <row r="318" ht="30" customHeight="1">
      <c r="B318" s="5" t="inlineStr">
        <is>
          <t>Costo VARIABLE por evento</t>
        </is>
      </c>
      <c r="C318" s="5" t="inlineStr">
        <is>
          <t>S/</t>
        </is>
      </c>
    </row>
    <row r="319">
      <c r="B319" s="7" t="inlineStr">
        <is>
          <t>Helado (10 potes de 1 L a costo de MPD)</t>
        </is>
      </c>
      <c r="C319" s="39" t="n">
        <v>63.25</v>
      </c>
    </row>
    <row r="320">
      <c r="B320" s="7" t="inlineStr">
        <is>
          <t>Conos, cucharitas y servilletas</t>
        </is>
      </c>
      <c r="C320" s="39" t="n">
        <v>50</v>
      </c>
    </row>
    <row r="321">
      <c r="B321" s="7" t="inlineStr">
        <is>
          <t>Movilidad al evento</t>
        </is>
      </c>
      <c r="C321" s="39" t="n">
        <v>60</v>
      </c>
    </row>
    <row r="322" ht="30" customHeight="1">
      <c r="B322" s="5" t="inlineStr">
        <is>
          <t>Costo FIJO mensual de la nueva línea</t>
        </is>
      </c>
      <c r="C322" s="5" t="inlineStr">
        <is>
          <t>S/</t>
        </is>
      </c>
    </row>
    <row r="323">
      <c r="B323" s="7" t="inlineStr">
        <is>
          <t>Heladero de apoyo a tiempo parcial</t>
        </is>
      </c>
      <c r="C323" s="39" t="n">
        <v>700</v>
      </c>
    </row>
    <row r="324">
      <c r="B324" s="7" t="inlineStr">
        <is>
          <t>Depreciación del carrito</t>
        </is>
      </c>
      <c r="C324" s="39" t="n">
        <v>75</v>
      </c>
    </row>
    <row r="325">
      <c r="B325" s="7" t="inlineStr">
        <is>
          <t>Publicidad del servicio</t>
        </is>
      </c>
      <c r="C325" s="39" t="n">
        <v>150</v>
      </c>
    </row>
    <row r="327" ht="30" customHeight="1">
      <c r="B327" s="5" t="inlineStr">
        <is>
          <t>Concepto</t>
        </is>
      </c>
      <c r="C327" s="5" t="inlineStr">
        <is>
          <t>Valor</t>
        </is>
      </c>
    </row>
    <row r="328">
      <c r="B328" s="7" t="inlineStr">
        <is>
          <t>Precio de venta sin IGV (S/)</t>
        </is>
      </c>
      <c r="C328" s="40" t="n"/>
      <c r="M328" s="41" t="inlineStr">
        <is>
          <t>💡 =650/1.18</t>
        </is>
      </c>
    </row>
    <row r="329">
      <c r="B329" s="7" t="inlineStr">
        <is>
          <t>Costo variable unitario (S/)</t>
        </is>
      </c>
      <c r="C329" s="40" t="n"/>
      <c r="M329" s="41" t="inlineStr">
        <is>
          <t>💡 =SUM(C319:C321)</t>
        </is>
      </c>
    </row>
    <row r="330">
      <c r="B330" s="6" t="inlineStr">
        <is>
          <t>➡️ Margen de contribución unitario (S/)</t>
        </is>
      </c>
      <c r="C330" s="48" t="n"/>
    </row>
    <row r="331">
      <c r="B331" s="7" t="inlineStr">
        <is>
          <t>Costos fijos mensuales de la nueva línea (S/)</t>
        </is>
      </c>
      <c r="C331" s="40" t="n"/>
      <c r="M331" s="41" t="inlineStr">
        <is>
          <t>💡 =SUM(C323:C325)</t>
        </is>
      </c>
    </row>
    <row r="332">
      <c r="B332" s="6" t="inlineStr">
        <is>
          <t>➡️ Punto de equilibrio mensual (eventos)</t>
        </is>
      </c>
      <c r="C332" s="58" t="n"/>
      <c r="M332" s="41" t="inlineStr">
        <is>
          <t>💡 =ROUNDUP($C$331/$C$330,0)</t>
        </is>
      </c>
    </row>
    <row r="333">
      <c r="B333" s="7" t="inlineStr">
        <is>
          <t>Punto de equilibrio mensual (S/)</t>
        </is>
      </c>
      <c r="C333" s="40" t="n"/>
    </row>
    <row r="334">
      <c r="B334" s="7" t="inlineStr">
        <is>
          <t>Demanda esperada por mes (eventos)</t>
        </is>
      </c>
      <c r="C334" s="37" t="n">
        <v>6</v>
      </c>
    </row>
    <row r="335">
      <c r="B335" s="6" t="inlineStr">
        <is>
          <t>¿Supera el punto de equilibrio? (sí / no)</t>
        </is>
      </c>
      <c r="C335" s="64" t="n"/>
    </row>
    <row r="336">
      <c r="B336" s="7" t="inlineStr">
        <is>
          <t>Margen de seguridad de la nueva línea (%)</t>
        </is>
      </c>
      <c r="C336" s="53" t="n"/>
    </row>
    <row r="340" ht="24" customHeight="1">
      <c r="A340" s="31" t="inlineStr">
        <is>
          <t>SEMANA 13 · SESIÓN 2 · Repaso integral: tablero de control del informe</t>
        </is>
      </c>
    </row>
    <row r="341">
      <c r="A341" s="32" t="inlineStr">
        <is>
          <t>🍦 Práctica con la empresa ejemplo · Revisión de las Tablas 1 a 19</t>
        </is>
      </c>
    </row>
    <row r="343" ht="84" customHeight="1">
      <c r="D343" s="12" t="inlineStr">
        <is>
          <t>Antes de entregar, compruebe que la utilidad por margen de contribución y la del Estado de Resultados dan casi lo mismo. Si no, hay un error atrás.</t>
        </is>
      </c>
    </row>
    <row r="345" ht="20" customHeight="1">
      <c r="A345" s="73" t="inlineStr">
        <is>
          <t>🍦 HELADERÍA BRISA POLAR · empresa ejemplo del curso (practíquela usted)</t>
        </is>
      </c>
    </row>
    <row r="347">
      <c r="B347" s="34" t="inlineStr">
        <is>
          <t>📄 No es una tabla nueva: es el TABLERO DE CONTROL para revisar que las Tablas 1 a 19 del informe estén coherentes antes de entregar.</t>
        </is>
      </c>
    </row>
    <row r="348" ht="26" customHeight="1">
      <c r="A348" s="35" t="inlineStr">
        <is>
          <t>📘</t>
        </is>
      </c>
      <c r="B348" s="14" t="inlineStr">
        <is>
          <t>Copie aquí los resultados finales y compruebe las tres reglas de cierre. Si alguna no cuadra, hay un error en una sesión anterior.</t>
        </is>
      </c>
    </row>
    <row r="350" ht="30" customHeight="1">
      <c r="B350" s="5" t="inlineStr">
        <is>
          <t>Comprobación de cierre</t>
        </is>
      </c>
      <c r="C350" s="5" t="inlineStr">
        <is>
          <t>Valor</t>
        </is>
      </c>
      <c r="D350" s="5" t="inlineStr">
        <is>
          <t>¿Cuadra?</t>
        </is>
      </c>
    </row>
    <row r="351">
      <c r="B351" s="7" t="inlineStr">
        <is>
          <t>1) Utilidad operativa del mes por margen de contribución</t>
        </is>
      </c>
      <c r="C351" s="40" t="n"/>
      <c r="D351" s="61" t="n"/>
      <c r="M351" s="41" t="inlineStr">
        <is>
          <t>💡 =($C$159*$C$93+$D$159*$C$94)-$C$183</t>
        </is>
      </c>
    </row>
    <row r="352">
      <c r="B352" s="7" t="inlineStr">
        <is>
          <t>2) Utilidad operativa del mes según el Estado de Resultados (÷ 12)</t>
        </is>
      </c>
      <c r="C352" s="40" t="n"/>
      <c r="D352" s="61" t="n"/>
    </row>
    <row r="353">
      <c r="B353" s="7" t="inlineStr">
        <is>
          <t>3) Diferencia entre 1 y 2 (debe ser pequeña)</t>
        </is>
      </c>
      <c r="C353" s="40" t="n"/>
      <c r="M353" s="41" t="inlineStr">
        <is>
          <t>💡 =$C$351-$C$352</t>
        </is>
      </c>
    </row>
    <row r="354">
      <c r="B354" s="7" t="inlineStr">
        <is>
          <t>4) ¿El % de la Tabla 2 suma 100 %?</t>
        </is>
      </c>
      <c r="C354" s="61" t="n"/>
    </row>
    <row r="355">
      <c r="B355" s="7" t="inlineStr">
        <is>
          <t>5) ¿El CIF asignado de la Tabla 8 suma el total CIF de la Tabla 7?</t>
        </is>
      </c>
      <c r="C355" s="61" t="n"/>
    </row>
    <row r="356">
      <c r="B356" s="7" t="inlineStr">
        <is>
          <t>6) ¿La inversión de la Tabla 18 es menor que la utilidad neta de la Tabla 17?</t>
        </is>
      </c>
      <c r="C356" s="61" t="n"/>
    </row>
    <row r="357">
      <c r="B357" s="7" t="inlineStr">
        <is>
          <t>7) ¿Todas las cifras del informe están SIN IGV?</t>
        </is>
      </c>
      <c r="C357" s="61" t="n"/>
    </row>
    <row r="361" ht="24" customHeight="1">
      <c r="A361" s="31" t="inlineStr">
        <is>
          <t>SEMANA 14 · SESIÓN 1 · Utilidad objetivo y sensibilidad del precio</t>
        </is>
      </c>
    </row>
    <row r="362">
      <c r="A362" s="32" t="inlineStr">
        <is>
          <t>🍦 Práctica con la empresa ejemplo · Refuerzo (no va en el informe)</t>
        </is>
      </c>
    </row>
    <row r="364" ht="84" customHeight="1">
      <c r="D364" s="12" t="inlineStr">
        <is>
          <t>La utilidad que quiere ganar se SUMA a los costos fijos, nunca al margen. Luego se divide entre el margen ponderado.</t>
        </is>
      </c>
    </row>
    <row r="366" ht="20" customHeight="1">
      <c r="A366" s="73" t="inlineStr">
        <is>
          <t>🍦 HELADERÍA BRISA POLAR · empresa ejemplo del curso (practíquela usted)</t>
        </is>
      </c>
    </row>
    <row r="368">
      <c r="B368" s="34" t="inlineStr">
        <is>
          <t>📄 No va en el informe. Es práctica de refuerzo para el examen.</t>
        </is>
      </c>
    </row>
    <row r="369" ht="39" customHeight="1">
      <c r="A369" s="35" t="inlineStr">
        <is>
          <t>📘</t>
        </is>
      </c>
      <c r="B369" s="14" t="inlineStr">
        <is>
          <t>El dueño de HELADERÍA BRISA POLAR quiere ganar S/ 4,000 de utilidad operativa AL MES. Además evalúa subir el precio del producto A de S/ 28.00 a S/ 30.00 (con IGV), manteniendo la misma mezcla de ventas. Se pide comparar los dos escenarios.</t>
        </is>
      </c>
    </row>
    <row r="371" ht="30" customHeight="1">
      <c r="B371" s="5" t="inlineStr">
        <is>
          <t>Concepto</t>
        </is>
      </c>
      <c r="C371" s="5" t="inlineStr">
        <is>
          <t>Precio A = S/ 28.00</t>
        </is>
      </c>
      <c r="D371" s="5" t="inlineStr">
        <is>
          <t>Precio A = S/ 30.00</t>
        </is>
      </c>
    </row>
    <row r="372">
      <c r="B372" s="7" t="inlineStr">
        <is>
          <t>Precio sin IGV del producto A (S/)</t>
        </is>
      </c>
      <c r="C372" s="42">
        <f>$C$155</f>
        <v/>
      </c>
      <c r="D372" s="40" t="n"/>
    </row>
    <row r="373">
      <c r="B373" s="7" t="inlineStr">
        <is>
          <t>Margen de contribución unitario de A (S/)</t>
        </is>
      </c>
      <c r="C373" s="57">
        <f>$C$159</f>
        <v/>
      </c>
      <c r="D373" s="44" t="n"/>
    </row>
    <row r="374">
      <c r="B374" s="7" t="inlineStr">
        <is>
          <t>Margen de contribución ponderado (S/)</t>
        </is>
      </c>
      <c r="C374" s="57">
        <f>$F$189</f>
        <v/>
      </c>
      <c r="D374" s="44" t="n"/>
    </row>
    <row r="375">
      <c r="B375" s="7" t="inlineStr">
        <is>
          <t>Costos fijos del mes (S/)</t>
        </is>
      </c>
      <c r="C375" s="42">
        <f>$C$183</f>
        <v/>
      </c>
      <c r="D375" s="42">
        <f>$C$183</f>
        <v/>
      </c>
    </row>
    <row r="376">
      <c r="B376" s="6" t="inlineStr">
        <is>
          <t>Punto de equilibrio (unidades al mes)</t>
        </is>
      </c>
      <c r="C376" s="58" t="n"/>
      <c r="D376" s="58" t="n"/>
    </row>
    <row r="377">
      <c r="B377" s="6" t="inlineStr">
        <is>
          <t>Unidades al mes para ganar S/ 4,000</t>
        </is>
      </c>
      <c r="C377" s="58" t="n"/>
      <c r="D377" s="58" t="n"/>
      <c r="M377" s="41" t="inlineStr">
        <is>
          <t>💡 =ROUNDUP((costos fijos + utilidad objetivo) / margen ponderado, 0)</t>
        </is>
      </c>
    </row>
    <row r="378">
      <c r="B378" s="7" t="inlineStr">
        <is>
          <t>¿Conviene subir el precio? Comente en dos líneas.</t>
        </is>
      </c>
      <c r="C378" s="61" t="n"/>
    </row>
    <row r="382" ht="24" customHeight="1">
      <c r="A382" s="31" t="inlineStr">
        <is>
          <t>SEMANA 14 · SESIÓN 2 · Simulador presupuestario por escenarios</t>
        </is>
      </c>
    </row>
    <row r="383">
      <c r="A383" s="32" t="inlineStr">
        <is>
          <t>🍦 Práctica con la empresa ejemplo · Anexo A.1</t>
        </is>
      </c>
    </row>
    <row r="385" ht="84" customHeight="1">
      <c r="D385" s="12" t="inlineStr">
        <is>
          <t>El simulador se mueve con fórmulas, no a mano. Cambie un supuesto y vea cómo se mueve toda la utilidad del mes.</t>
        </is>
      </c>
    </row>
    <row r="387" ht="20" customHeight="1">
      <c r="A387" s="73" t="inlineStr">
        <is>
          <t>🍦 HELADERÍA BRISA POLAR · empresa ejemplo del curso (practíquela usted)</t>
        </is>
      </c>
    </row>
    <row r="389">
      <c r="B389" s="34" t="inlineStr">
        <is>
          <t>📄 Va en el Anexo A.1 del informe (archivo Excel con fórmulas activas).</t>
        </is>
      </c>
    </row>
    <row r="390" ht="26" customHeight="1">
      <c r="A390" s="35" t="inlineStr">
        <is>
          <t>📘</t>
        </is>
      </c>
      <c r="B390" s="14" t="inlineStr">
        <is>
          <t>Simulador del resultado mensual. Cambie los supuestos (celdas amarillas de variación) y todo se recalcula. Sirve para la conclusión del capítulo 4.</t>
        </is>
      </c>
    </row>
    <row r="392" ht="30" customHeight="1">
      <c r="B392" s="5" t="inlineStr">
        <is>
          <t>Dato base del mes</t>
        </is>
      </c>
      <c r="C392" s="5" t="inlineStr">
        <is>
          <t>Producto A</t>
        </is>
      </c>
      <c r="D392" s="5" t="inlineStr">
        <is>
          <t>Producto B</t>
        </is>
      </c>
    </row>
    <row r="393">
      <c r="B393" s="7" t="inlineStr">
        <is>
          <t>Ventas mensuales (unidades)</t>
        </is>
      </c>
      <c r="C393" s="65">
        <f>$C$93</f>
        <v/>
      </c>
      <c r="D393" s="65">
        <f>$C$94</f>
        <v/>
      </c>
    </row>
    <row r="394">
      <c r="B394" s="7" t="inlineStr">
        <is>
          <t>Precio sin IGV (S/)</t>
        </is>
      </c>
      <c r="C394" s="42">
        <f>$C$155</f>
        <v/>
      </c>
      <c r="D394" s="42">
        <f>$D$155</f>
        <v/>
      </c>
    </row>
    <row r="395">
      <c r="B395" s="7" t="inlineStr">
        <is>
          <t>Costo variable unitario (S/)</t>
        </is>
      </c>
      <c r="C395" s="57">
        <f>$C$158</f>
        <v/>
      </c>
      <c r="D395" s="57">
        <f>$D$158</f>
        <v/>
      </c>
    </row>
    <row r="396">
      <c r="B396" s="7" t="inlineStr">
        <is>
          <t>Costos fijos del mes (S/)</t>
        </is>
      </c>
      <c r="C396" s="42">
        <f>$C$183</f>
        <v/>
      </c>
    </row>
    <row r="398" ht="30" customHeight="1">
      <c r="B398" s="5" t="inlineStr">
        <is>
          <t>Supuesto (variación)</t>
        </is>
      </c>
      <c r="C398" s="5" t="inlineStr">
        <is>
          <t>Pesimista</t>
        </is>
      </c>
      <c r="D398" s="5" t="inlineStr">
        <is>
          <t>Conservador</t>
        </is>
      </c>
      <c r="E398" s="5" t="inlineStr">
        <is>
          <t>Optimista</t>
        </is>
      </c>
    </row>
    <row r="399">
      <c r="B399" s="7" t="inlineStr">
        <is>
          <t>Volumen de ventas</t>
        </is>
      </c>
      <c r="C399" s="53" t="n">
        <v>-0.15</v>
      </c>
      <c r="D399" s="53" t="n">
        <v>0</v>
      </c>
      <c r="E399" s="53" t="n">
        <v>0.1</v>
      </c>
    </row>
    <row r="400">
      <c r="B400" s="7" t="inlineStr">
        <is>
          <t>Precio de venta</t>
        </is>
      </c>
      <c r="C400" s="53" t="n">
        <v>0</v>
      </c>
      <c r="D400" s="53" t="n">
        <v>0</v>
      </c>
      <c r="E400" s="53" t="n">
        <v>0.05</v>
      </c>
    </row>
    <row r="401">
      <c r="B401" s="7" t="inlineStr">
        <is>
          <t>Costo variable unitario</t>
        </is>
      </c>
      <c r="C401" s="53" t="n">
        <v>0.08</v>
      </c>
      <c r="D401" s="53" t="n">
        <v>0</v>
      </c>
      <c r="E401" s="53" t="n">
        <v>0</v>
      </c>
    </row>
    <row r="402">
      <c r="B402" s="7" t="inlineStr">
        <is>
          <t>Costos fijos</t>
        </is>
      </c>
      <c r="C402" s="53" t="n">
        <v>0.05</v>
      </c>
      <c r="D402" s="53" t="n">
        <v>0</v>
      </c>
      <c r="E402" s="53" t="n">
        <v>0</v>
      </c>
    </row>
    <row r="404" ht="30" customHeight="1">
      <c r="B404" s="5" t="inlineStr">
        <is>
          <t>Resultado del mes (S/)</t>
        </is>
      </c>
      <c r="C404" s="5" t="inlineStr">
        <is>
          <t>Pesimista</t>
        </is>
      </c>
      <c r="D404" s="5" t="inlineStr">
        <is>
          <t>Conservador</t>
        </is>
      </c>
      <c r="E404" s="5" t="inlineStr">
        <is>
          <t>Optimista</t>
        </is>
      </c>
    </row>
    <row r="405">
      <c r="B405" s="7" t="inlineStr">
        <is>
          <t>Ventas</t>
        </is>
      </c>
      <c r="C405" s="40" t="n"/>
      <c r="D405" s="40" t="n"/>
      <c r="E405" s="40" t="n"/>
    </row>
    <row r="406">
      <c r="B406" s="7" t="inlineStr">
        <is>
          <t>(−) Costos variables</t>
        </is>
      </c>
      <c r="C406" s="40" t="n"/>
      <c r="D406" s="40" t="n"/>
      <c r="E406" s="40" t="n"/>
    </row>
    <row r="407">
      <c r="B407" s="6">
        <f> Margen de contribución</f>
        <v/>
      </c>
      <c r="C407" s="48" t="n"/>
      <c r="D407" s="48" t="n"/>
      <c r="E407" s="48" t="n"/>
    </row>
    <row r="408">
      <c r="B408" s="7" t="inlineStr">
        <is>
          <t>(−) Costos fijos</t>
        </is>
      </c>
      <c r="C408" s="40" t="n"/>
      <c r="D408" s="40" t="n"/>
      <c r="E408" s="40" t="n"/>
    </row>
    <row r="409">
      <c r="B409" s="6">
        <f> UTILIDAD OPERATIVA DEL MES</f>
        <v/>
      </c>
      <c r="C409" s="48" t="n"/>
      <c r="D409" s="48" t="n"/>
      <c r="E409" s="48" t="n"/>
    </row>
    <row r="410">
      <c r="B410" s="7" t="inlineStr">
        <is>
          <t>¿Qué escenario preocupa y por qué?</t>
        </is>
      </c>
      <c r="C410" s="61" t="n"/>
    </row>
    <row r="414" ht="24" customHeight="1">
      <c r="A414" s="31" t="inlineStr">
        <is>
          <t>SEMANA 15 · SESIÓN 1 · Direccionamiento de CIF: primario, secundario y final</t>
        </is>
      </c>
    </row>
    <row r="415">
      <c r="A415" s="32" t="inlineStr">
        <is>
          <t>🍦 Práctica con la empresa ejemplo · Refuerzo del sílabo</t>
        </is>
      </c>
    </row>
    <row r="417" ht="84" customHeight="1">
      <c r="D417" s="12" t="inlineStr">
        <is>
          <t>Al final del reparto, ningún sol puede quedarse en un departamento de servicio. Todo el CIF termina en los departamentos de producción y de ahí en los productos.</t>
        </is>
      </c>
    </row>
    <row r="419" ht="20" customHeight="1">
      <c r="A419" s="73" t="inlineStr">
        <is>
          <t>🍦 HELADERÍA BRISA POLAR · empresa ejemplo del curso (practíquela usted)</t>
        </is>
      </c>
    </row>
    <row r="421">
      <c r="B421" s="34" t="inlineStr">
        <is>
          <t>📄 No va en el informe. Refuerzo del sílabo: así se reparten los CIF en una empresa con varios departamentos.</t>
        </is>
      </c>
    </row>
    <row r="422" ht="39" customHeight="1">
      <c r="A422" s="35" t="inlineStr">
        <is>
          <t>📘</t>
        </is>
      </c>
      <c r="B422" s="14" t="inlineStr">
        <is>
          <t>En HELADERÍA BRISA POLAR los CIF se reparten en tres pasos: PRIMARIO (de cada costo a cada departamento), SECUNDARIO (de los departamentos de servicio a los de producción) y FINAL (de los departamentos de producción a cada producto).</t>
        </is>
      </c>
    </row>
    <row r="424">
      <c r="B424" s="13" t="inlineStr">
        <is>
          <t>PASO 1 · Direccionamiento PRIMARIO (% de reparto dado por la empresa)</t>
        </is>
      </c>
    </row>
    <row r="425" ht="30" customHeight="1">
      <c r="B425" s="5" t="inlineStr">
        <is>
          <t>Costo indirecto</t>
        </is>
      </c>
      <c r="C425" s="5" t="inlineStr">
        <is>
          <t>Monto (S/)</t>
        </is>
      </c>
      <c r="D425" s="5" t="inlineStr">
        <is>
          <t>% Mezclado y pasteurizado</t>
        </is>
      </c>
      <c r="E425" s="5" t="inlineStr">
        <is>
          <t>% Moldeado y congelado</t>
        </is>
      </c>
      <c r="F425" s="5" t="inlineStr">
        <is>
          <t>% Mantenimiento</t>
        </is>
      </c>
      <c r="G425" s="5" t="inlineStr">
        <is>
          <t>% Almacén</t>
        </is>
      </c>
      <c r="H425" s="5" t="inlineStr">
        <is>
          <t>S/ Mezclado y pasteurizado</t>
        </is>
      </c>
      <c r="I425" s="5" t="inlineStr">
        <is>
          <t>S/ Moldeado y congelado</t>
        </is>
      </c>
      <c r="J425" s="5" t="inlineStr">
        <is>
          <t>S/ Mantenimiento</t>
        </is>
      </c>
      <c r="K425" s="5" t="inlineStr">
        <is>
          <t>S/ Almacén</t>
        </is>
      </c>
    </row>
    <row r="426">
      <c r="B426" s="7" t="inlineStr">
        <is>
          <t>Alquiler de la zona de producción (por m²)</t>
        </is>
      </c>
      <c r="C426" s="39" t="n">
        <v>1200</v>
      </c>
      <c r="D426" s="66" t="n">
        <v>0.4</v>
      </c>
      <c r="E426" s="66" t="n">
        <v>0.35</v>
      </c>
      <c r="F426" s="66" t="n">
        <v>0.1</v>
      </c>
      <c r="G426" s="66" t="n">
        <v>0.15</v>
      </c>
      <c r="H426" s="40" t="n"/>
      <c r="I426" s="40" t="n"/>
      <c r="J426" s="40" t="n"/>
      <c r="K426" s="40" t="n"/>
      <c r="M426" s="41" t="inlineStr">
        <is>
          <t>💡 = monto × % → =$C426*D426</t>
        </is>
      </c>
    </row>
    <row r="427">
      <c r="B427" s="7" t="inlineStr">
        <is>
          <t>Luz y agua de la planta (por kWh)</t>
        </is>
      </c>
      <c r="C427" s="39" t="n">
        <v>520</v>
      </c>
      <c r="D427" s="66" t="n">
        <v>0.45</v>
      </c>
      <c r="E427" s="66" t="n">
        <v>0.35</v>
      </c>
      <c r="F427" s="66" t="n">
        <v>0.12</v>
      </c>
      <c r="G427" s="66" t="n">
        <v>0.08</v>
      </c>
      <c r="H427" s="40" t="n"/>
      <c r="I427" s="40" t="n"/>
      <c r="J427" s="40" t="n"/>
      <c r="K427" s="40" t="n"/>
    </row>
    <row r="428">
      <c r="B428" s="7" t="inlineStr">
        <is>
          <t>Depreciación de equipos (por valor del equipo)</t>
        </is>
      </c>
      <c r="C428" s="39" t="n">
        <v>400</v>
      </c>
      <c r="D428" s="66" t="n">
        <v>0.55</v>
      </c>
      <c r="E428" s="66" t="n">
        <v>0.35</v>
      </c>
      <c r="F428" s="66" t="n">
        <v>0.05</v>
      </c>
      <c r="G428" s="66" t="n">
        <v>0.05</v>
      </c>
      <c r="H428" s="40" t="n"/>
      <c r="I428" s="40" t="n"/>
      <c r="J428" s="40" t="n"/>
      <c r="K428" s="40" t="n"/>
    </row>
    <row r="429">
      <c r="B429" s="7" t="inlineStr">
        <is>
          <t>Mano de obra indirecta y mantenimiento</t>
        </is>
      </c>
      <c r="C429" s="39" t="n">
        <v>1528.51</v>
      </c>
      <c r="D429" s="66" t="n">
        <v>0.3</v>
      </c>
      <c r="E429" s="66" t="n">
        <v>0.3</v>
      </c>
      <c r="F429" s="66" t="n">
        <v>0.25</v>
      </c>
      <c r="G429" s="66" t="n">
        <v>0.15</v>
      </c>
      <c r="H429" s="40" t="n"/>
      <c r="I429" s="40" t="n"/>
      <c r="J429" s="40" t="n"/>
      <c r="K429" s="40" t="n"/>
    </row>
    <row r="430">
      <c r="B430" s="6" t="inlineStr">
        <is>
          <t>TOTAL por departamento</t>
        </is>
      </c>
      <c r="H430" s="48" t="n"/>
      <c r="I430" s="48" t="n"/>
      <c r="J430" s="48" t="n"/>
      <c r="K430" s="48" t="n"/>
    </row>
    <row r="432">
      <c r="B432" s="13" t="inlineStr">
        <is>
          <t>PASO 2 · Direccionamiento SECUNDARIO (los departamentos de servicio se reparten)</t>
        </is>
      </c>
    </row>
    <row r="433" ht="30" customHeight="1">
      <c r="B433" s="5" t="inlineStr">
        <is>
          <t>Departamento de servicio</t>
        </is>
      </c>
      <c r="C433" s="5" t="inlineStr">
        <is>
          <t>Base de reparto</t>
        </is>
      </c>
      <c r="D433" s="5" t="inlineStr">
        <is>
          <t>% Mezclado y pasteurizado</t>
        </is>
      </c>
      <c r="E433" s="5" t="inlineStr">
        <is>
          <t>% Moldeado y congelado</t>
        </is>
      </c>
      <c r="F433" s="5" t="inlineStr">
        <is>
          <t>S/ Mezclado y pasteurizado</t>
        </is>
      </c>
      <c r="G433" s="5" t="inlineStr">
        <is>
          <t>S/ Moldeado y congelado</t>
        </is>
      </c>
    </row>
    <row r="434">
      <c r="B434" s="7" t="inlineStr">
        <is>
          <t>Mantenimiento</t>
        </is>
      </c>
      <c r="C434" s="67" t="inlineStr">
        <is>
          <t>horas de mantenimiento</t>
        </is>
      </c>
      <c r="D434" s="66" t="n">
        <v>0.55</v>
      </c>
      <c r="E434" s="66" t="n">
        <v>0.45</v>
      </c>
      <c r="F434" s="40" t="n"/>
      <c r="G434" s="40" t="n"/>
    </row>
    <row r="435">
      <c r="B435" s="7" t="inlineStr">
        <is>
          <t>Almacén</t>
        </is>
      </c>
      <c r="C435" s="67" t="inlineStr">
        <is>
          <t>número de pedidos atendidos</t>
        </is>
      </c>
      <c r="D435" s="66" t="n">
        <v>0.5</v>
      </c>
      <c r="E435" s="66" t="n">
        <v>0.5</v>
      </c>
      <c r="F435" s="40" t="n"/>
      <c r="G435" s="40" t="n"/>
    </row>
    <row r="436">
      <c r="B436" s="6" t="inlineStr">
        <is>
          <t>➡️ CIF TOTAL de cada departamento de producción</t>
        </is>
      </c>
      <c r="F436" s="48" t="n"/>
      <c r="G436" s="48" t="n"/>
      <c r="M436" s="41" t="inlineStr">
        <is>
          <t>💡 = total primario del departamento + lo que recibe de los departamentos de servicio</t>
        </is>
      </c>
    </row>
    <row r="438">
      <c r="B438" s="13" t="inlineStr">
        <is>
          <t>PASO 3 · Direccionamiento FINAL (a cada producto, por minutos de MOD)</t>
        </is>
      </c>
    </row>
    <row r="439" ht="30" customHeight="1">
      <c r="B439" s="5" t="inlineStr">
        <is>
          <t>Producto</t>
        </is>
      </c>
      <c r="C439" s="5" t="inlineStr">
        <is>
          <t>Minutos de MOD del mes</t>
        </is>
      </c>
      <c r="D439" s="5" t="inlineStr">
        <is>
          <t>% de participación</t>
        </is>
      </c>
      <c r="E439" s="5" t="inlineStr">
        <is>
          <t>CIF asignado (S/)</t>
        </is>
      </c>
      <c r="F439" s="5" t="inlineStr">
        <is>
          <t>CIF por unidad (S/)</t>
        </is>
      </c>
    </row>
    <row r="440">
      <c r="B440" s="7" t="inlineStr">
        <is>
          <t>A: Pote de helado de vainilla de 1 L</t>
        </is>
      </c>
      <c r="C440" s="52" t="n"/>
      <c r="D440" s="53" t="n"/>
      <c r="E440" s="40" t="n"/>
      <c r="F440" s="40" t="n"/>
    </row>
    <row r="441">
      <c r="B441" s="7" t="inlineStr">
        <is>
          <t>B: Paleta de fresa con leche</t>
        </is>
      </c>
      <c r="C441" s="52" t="n"/>
      <c r="D441" s="53" t="n"/>
      <c r="E441" s="40" t="n"/>
      <c r="F441" s="40" t="n"/>
    </row>
    <row r="445" ht="24" customHeight="1">
      <c r="A445" s="31" t="inlineStr">
        <is>
          <t>SEMANA 15 · SESIÓN 2 · Tasa predeterminada de CIF y sobre o subaplicación</t>
        </is>
      </c>
    </row>
    <row r="446">
      <c r="A446" s="32" t="inlineStr">
        <is>
          <t>🍦 Práctica con la empresa ejemplo · Refuerzo del sílabo</t>
        </is>
      </c>
    </row>
    <row r="448" ht="84" customHeight="1">
      <c r="D448" s="12" t="inlineStr">
        <is>
          <t>La tasa predeterminada se calcula con los datos PRESUPUESTADOS, no con los reales. Se usa durante el año, cuando todavía no se conocen los reales.</t>
        </is>
      </c>
    </row>
    <row r="450" ht="20" customHeight="1">
      <c r="A450" s="73" t="inlineStr">
        <is>
          <t>🍦 HELADERÍA BRISA POLAR · empresa ejemplo del curso (practíquela usted)</t>
        </is>
      </c>
    </row>
    <row r="452">
      <c r="B452" s="34" t="inlineStr">
        <is>
          <t>📄 No va en el informe. Refuerzo del sílabo.</t>
        </is>
      </c>
    </row>
    <row r="453" ht="39" customHeight="1">
      <c r="A453" s="35" t="inlineStr">
        <is>
          <t>📘</t>
        </is>
      </c>
      <c r="B453" s="14" t="inlineStr">
        <is>
          <t>HELADERÍA BRISA POLAR presupuestó para el año CIF por S/ 46,731 y 2,100 horas de mano de obra directa. Al cierre, los CIF reales fueron S/ 48,200 y se trabajaron 2,180 horas. Además entró el Pedido N.° 77: 1,200 potes de 1 L para una cadena de cafeterías, que usó 320.0 horas de MOD.</t>
        </is>
      </c>
    </row>
    <row r="455" ht="30" customHeight="1">
      <c r="B455" s="5" t="inlineStr">
        <is>
          <t>Concepto</t>
        </is>
      </c>
      <c r="C455" s="5" t="inlineStr">
        <is>
          <t>Valor</t>
        </is>
      </c>
    </row>
    <row r="456">
      <c r="B456" s="7" t="inlineStr">
        <is>
          <t>CIF presupuestados del año (S/)</t>
        </is>
      </c>
      <c r="C456" s="39" t="n">
        <v>46731</v>
      </c>
    </row>
    <row r="457">
      <c r="B457" s="7" t="inlineStr">
        <is>
          <t>Horas de MOD presupuestadas</t>
        </is>
      </c>
      <c r="C457" s="51" t="n">
        <v>2100</v>
      </c>
    </row>
    <row r="458">
      <c r="B458" s="7" t="inlineStr">
        <is>
          <t>CIF reales del año (S/)</t>
        </is>
      </c>
      <c r="C458" s="39" t="n">
        <v>48200</v>
      </c>
    </row>
    <row r="459">
      <c r="B459" s="7" t="inlineStr">
        <is>
          <t>Horas de MOD reales</t>
        </is>
      </c>
      <c r="C459" s="51" t="n">
        <v>2180</v>
      </c>
    </row>
    <row r="460">
      <c r="B460" s="6" t="inlineStr">
        <is>
          <t>➡️ TASA PREDETERMINADA (S/ por hora de MOD)</t>
        </is>
      </c>
      <c r="C460" s="48" t="n"/>
      <c r="M460" s="41" t="inlineStr">
        <is>
          <t>💡 = CIF presupuestados ÷ horas presupuestadas</t>
        </is>
      </c>
    </row>
    <row r="461">
      <c r="B461" s="7" t="inlineStr">
        <is>
          <t>CIF aplicados (horas reales × tasa)</t>
        </is>
      </c>
      <c r="C461" s="40" t="n"/>
    </row>
    <row r="462">
      <c r="B462" s="7" t="inlineStr">
        <is>
          <t>Diferencia (aplicados − reales)</t>
        </is>
      </c>
      <c r="C462" s="40" t="n"/>
    </row>
    <row r="463">
      <c r="B463" s="6" t="inlineStr">
        <is>
          <t>Resultado: ¿sobreaplicación o subaplicación?</t>
        </is>
      </c>
      <c r="C463" s="64" t="n"/>
    </row>
    <row r="465" ht="30" customHeight="1">
      <c r="B465" s="5" t="inlineStr">
        <is>
          <t>Pedido N.° 77: 1,200 potes de 1 L para una cadena de cafeterías</t>
        </is>
      </c>
      <c r="C465" s="5" t="inlineStr">
        <is>
          <t>S/</t>
        </is>
      </c>
    </row>
    <row r="466">
      <c r="B466" s="7" t="inlineStr">
        <is>
          <t>Materia prima directa</t>
        </is>
      </c>
      <c r="C466" s="40" t="n"/>
      <c r="M466" s="41" t="inlineStr">
        <is>
          <t>💡 =$C$111*1200</t>
        </is>
      </c>
    </row>
    <row r="467">
      <c r="B467" s="7" t="inlineStr">
        <is>
          <t>Mano de obra directa</t>
        </is>
      </c>
      <c r="C467" s="40" t="n"/>
      <c r="M467" s="41" t="inlineStr">
        <is>
          <t>💡 =$F$56*1200</t>
        </is>
      </c>
    </row>
    <row r="468">
      <c r="B468" s="7" t="inlineStr">
        <is>
          <t>CIF aplicados (320.0 h × tasa)</t>
        </is>
      </c>
      <c r="C468" s="40" t="n"/>
    </row>
    <row r="469">
      <c r="B469" s="6" t="inlineStr">
        <is>
          <t>➡️ COSTO TOTAL DE LA ORDEN</t>
        </is>
      </c>
      <c r="C469" s="48" t="n"/>
    </row>
    <row r="470">
      <c r="B470" s="7" t="inlineStr">
        <is>
          <t>Costo por unidad (1,200 unidades)</t>
        </is>
      </c>
      <c r="C470" s="44" t="n"/>
    </row>
    <row r="474" ht="24" customHeight="1">
      <c r="A474" s="31" t="inlineStr">
        <is>
          <t>SEMANA 16 · SESIÓN 1 · Costo meta de la nueva línea</t>
        </is>
      </c>
    </row>
    <row r="475">
      <c r="A475" s="32" t="inlineStr">
        <is>
          <t>🍦 Práctica con la empresa ejemplo · Refuerzo del sílabo</t>
        </is>
      </c>
    </row>
    <row r="477" ht="84" customHeight="1">
      <c r="D477" s="12" t="inlineStr">
        <is>
          <t>El costo meta va al revés de lo normal: parte del precio que el mercado acepta y de ahí baja al costo máximo permitido.</t>
        </is>
      </c>
    </row>
    <row r="479" ht="20" customHeight="1">
      <c r="A479" s="73" t="inlineStr">
        <is>
          <t>🍦 HELADERÍA BRISA POLAR · empresa ejemplo del curso (practíquela usted)</t>
        </is>
      </c>
    </row>
    <row r="481">
      <c r="B481" s="34" t="inlineStr">
        <is>
          <t>📄 No va en el informe, pero sirve para justificar el precio de la nueva línea (punto 7.7).</t>
        </is>
      </c>
    </row>
    <row r="482" ht="39" customHeight="1">
      <c r="A482" s="35" t="inlineStr">
        <is>
          <t>📘</t>
        </is>
      </c>
      <c r="B482" s="14" t="inlineStr">
        <is>
          <t>La nueva línea de HELADERÍA BRISA POLAR («Helados para eventos con carrito heladero») se vende en el mercado a S/ 600.00 CON IGV y la empresa quiere ganar 30% del precio sin IGV. Se pide el costo meta, la brecha frente al costo actual y si las mejoras propuestas alcanzan para llegar.</t>
        </is>
      </c>
    </row>
    <row r="484" ht="30" customHeight="1">
      <c r="B484" s="5" t="inlineStr">
        <is>
          <t>Concepto</t>
        </is>
      </c>
      <c r="C484" s="5" t="inlineStr">
        <is>
          <t>S/</t>
        </is>
      </c>
    </row>
    <row r="485">
      <c r="B485" s="7" t="inlineStr">
        <is>
          <t>Precio de mercado CON IGV</t>
        </is>
      </c>
      <c r="C485" s="39" t="n">
        <v>600</v>
      </c>
    </row>
    <row r="486">
      <c r="B486" s="7" t="inlineStr">
        <is>
          <t>Precio meta SIN IGV</t>
        </is>
      </c>
      <c r="C486" s="40" t="n"/>
      <c r="M486" s="41" t="inlineStr">
        <is>
          <t>💡 =600/1.18</t>
        </is>
      </c>
    </row>
    <row r="487">
      <c r="B487" s="7" t="inlineStr">
        <is>
          <t>Utilidad deseada (30% del precio sin IGV)</t>
        </is>
      </c>
      <c r="C487" s="40" t="n"/>
    </row>
    <row r="488">
      <c r="B488" s="6" t="inlineStr">
        <is>
          <t>➡️ COSTO META (lo máximo que puede costar)</t>
        </is>
      </c>
      <c r="C488" s="48" t="n"/>
    </row>
    <row r="490" ht="30" customHeight="1">
      <c r="B490" s="5" t="inlineStr">
        <is>
          <t>Costo actual estimado</t>
        </is>
      </c>
      <c r="C490" s="5" t="inlineStr">
        <is>
          <t>S/</t>
        </is>
      </c>
    </row>
    <row r="491">
      <c r="B491" s="7" t="inlineStr">
        <is>
          <t>Costo variable por evento (sesión de la nueva línea)</t>
        </is>
      </c>
      <c r="C491" s="39" t="n">
        <v>173.25</v>
      </c>
    </row>
    <row r="492">
      <c r="B492" s="7" t="inlineStr">
        <is>
          <t>Costo fijo asignado por evento (S/ 925 ÷ 6 eventos)</t>
        </is>
      </c>
      <c r="C492" s="39" t="n">
        <v>154.17</v>
      </c>
    </row>
    <row r="493">
      <c r="B493" s="6" t="inlineStr">
        <is>
          <t>Costo actual total</t>
        </is>
      </c>
      <c r="C493" s="48" t="n"/>
      <c r="M493" s="41" t="inlineStr">
        <is>
          <t>💡 =SUM(C491:C492)</t>
        </is>
      </c>
    </row>
    <row r="494">
      <c r="B494" s="6" t="inlineStr">
        <is>
          <t>BRECHA a reducir (costo actual − costo meta)</t>
        </is>
      </c>
      <c r="C494" s="48" t="n"/>
    </row>
    <row r="496" ht="30" customHeight="1">
      <c r="B496" s="5" t="inlineStr">
        <is>
          <t>Mejora propuesta</t>
        </is>
      </c>
      <c r="C496" s="5" t="inlineStr">
        <is>
          <t>Ahorro por unidad (S/)</t>
        </is>
      </c>
    </row>
    <row r="497">
      <c r="B497" s="7" t="inlineStr">
        <is>
          <t>Comprar conos y cucharitas por volumen</t>
        </is>
      </c>
      <c r="C497" s="39" t="n">
        <v>12</v>
      </c>
    </row>
    <row r="498">
      <c r="B498" s="7" t="inlineStr">
        <is>
          <t>Atender 8 eventos al mes en lugar de 6</t>
        </is>
      </c>
      <c r="C498" s="39" t="n">
        <v>38.54</v>
      </c>
    </row>
    <row r="499">
      <c r="B499" s="7" t="inlineStr">
        <is>
          <t>Optimizar la ruta de movilidad</t>
        </is>
      </c>
      <c r="C499" s="39" t="n">
        <v>15</v>
      </c>
    </row>
    <row r="500">
      <c r="B500" s="6" t="inlineStr">
        <is>
          <t>Ahorro total</t>
        </is>
      </c>
      <c r="C500" s="48" t="n"/>
      <c r="M500" s="41" t="inlineStr">
        <is>
          <t>💡 =SUM(C497:C499)</t>
        </is>
      </c>
    </row>
    <row r="501">
      <c r="B501" s="6" t="inlineStr">
        <is>
          <t>Nuevo costo por unidad</t>
        </is>
      </c>
      <c r="C501" s="48" t="n"/>
    </row>
    <row r="502">
      <c r="B502" s="6" t="inlineStr">
        <is>
          <t>¿Se alcanza el costo meta? (sí / no)</t>
        </is>
      </c>
      <c r="C502" s="64" t="n"/>
    </row>
    <row r="506" ht="24" customHeight="1">
      <c r="A506" s="31" t="inlineStr">
        <is>
          <t>SEMANA 16 · SESIÓN 2 · Decisiones de corto plazo: pedido especial y hacer o comprar</t>
        </is>
      </c>
    </row>
    <row r="507">
      <c r="A507" s="32" t="inlineStr">
        <is>
          <t>🍦 Práctica con la empresa ejemplo · Refuerzo del sílabo</t>
        </is>
      </c>
    </row>
    <row r="509" ht="84" customHeight="1">
      <c r="D509" s="12" t="inlineStr">
        <is>
          <t>Para decidir un pedido especial no sirve el costo unitario total. Solo importan los costos que CAMBIAN con la decisión.</t>
        </is>
      </c>
    </row>
    <row r="511" ht="20" customHeight="1">
      <c r="A511" s="73" t="inlineStr">
        <is>
          <t>🍦 HELADERÍA BRISA POLAR · empresa ejemplo del curso (practíquela usted)</t>
        </is>
      </c>
    </row>
    <row r="513">
      <c r="B513" s="34" t="inlineStr">
        <is>
          <t>📄 No va en el informe. Refuerzo del sílabo: decisiones de corto plazo.</t>
        </is>
      </c>
    </row>
    <row r="514">
      <c r="B514" s="13" t="inlineStr">
        <is>
          <t>PARTE 1 · Pedido especial</t>
        </is>
      </c>
    </row>
    <row r="515" ht="39" customHeight="1">
      <c r="A515" s="35" t="inlineStr">
        <is>
          <t>📘</t>
        </is>
      </c>
      <c r="B515" s="14" t="inlineStr">
        <is>
          <t>Una cadena de cafeterías pide 1,200 potes de 1 L a S/ 18.00 por pote (sin IGV). El precio normal sin IGV es S/ 23.73. Hay capacidad ociosa y los costos fijos no cambian. El pote lleva la etiqueta del cliente: S/ 0.60 más por pote.</t>
        </is>
      </c>
    </row>
    <row r="517" ht="30" customHeight="1">
      <c r="B517" s="5" t="inlineStr">
        <is>
          <t>Pedido especial</t>
        </is>
      </c>
      <c r="C517" s="5" t="inlineStr">
        <is>
          <t>S/</t>
        </is>
      </c>
    </row>
    <row r="518">
      <c r="B518" s="7" t="inlineStr">
        <is>
          <t>Precio ofrecido por unidad</t>
        </is>
      </c>
      <c r="C518" s="39" t="n">
        <v>18</v>
      </c>
    </row>
    <row r="519">
      <c r="B519" s="7" t="inlineStr">
        <is>
          <t>Costo variable unitario normal (semana 10)</t>
        </is>
      </c>
      <c r="C519" s="57">
        <f>$C$158</f>
        <v/>
      </c>
    </row>
    <row r="520">
      <c r="B520" s="7" t="inlineStr">
        <is>
          <t>Costo adicional del pedido (personalización)</t>
        </is>
      </c>
      <c r="C520" s="39" t="n">
        <v>0.6</v>
      </c>
    </row>
    <row r="521">
      <c r="B521" s="6" t="inlineStr">
        <is>
          <t>Costo variable del pedido por unidad</t>
        </is>
      </c>
      <c r="C521" s="48" t="n"/>
    </row>
    <row r="522">
      <c r="B522" s="6" t="inlineStr">
        <is>
          <t>➡️ Margen de contribución por unidad</t>
        </is>
      </c>
      <c r="C522" s="48" t="n"/>
    </row>
    <row r="523">
      <c r="B523" s="6" t="inlineStr">
        <is>
          <t>Ganancia adicional del pedido (1,200 unidades)</t>
        </is>
      </c>
      <c r="C523" s="48" t="n"/>
    </row>
    <row r="524">
      <c r="B524" s="6" t="inlineStr">
        <is>
          <t>Decisión: ¿acepta o rechaza? ¿Por qué?</t>
        </is>
      </c>
      <c r="C524" s="64" t="n"/>
    </row>
    <row r="525">
      <c r="B525" s="50" t="inlineStr">
        <is>
          <t>⚠️ OJO: el costo unitario TOTAL no sirve para decidir un pedido especial. Solo importan los costos que cambian (los variables), porque los fijos se pagan igual.</t>
        </is>
      </c>
    </row>
    <row r="527">
      <c r="B527" s="13" t="inlineStr">
        <is>
          <t>PARTE 2 · Hacer o comprar</t>
        </is>
      </c>
    </row>
    <row r="528" ht="39" customHeight="1">
      <c r="A528" s="35" t="inlineStr">
        <is>
          <t>📘</t>
        </is>
      </c>
      <c r="B528" s="14" t="inlineStr">
        <is>
          <t>La heladería usa 30,000 potes plásticos al año y los compra a S/ 0.85 cada uno (sin IGV). Si los termoforma en su taller: material S/ 0.38, MOD adicional S/ 0.18, CIF variable S/ 0.07 y CIF fijo asignado S/ 0.22 (este último se paga igual, los haga o no).</t>
        </is>
      </c>
    </row>
    <row r="530" ht="30" customHeight="1">
      <c r="B530" s="5" t="inlineStr">
        <is>
          <t>Hacer o comprar (por pote plástico)</t>
        </is>
      </c>
      <c r="C530" s="5" t="inlineStr">
        <is>
          <t>S/</t>
        </is>
      </c>
      <c r="D530" s="5" t="inlineStr">
        <is>
          <t>¿Es relevante?</t>
        </is>
      </c>
    </row>
    <row r="531">
      <c r="B531" s="7" t="inlineStr">
        <is>
          <t>Material</t>
        </is>
      </c>
      <c r="C531" s="39" t="n">
        <v>0.38</v>
      </c>
      <c r="D531" s="28" t="inlineStr">
        <is>
          <t>Sí</t>
        </is>
      </c>
    </row>
    <row r="532">
      <c r="B532" s="7" t="inlineStr">
        <is>
          <t>Mano de obra directa adicional</t>
        </is>
      </c>
      <c r="C532" s="39" t="n">
        <v>0.18</v>
      </c>
      <c r="D532" s="28" t="inlineStr">
        <is>
          <t>Sí</t>
        </is>
      </c>
    </row>
    <row r="533">
      <c r="B533" s="7" t="inlineStr">
        <is>
          <t>CIF variable</t>
        </is>
      </c>
      <c r="C533" s="39" t="n">
        <v>0.07000000000000001</v>
      </c>
      <c r="D533" s="28" t="inlineStr">
        <is>
          <t>Sí</t>
        </is>
      </c>
    </row>
    <row r="534">
      <c r="B534" s="7" t="inlineStr">
        <is>
          <t>CIF fijo asignado (se paga igual)</t>
        </is>
      </c>
      <c r="C534" s="39" t="n">
        <v>0.22</v>
      </c>
      <c r="D534" s="28" t="inlineStr">
        <is>
          <t>No</t>
        </is>
      </c>
    </row>
    <row r="535">
      <c r="B535" s="6" t="inlineStr">
        <is>
          <t>Costo RELEVANTE de hacer (sin el CIF fijo)</t>
        </is>
      </c>
      <c r="C535" s="48" t="n"/>
    </row>
    <row r="536">
      <c r="B536" s="7" t="inlineStr">
        <is>
          <t>Costo de comprar</t>
        </is>
      </c>
      <c r="C536" s="56" t="n">
        <v>0.85</v>
      </c>
    </row>
    <row r="537">
      <c r="B537" s="6" t="inlineStr">
        <is>
          <t>Ahorro anual si se hace (30,000 unidades)</t>
        </is>
      </c>
      <c r="C537" s="48" t="n"/>
    </row>
    <row r="538">
      <c r="B538" s="6" t="inlineStr">
        <is>
          <t>Decisión: ¿hacer o comprar?</t>
        </is>
      </c>
      <c r="C538" s="64" t="n"/>
    </row>
  </sheetData>
  <mergeCells count="99">
    <mergeCell ref="D18:G18"/>
    <mergeCell ref="K14:N14"/>
    <mergeCell ref="D8:G8"/>
    <mergeCell ref="A73:K73"/>
    <mergeCell ref="H17:J17"/>
    <mergeCell ref="H11:J11"/>
    <mergeCell ref="A241:K241"/>
    <mergeCell ref="H22:J22"/>
    <mergeCell ref="H19:J19"/>
    <mergeCell ref="D20:G20"/>
    <mergeCell ref="A172:K172"/>
    <mergeCell ref="A99:K99"/>
    <mergeCell ref="K24:N24"/>
    <mergeCell ref="D22:G22"/>
    <mergeCell ref="A267:K267"/>
    <mergeCell ref="D448:J448"/>
    <mergeCell ref="D509:J509"/>
    <mergeCell ref="D21:G21"/>
    <mergeCell ref="D13:G13"/>
    <mergeCell ref="A262:K262"/>
    <mergeCell ref="D244:J244"/>
    <mergeCell ref="D298:J298"/>
    <mergeCell ref="A506:K506"/>
    <mergeCell ref="H21:J21"/>
    <mergeCell ref="A167:K167"/>
    <mergeCell ref="D24:G24"/>
    <mergeCell ref="A216:K216"/>
    <mergeCell ref="A387:K387"/>
    <mergeCell ref="D265:J265"/>
    <mergeCell ref="H16:J16"/>
    <mergeCell ref="K13:N13"/>
    <mergeCell ref="D19:G19"/>
    <mergeCell ref="K15:N15"/>
    <mergeCell ref="A366:K366"/>
    <mergeCell ref="D364:J364"/>
    <mergeCell ref="K21:N21"/>
    <mergeCell ref="D170:J170"/>
    <mergeCell ref="D11:G11"/>
    <mergeCell ref="A414:K414"/>
    <mergeCell ref="A479:K479"/>
    <mergeCell ref="H20:J20"/>
    <mergeCell ref="A361:K361"/>
    <mergeCell ref="D214:J214"/>
    <mergeCell ref="A68:K68"/>
    <mergeCell ref="D146:J146"/>
    <mergeCell ref="A295:K295"/>
    <mergeCell ref="D9:G9"/>
    <mergeCell ref="D102:J102"/>
    <mergeCell ref="A143:K143"/>
    <mergeCell ref="K17:N17"/>
    <mergeCell ref="D15:G15"/>
    <mergeCell ref="A36:K36"/>
    <mergeCell ref="A300:K300"/>
    <mergeCell ref="K10:N10"/>
    <mergeCell ref="K19:N19"/>
    <mergeCell ref="D343:J343"/>
    <mergeCell ref="D417:J417"/>
    <mergeCell ref="H13:J13"/>
    <mergeCell ref="A345:K345"/>
    <mergeCell ref="A246:K246"/>
    <mergeCell ref="D10:G10"/>
    <mergeCell ref="K9:N9"/>
    <mergeCell ref="H15:J15"/>
    <mergeCell ref="H24:J24"/>
    <mergeCell ref="H18:J18"/>
    <mergeCell ref="A104:K104"/>
    <mergeCell ref="K11:N11"/>
    <mergeCell ref="H8:J8"/>
    <mergeCell ref="H10:J10"/>
    <mergeCell ref="D17:G17"/>
    <mergeCell ref="A445:K445"/>
    <mergeCell ref="K8:N8"/>
    <mergeCell ref="H9:J9"/>
    <mergeCell ref="A211:K211"/>
    <mergeCell ref="A382:K382"/>
    <mergeCell ref="D71:J71"/>
    <mergeCell ref="K23:N23"/>
    <mergeCell ref="D12:G12"/>
    <mergeCell ref="A148:K148"/>
    <mergeCell ref="A340:K340"/>
    <mergeCell ref="A511:K511"/>
    <mergeCell ref="D14:G14"/>
    <mergeCell ref="D23:G23"/>
    <mergeCell ref="K18:N18"/>
    <mergeCell ref="K16:N16"/>
    <mergeCell ref="D34:J34"/>
    <mergeCell ref="H12:J12"/>
    <mergeCell ref="A419:K419"/>
    <mergeCell ref="A474:K474"/>
    <mergeCell ref="H14:J14"/>
    <mergeCell ref="D385:J385"/>
    <mergeCell ref="H23:J23"/>
    <mergeCell ref="K20:N20"/>
    <mergeCell ref="K22:N22"/>
    <mergeCell ref="D16:G16"/>
    <mergeCell ref="D477:J477"/>
    <mergeCell ref="K12:N12"/>
    <mergeCell ref="A450:K450"/>
    <mergeCell ref="A31:K31"/>
  </mergeCells>
  <dataValidations count="3">
    <dataValidation sqref="D46:D50" showDropDown="0" showInputMessage="0" showErrorMessage="0" allowBlank="1" type="list">
      <formula1>"MOD,MOI (va a CIF),Gasto de ventas,Gasto administrativo"</formula1>
    </dataValidation>
    <dataValidation sqref="D80:D85" showDropDown="0" showInputMessage="0" showErrorMessage="0" allowBlank="1" type="list">
      <formula1>"Fijo,Variable"</formula1>
    </dataValidation>
    <dataValidation sqref="D118:D124" showDropDown="0" showInputMessage="0" showErrorMessage="0" allowBlank="1" type="list">
      <formula1>"Gasto administrativo,Gasto de ventas"</formula1>
    </dataValidation>
  </dataValidation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2B2B2E"/>
    <outlinePr summaryBelow="1" summaryRight="1"/>
    <pageSetUpPr fitToPage="1"/>
  </sheetPr>
  <dimension ref="A1:I42"/>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50" customWidth="1" min="3" max="3"/>
    <col width="9" customWidth="1" min="4" max="4"/>
    <col width="62" customWidth="1" min="5" max="5"/>
    <col width="62" customWidth="1" min="6" max="6"/>
    <col width="46" customWidth="1" min="7" max="7"/>
    <col width="56" customWidth="1" min="8" max="8"/>
    <col width="15" customWidth="1" min="9" max="9"/>
  </cols>
  <sheetData>
    <row r="1">
      <c r="A1" s="1" t="inlineStr">
        <is>
          <t>📄 QUÉ TABLA VA EN CADA PUNTO DEL INFORME EN WORD</t>
        </is>
      </c>
    </row>
    <row r="2">
      <c r="A2" s="2" t="inlineStr">
        <is>
          <t>Proyecto Final · Capítulo 4 «Análisis de costos y capacidad financiera» y punto 7.7</t>
        </is>
      </c>
    </row>
    <row r="3">
      <c r="A3" s="2" t="inlineStr">
        <is>
          <t>Copie las columnas EXACTAMENTE en el orden indicado. No cambie los nombres de las tablas.</t>
        </is>
      </c>
    </row>
    <row r="5">
      <c r="A5" s="30" t="inlineStr">
        <is>
          <t>👉 Lea así cada fila: el número de tabla del Word, su título exacto, el punto donde va, las columnas que debe tener, las filas, de qué semana sale el dato y el párrafo que hay que escribir debajo.</t>
        </is>
      </c>
    </row>
    <row r="8" ht="30" customHeight="1">
      <c r="B8" s="5" t="inlineStr">
        <is>
          <t>N.° de tabla
en el Word</t>
        </is>
      </c>
      <c r="C8" s="5" t="inlineStr">
        <is>
          <t>Título exacto de la tabla</t>
        </is>
      </c>
      <c r="D8" s="5" t="inlineStr">
        <is>
          <t>Punto</t>
        </is>
      </c>
      <c r="E8" s="5" t="inlineStr">
        <is>
          <t>Columnas que debe tener (en este orden)</t>
        </is>
      </c>
      <c r="F8" s="5" t="inlineStr">
        <is>
          <t>Filas que debe tener</t>
        </is>
      </c>
      <c r="G8" s="5" t="inlineStr">
        <is>
          <t>De dónde sale el dato</t>
        </is>
      </c>
      <c r="H8" s="5" t="inlineStr">
        <is>
          <t>Párrafo que debe escribir debajo</t>
        </is>
      </c>
      <c r="I8" s="5" t="inlineStr">
        <is>
          <t>Semana</t>
        </is>
      </c>
    </row>
    <row r="9" ht="66" customHeight="1">
      <c r="B9" s="74" t="inlineStr">
        <is>
          <t>Tabla 1</t>
        </is>
      </c>
      <c r="C9" s="6" t="inlineStr">
        <is>
          <t>Clasificación de costos y gastos del mes</t>
        </is>
      </c>
      <c r="D9" s="28" t="inlineStr">
        <is>
          <t>4.1</t>
        </is>
      </c>
      <c r="E9" s="71" t="inlineStr">
        <is>
          <t>Concepto  |  Monto sin IGV (S/)  |  ¿Costo o gasto?  |  Elemento  |  Fijo o variable  |  Directo o indirecto</t>
        </is>
      </c>
      <c r="F9" s="70" t="inlineStr">
        <is>
          <t>Una fila por cada concepto del mes: materia prima directa, materia prima indirecta, MOD, MOI, alquiler de planta, servicios de planta, depreciación, otros CIF, personal administrativo, limpieza del local, contador, internet, personal de ventas, empaques de despacho, alquiler del punto de venta y publicidad.</t>
        </is>
      </c>
      <c r="G9" s="75" t="inlineStr">
        <is>
          <t>Hoja 2 · SEMANA 10, sesión 1 → Tabla 1 «Clasificación de los gastos operativos del mes», más las líneas de CIF de la SEMANA 9, sesión 2.</t>
        </is>
      </c>
      <c r="H9" s="70" t="inlineStr">
        <is>
          <t>Diga qué separó como costo y qué como gasto, y por qué. Ejemplo obligatorio: la limpieza del LOCAL es gasto administrativo; la limpieza de la PLANTA es CIF.</t>
        </is>
      </c>
      <c r="I9" s="76" t="inlineStr">
        <is>
          <t>Semana 10</t>
        </is>
      </c>
    </row>
    <row r="10" ht="58" customHeight="1">
      <c r="B10" s="74" t="inlineStr">
        <is>
          <t>Tabla 2</t>
        </is>
      </c>
      <c r="C10" s="6" t="inlineStr">
        <is>
          <t>Estructura de costos y gastos del mes</t>
        </is>
      </c>
      <c r="D10" s="28" t="inlineStr">
        <is>
          <t>4.1</t>
        </is>
      </c>
      <c r="E10" s="71" t="inlineStr">
        <is>
          <t>Elemento  |  Fijo (S/)  |  Variable (S/)  |  Total (S/)  |  % del total</t>
        </is>
      </c>
      <c r="F10" s="70" t="inlineStr">
        <is>
          <t>Materia prima directa · Mano de obra directa · Costos indirectos de fabricación · = Costo de producción o del servicio · Gastos administrativos · Gastos de ventas · = Gastos operativos · = COSTO TOTAL DEL MES (el % debe sumar 100 %).</t>
        </is>
      </c>
      <c r="G10" s="75" t="inlineStr">
        <is>
          <t>Hoja 2 · SEMANA 10, sesión 1 → Tabla 2 «Estructura de costos y gastos del mes». Cópiela tal cual.</t>
        </is>
      </c>
      <c r="H10" s="70" t="inlineStr">
        <is>
          <t>¿Qué elemento pesa más? ¿Predominan los costos fijos o los variables? Añada la nota de la MOD de planilla que no se aplica a A y B (capacidad no utilizada).</t>
        </is>
      </c>
      <c r="I10" s="76" t="inlineStr">
        <is>
          <t>Semana 10</t>
        </is>
      </c>
    </row>
    <row r="11" ht="58" customHeight="1">
      <c r="B11" s="77" t="inlineStr">
        <is>
          <t>Tabla 3</t>
        </is>
      </c>
      <c r="C11" s="78" t="inlineStr">
        <is>
          <t>Costo de materia prima directa por unidad de [nombre del producto A]</t>
        </is>
      </c>
      <c r="D11" s="16" t="inlineStr">
        <is>
          <t>4.2.1</t>
        </is>
      </c>
      <c r="E11" s="71" t="inlineStr">
        <is>
          <t>Material  |  Presentación comercial  |  ¿Afecto a IGV?  |  Costo por unidad de medida sin IGV (S/)  |  Consumo bruto por unidad  |  Costo por unidad (S/)</t>
        </is>
      </c>
      <c r="F11" s="79" t="inlineStr">
        <is>
          <t>Una fila por material DIRECTO del producto A y una fila final «COSTO DE MPD POR UNIDAD».</t>
        </is>
      </c>
      <c r="G11" s="75" t="inlineStr">
        <is>
          <t>Archivo de la semana 7-8 (Primer Avance) · tabla 1b del producto A.</t>
        </is>
      </c>
      <c r="H11" s="79" t="inlineStr">
        <is>
          <t>Qué materiales consideró directos, qué merma aplicó y por qué, y qué materiales excluyó por ser gasto (limpieza, bolsas de despacho).</t>
        </is>
      </c>
      <c r="I11" s="80" t="inlineStr">
        <is>
          <t>Ya avanzado</t>
        </is>
      </c>
    </row>
    <row r="12" ht="58" customHeight="1">
      <c r="B12" s="77" t="inlineStr">
        <is>
          <t>Tabla 4</t>
        </is>
      </c>
      <c r="C12" s="78" t="inlineStr">
        <is>
          <t>Costo de materia prima directa por unidad de [nombre del producto B]</t>
        </is>
      </c>
      <c r="D12" s="16" t="inlineStr">
        <is>
          <t>4.2.1</t>
        </is>
      </c>
      <c r="E12" s="71" t="inlineStr">
        <is>
          <t>Las mismas columnas de la Tabla 3.</t>
        </is>
      </c>
      <c r="F12" s="79" t="inlineStr">
        <is>
          <t>Una fila por material DIRECTO del producto B y una fila final «COSTO DE MPD POR UNIDAD».</t>
        </is>
      </c>
      <c r="G12" s="75" t="inlineStr">
        <is>
          <t>Archivo de la semana 7-8 (Primer Avance) · tabla 1b del producto B.</t>
        </is>
      </c>
      <c r="H12" s="79" t="inlineStr">
        <is>
          <t>Compare el costo de materia prima de A y de B y explique la diferencia.</t>
        </is>
      </c>
      <c r="I12" s="80" t="inlineStr">
        <is>
          <t>Ya avanzado</t>
        </is>
      </c>
    </row>
    <row r="13" ht="58" customHeight="1">
      <c r="B13" s="77" t="inlineStr">
        <is>
          <t>Tabla 5</t>
        </is>
      </c>
      <c r="C13" s="78" t="inlineStr">
        <is>
          <t>Materia prima indirecta del mes</t>
        </is>
      </c>
      <c r="D13" s="16" t="inlineStr">
        <is>
          <t>4.2.1</t>
        </is>
      </c>
      <c r="E13" s="71" t="inlineStr">
        <is>
          <t>Material  |  Presentación comercial  |  Consumo del mes  |  Costo del mes sin IGV (S/)</t>
        </is>
      </c>
      <c r="F13" s="79" t="inlineStr">
        <is>
          <t>Solo los materiales clasificados como MPI (los que van a CIF). Fila final: «Materia prima indirecta del mes (pasa a CIF)». NO ponga aquí las bolsas de despacho ni los productos de limpieza: esos son gasto.</t>
        </is>
      </c>
      <c r="G13" s="75" t="inlineStr">
        <is>
          <t>Archivo de la semana 7-8 (Primer Avance) · tabla 1c.</t>
        </is>
      </c>
      <c r="H13" s="79" t="inlineStr">
        <is>
          <t>Explique por qué esos materiales no se pueden rastrear a una unidad y por eso van al CIF.</t>
        </is>
      </c>
      <c r="I13" s="80" t="inlineStr">
        <is>
          <t>Ya avanzado</t>
        </is>
      </c>
    </row>
    <row r="14" ht="58" customHeight="1">
      <c r="B14" s="77" t="inlineStr">
        <is>
          <t>Tabla 6</t>
        </is>
      </c>
      <c r="C14" s="78" t="inlineStr">
        <is>
          <t>Mano de obra directa por unidad</t>
        </is>
      </c>
      <c r="D14" s="16" t="inlineStr">
        <is>
          <t>4.2.2</t>
        </is>
      </c>
      <c r="E14" s="71" t="inlineStr">
        <is>
          <t>Puesto  |  Cantidad  |  Sueldo mensual (S/)  |  Costo laboral mensual (S/)  |  Remuneración por hora (S/)  |  Minutos por unidad – A  |  Minutos por unidad – B  |  MOD por unidad – A (S/)  |  MOD por unidad – B (S/)</t>
        </is>
      </c>
      <c r="F14" s="79" t="inlineStr">
        <is>
          <t>Una fila por cada puesto de MOD y una fila final «TOTAL MOD POR UNIDAD». Debajo, un cuadro pequeño con el costo laboral del mes por destino: MOD, MOI, gasto de ventas y gasto administrativo.</t>
        </is>
      </c>
      <c r="G14" s="75" t="inlineStr">
        <is>
          <t>Hoja 2 · SEMANA 9, sesión 1 (pasos 1, 2 y 3).</t>
        </is>
      </c>
      <c r="H14" s="79" t="inlineStr">
        <is>
          <t>Qué puestos son MOD y por qué (solo quien fabrica o prepara). Explique el factor de cargas sociales de 26.42 % y las 208 horas al mes.</t>
        </is>
      </c>
      <c r="I14" s="80" t="inlineStr">
        <is>
          <t>Ya avanzado</t>
        </is>
      </c>
    </row>
    <row r="15" ht="66" customHeight="1">
      <c r="B15" s="81" t="inlineStr">
        <is>
          <t>Tabla 7</t>
        </is>
      </c>
      <c r="C15" s="82" t="inlineStr">
        <is>
          <t>Costos indirectos de fabricación del mes</t>
        </is>
      </c>
      <c r="D15" s="20" t="inlineStr">
        <is>
          <t>4.2.3</t>
        </is>
      </c>
      <c r="E15" s="71" t="inlineStr">
        <is>
          <t>Concepto  |  Fijo o variable  |  Monto del mes sin IGV (S/)</t>
        </is>
      </c>
      <c r="F15" s="72" t="inlineStr">
        <is>
          <t>Materia prima indirecta (viene de la Tabla 5) · Mano de obra indirecta (viene de la Tabla 6) · Alquiler de la zona de producción · Servicios de producción (luz, agua, gas) · Depreciación de equipos · Otros CIF · TOTAL CIF DEL MES. Añada dos filas: «de ello, CIF variable» y «de ello, CIF fijo».</t>
        </is>
      </c>
      <c r="G15" s="75" t="inlineStr">
        <is>
          <t>Hoja 2 · SEMANA 9, sesión 2 → Tabla 7.</t>
        </is>
      </c>
      <c r="H15" s="72" t="inlineStr">
        <is>
          <t>Diga qué CIF son fijos y cuáles variables, y por qué el alquiler y la depreciación son fijos.</t>
        </is>
      </c>
      <c r="I15" s="83" t="inlineStr">
        <is>
          <t>Pendiente · hoy</t>
        </is>
      </c>
    </row>
    <row r="16" ht="58" customHeight="1">
      <c r="B16" s="81" t="inlineStr">
        <is>
          <t>Tabla 8</t>
        </is>
      </c>
      <c r="C16" s="82" t="inlineStr">
        <is>
          <t>Asignación de los CIF a cada producto o servicio</t>
        </is>
      </c>
      <c r="D16" s="20" t="inlineStr">
        <is>
          <t>4.2.3</t>
        </is>
      </c>
      <c r="E16" s="71" t="inlineStr">
        <is>
          <t>Producto  |  Base de asignación (minutos de MOD del mes)  |  % de participación  |  CIF asignado del mes (S/)  |  CIF por unidad (S/)</t>
        </is>
      </c>
      <c r="F16" s="72" t="inlineStr">
        <is>
          <t>Una fila por producto (A y B) y una fila TOTAL con 100 % y el total de CIF. Agregue una columna más: «CIF variable por unidad (S/)», que se necesita en la Tabla 10.</t>
        </is>
      </c>
      <c r="G16" s="75" t="inlineStr">
        <is>
          <t>Hoja 2 · SEMANA 9, sesión 2 → Tabla 8.</t>
        </is>
      </c>
      <c r="H16" s="72" t="inlineStr">
        <is>
          <t>Qué base de asignación eligió y por qué. Diga: «se usaron los minutos de mano de obra directa porque el producto que demanda más tiempo usa más planta, más energía y más supervisión».</t>
        </is>
      </c>
      <c r="I16" s="83" t="inlineStr">
        <is>
          <t>Pendiente · hoy</t>
        </is>
      </c>
    </row>
    <row r="17" ht="58" customHeight="1">
      <c r="B17" s="81" t="inlineStr">
        <is>
          <t>Tabla 9</t>
        </is>
      </c>
      <c r="C17" s="82" t="inlineStr">
        <is>
          <t>Costo unitario total</t>
        </is>
      </c>
      <c r="D17" s="20" t="inlineStr">
        <is>
          <t>4.2.4</t>
        </is>
      </c>
      <c r="E17" s="71" t="inlineStr">
        <is>
          <t>Elemento  |  [Producto A] (S/)  |  [Producto B] (S/)</t>
        </is>
      </c>
      <c r="F17" s="72" t="inlineStr">
        <is>
          <t>Materia prima directa (de las Tablas 3 y 4) · Mano de obra directa (de la Tabla 6) · Costos indirectos de fabricación (de la Tabla 8) · = COSTO UNITARIO TOTAL.</t>
        </is>
      </c>
      <c r="G17" s="75" t="inlineStr">
        <is>
          <t>Hoja 2 · SEMANA 10, sesión 1 → Tabla 9.</t>
        </is>
      </c>
      <c r="H17" s="72" t="inlineStr">
        <is>
          <t>Qué elemento pesa más en el costo de cada producto.</t>
        </is>
      </c>
      <c r="I17" s="83" t="inlineStr">
        <is>
          <t>Pendiente · hoy</t>
        </is>
      </c>
    </row>
    <row r="18" ht="58" customHeight="1">
      <c r="B18" s="81" t="inlineStr">
        <is>
          <t>Tabla 10</t>
        </is>
      </c>
      <c r="C18" s="82" t="inlineStr">
        <is>
          <t>Precio de venta y margen de contribución</t>
        </is>
      </c>
      <c r="D18" s="20" t="inlineStr">
        <is>
          <t>4.2.5</t>
        </is>
      </c>
      <c r="E18" s="71" t="inlineStr">
        <is>
          <t>Concepto  |  [Producto A]  |  [Producto B]</t>
        </is>
      </c>
      <c r="F18" s="72" t="inlineStr">
        <is>
          <t>Precio de venta con IGV (S/) · Precio de venta sin IGV (S/) · Costo variable unitario (S/) · Margen de contribución unitario (S/) · Margen de contribución (%). Puede añadir dos filas: utilidad por unidad y margen de utilidad (%).</t>
        </is>
      </c>
      <c r="G18" s="75" t="inlineStr">
        <is>
          <t>Hoja 2 · SEMANA 10, sesión 2.</t>
        </is>
      </c>
      <c r="H18" s="72" t="inlineStr">
        <is>
          <t>Compare el precio con el de la competencia y comente el margen. Aclare que la MOD no entra en el costo variable porque el personal está en planilla.</t>
        </is>
      </c>
      <c r="I18" s="83" t="inlineStr">
        <is>
          <t>Pendiente · hoy</t>
        </is>
      </c>
    </row>
    <row r="19" ht="58" customHeight="1">
      <c r="B19" s="84" t="inlineStr">
        <is>
          <t>Tabla 11</t>
        </is>
      </c>
      <c r="C19" s="85" t="inlineStr">
        <is>
          <t>Punto de equilibrio actual</t>
        </is>
      </c>
      <c r="D19" s="24" t="inlineStr">
        <is>
          <t>4.2.6</t>
        </is>
      </c>
      <c r="E19" s="71" t="inlineStr">
        <is>
          <t>Concepto  |  Valor</t>
        </is>
      </c>
      <c r="F19" s="86" t="inlineStr">
        <is>
          <t>Costos y gastos fijos del mes (S/) · Margen de contribución unitario ponderado (S/) · Punto de equilibrio en unidades · Punto de equilibrio en soles · Ventas proyectadas del mes (unidades) · Margen de seguridad (%).</t>
        </is>
      </c>
      <c r="G19" s="75" t="inlineStr">
        <is>
          <t>Hoja 2 · SEMANA 11, sesión 1 (pasos 1, 2 y 3).</t>
        </is>
      </c>
      <c r="H19" s="86" t="inlineStr">
        <is>
          <t>¿La empresa supera hoy su punto de equilibrio? ¿Con qué margen de seguridad? Si el margen sale negativo, dígalo y explique qué tendría que cambiar.</t>
        </is>
      </c>
      <c r="I19" s="87" t="inlineStr">
        <is>
          <t>🟠 HOY</t>
        </is>
      </c>
    </row>
    <row r="20" ht="58" customHeight="1">
      <c r="B20" s="84" t="inlineStr">
        <is>
          <t>Figura 1</t>
        </is>
      </c>
      <c r="C20" s="85" t="inlineStr">
        <is>
          <t>Gráfico del punto de equilibrio</t>
        </is>
      </c>
      <c r="D20" s="24" t="inlineStr">
        <is>
          <t>4.2.6</t>
        </is>
      </c>
      <c r="E20" s="71" t="inlineStr">
        <is>
          <t>No es tabla: es un gráfico de LÍNEAS con tres series: Ingresos, Costo total y Costo fijo. Eje X: unidades del mes.</t>
        </is>
      </c>
      <c r="F20" s="86" t="inlineStr">
        <is>
          <t>Use la tabla auxiliar de 6 filas (0 %, 25 %, 50 %, 75 %, 100 % y 125 % del punto de equilibrio) que está al final del bloque de la semana 11, sesión 1.</t>
        </is>
      </c>
      <c r="G20" s="75" t="inlineStr">
        <is>
          <t>Hoja 2 · SEMANA 11, sesión 1 (tabla auxiliar del gráfico). Copie el gráfico y péguelo en el Word como imagen.</t>
        </is>
      </c>
      <c r="H20" s="86" t="inlineStr">
        <is>
          <t>Señale en el texto dónde se cruzan la línea de ingresos y la de costo total: ese cruce es el punto de equilibrio.</t>
        </is>
      </c>
      <c r="I20" s="87" t="inlineStr">
        <is>
          <t>🟠 HOY</t>
        </is>
      </c>
    </row>
    <row r="21" ht="58" customHeight="1">
      <c r="B21" s="74" t="inlineStr">
        <is>
          <t>Tabla 12</t>
        </is>
      </c>
      <c r="C21" s="6" t="inlineStr">
        <is>
          <t>Índice costo-beneficio de las acciones de marketing</t>
        </is>
      </c>
      <c r="D21" s="28" t="inlineStr">
        <is>
          <t>4.3</t>
        </is>
      </c>
      <c r="E21" s="71" t="inlineStr">
        <is>
          <t>Acción de marketing  |  Costo anual (S/)  |  Beneficio estimado (S/)  |  ICB  |  Interpretación</t>
        </is>
      </c>
      <c r="F21" s="70" t="inlineStr">
        <is>
          <t>Dos acciones de marketing de la empresa y una fila TOTAL.</t>
        </is>
      </c>
      <c r="G21" s="75" t="inlineStr">
        <is>
          <t>Hoja 2 · SEMANA 12, sesión 1.</t>
        </is>
      </c>
      <c r="H21" s="70" t="inlineStr">
        <is>
          <t>Qué acción conviene mantener, mejorar o eliminar. Recuerde: el beneficio es el MARGEN DE CONTRIBUCIÓN de las unidades adicionales, no la venta.</t>
        </is>
      </c>
      <c r="I21" s="76" t="inlineStr">
        <is>
          <t>Semana 12</t>
        </is>
      </c>
    </row>
    <row r="22" ht="58" customHeight="1">
      <c r="B22" s="84" t="inlineStr">
        <is>
          <t>Tabla 13</t>
        </is>
      </c>
      <c r="C22" s="85" t="inlineStr">
        <is>
          <t>C1 Presupuesto de ventas</t>
        </is>
      </c>
      <c r="D22" s="24" t="inlineStr">
        <is>
          <t>4.4.1</t>
        </is>
      </c>
      <c r="E22" s="71" t="inlineStr">
        <is>
          <t>[Producto A] unidades  |  [Producto B] unidades  |  Ventas sin IGV (S/)  |  IGV (S/)  |  Ventas con IGV (S/)   —  con la columna «Mes» al inicio</t>
        </is>
      </c>
      <c r="F22" s="86" t="inlineStr">
        <is>
          <t>12 filas (Ene-27 a Dic-27) y una fila TOTAL. Las unidades ya las tienen de la semana 8; las columnas en soles salen de la semana 11, sesión 2.</t>
        </is>
      </c>
      <c r="G22" s="75" t="inlineStr">
        <is>
          <t>Unidades: archivo de la semana 7-8. Soles: Hoja 2 · SEMANA 11, sesión 2.</t>
        </is>
      </c>
      <c r="H22" s="86" t="inlineStr">
        <is>
          <t>Justifique la proyección: estacionalidad, capacidad de atención y datos de la empresa.</t>
        </is>
      </c>
      <c r="I22" s="87" t="inlineStr">
        <is>
          <t>🟠 Semana 11</t>
        </is>
      </c>
    </row>
    <row r="23" ht="77" customHeight="1">
      <c r="B23" s="77" t="inlineStr">
        <is>
          <t>Tabla 14</t>
        </is>
      </c>
      <c r="C23" s="78" t="inlineStr">
        <is>
          <t>C2 Presupuesto de producción de [producto o servicio A] (unidades)</t>
        </is>
      </c>
      <c r="D23" s="16" t="inlineStr">
        <is>
          <t>4.4.2</t>
        </is>
      </c>
      <c r="E23" s="71" t="inlineStr">
        <is>
          <t>Mes  |  Ventas  |  (+) Inventario final deseado  |  (−) Inventario inicial  |  (=) Producción</t>
        </is>
      </c>
      <c r="F23" s="79" t="inlineStr">
        <is>
          <t>12 filas y una fila TOTAL. ANTOJITOS: el inventario final deseado es el 10 % de las ventas del mes siguiente, y el inventario inicial de cada mes es el inventario final del mes anterior. CAFÉ Y VINO: es un servicio y no guarda inventario, así que las columnas de inventario van en cero y la producción es IGUAL a las ventas.</t>
        </is>
      </c>
      <c r="G23" s="75" t="inlineStr">
        <is>
          <t>Archivo de la semana 7-8 (Primer Avance) · bloque 2.</t>
        </is>
      </c>
      <c r="H23" s="79" t="inlineStr">
        <is>
          <t>ANTOJITOS: explique el efecto de la política de inventario del 10 %. CAFÉ Y VINO: explique por qué en un servicio la producción es igual a las ventas.</t>
        </is>
      </c>
      <c r="I23" s="80" t="inlineStr">
        <is>
          <t>Ya avanzado</t>
        </is>
      </c>
    </row>
    <row r="24" ht="58" customHeight="1">
      <c r="B24" s="77" t="inlineStr">
        <is>
          <t>Tabla 15</t>
        </is>
      </c>
      <c r="C24" s="78" t="inlineStr">
        <is>
          <t>C2 Presupuesto de producción de [producto o servicio B] (unidades)</t>
        </is>
      </c>
      <c r="D24" s="16" t="inlineStr">
        <is>
          <t>4.4.2</t>
        </is>
      </c>
      <c r="E24" s="71" t="inlineStr">
        <is>
          <t>Las mismas columnas de la Tabla 14.</t>
        </is>
      </c>
      <c r="F24" s="79" t="inlineStr">
        <is>
          <t>Igual que la Tabla 14, pero del producto B.</t>
        </is>
      </c>
      <c r="G24" s="75" t="inlineStr">
        <is>
          <t>Archivo de la semana 7-8 (Primer Avance) · bloque 2.</t>
        </is>
      </c>
      <c r="H24" s="79" t="inlineStr">
        <is>
          <t>Puede unir el comentario con el de la Tabla 14.</t>
        </is>
      </c>
      <c r="I24" s="80" t="inlineStr">
        <is>
          <t>Ya avanzado</t>
        </is>
      </c>
    </row>
    <row r="25" ht="58" customHeight="1">
      <c r="B25" s="77" t="inlineStr">
        <is>
          <t>Tabla 16</t>
        </is>
      </c>
      <c r="C25" s="78" t="inlineStr">
        <is>
          <t>Costo de materia prima directa presupuestado</t>
        </is>
      </c>
      <c r="D25" s="16" t="inlineStr">
        <is>
          <t>4.4.2</t>
        </is>
      </c>
      <c r="E25" s="71" t="inlineStr">
        <is>
          <t>Mes  |  Producción [A] (unid.)  |  Producción [B] (unid.)  |  Costo MPD [A] (S/)  |  Costo MPD [B] (S/)  |  Costo MPD total (S/)</t>
        </is>
      </c>
      <c r="F25" s="79" t="inlineStr">
        <is>
          <t>12 filas y una fila TOTAL. Costo MPD del mes = unidades producidas × costo de MPD por unidad (Tablas 3 y 4).</t>
        </is>
      </c>
      <c r="G25" s="75" t="inlineStr">
        <is>
          <t>Archivo de la semana 7-8 (Primer Avance) · bloque 3.</t>
        </is>
      </c>
      <c r="H25" s="79" t="inlineStr">
        <is>
          <t>Meses de mayor producción y efecto de la estacionalidad en la compra de materiales.</t>
        </is>
      </c>
      <c r="I25" s="80" t="inlineStr">
        <is>
          <t>Ya avanzado</t>
        </is>
      </c>
    </row>
    <row r="26" ht="66" customHeight="1">
      <c r="B26" s="74" t="inlineStr">
        <is>
          <t>Tabla 17</t>
        </is>
      </c>
      <c r="C26" s="6" t="inlineStr">
        <is>
          <t>Estado de Resultados proyectado del primer año</t>
        </is>
      </c>
      <c r="D26" s="28" t="inlineStr">
        <is>
          <t>4.4.3</t>
        </is>
      </c>
      <c r="E26" s="71" t="inlineStr">
        <is>
          <t>Concepto  |  Monto (S/)</t>
        </is>
      </c>
      <c r="F26" s="70" t="inlineStr">
        <is>
          <t>Ventas netas · (−) Costo de ventas · = Utilidad bruta · (−) Gastos administrativos · (−) Gastos de ventas · = Utilidad operativa · (−) Gastos financieros · = Utilidad antes de impuestos · (−) Impuesto a la renta [Régimen MYPE Tributario: 10 % hasta 15 UIT y 29.5 % el exceso] · = UTILIDAD NETA.</t>
        </is>
      </c>
      <c r="G26" s="75" t="inlineStr">
        <is>
          <t>Hoja 2 · SEMANA 12, sesión 2.</t>
        </is>
      </c>
      <c r="H26" s="70" t="inlineStr">
        <is>
          <t>Comente la utilidad proyectada, el margen neto y si la empresa puede financiar la nueva línea con recursos propios. Indique el régimen tributario y la tasa.</t>
        </is>
      </c>
      <c r="I26" s="76" t="inlineStr">
        <is>
          <t>Semana 12</t>
        </is>
      </c>
    </row>
    <row r="27" ht="58" customHeight="1">
      <c r="B27" s="74" t="inlineStr">
        <is>
          <t>Tabla 18</t>
        </is>
      </c>
      <c r="C27" s="6" t="inlineStr">
        <is>
          <t>Presupuesto referencial de implementación de la nueva línea</t>
        </is>
      </c>
      <c r="D27" s="28" t="inlineStr">
        <is>
          <t>4.4.4</t>
        </is>
      </c>
      <c r="E27" s="71" t="inlineStr">
        <is>
          <t>Rubro  |  Detalle  |  Monto sin IGV (S/)</t>
        </is>
      </c>
      <c r="F27" s="70" t="inlineStr">
        <is>
          <t>Activos fijos · Activos intangibles · Capital de trabajo · = INVERSIÓN TOTAL · Aporte de los socios · Préstamo (entidad, tasa y plazo).</t>
        </is>
      </c>
      <c r="G27" s="75" t="inlineStr">
        <is>
          <t>Hoja 2 · SEMANA 13, sesión 1 → Tabla 18.</t>
        </is>
      </c>
      <c r="H27" s="70" t="inlineStr">
        <is>
          <t>Explique si la inversión es razonable frente a la utilidad proyectada de la Tabla 17 (dé el porcentaje) y cómo se financia.</t>
        </is>
      </c>
      <c r="I27" s="76" t="inlineStr">
        <is>
          <t>Semana 13</t>
        </is>
      </c>
    </row>
    <row r="28" ht="66" customHeight="1">
      <c r="B28" s="74" t="inlineStr">
        <is>
          <t>Tabla 19</t>
        </is>
      </c>
      <c r="C28" s="6" t="inlineStr">
        <is>
          <t>Punto de equilibrio de la nueva línea de servicio</t>
        </is>
      </c>
      <c r="D28" s="28" t="inlineStr">
        <is>
          <t>7.7</t>
        </is>
      </c>
      <c r="E28" s="71" t="inlineStr">
        <is>
          <t>Concepto  |  Valor</t>
        </is>
      </c>
      <c r="F28" s="70" t="inlineStr">
        <is>
          <t>Costos fijos mensuales de la nueva línea (S/) · Precio de venta sin IGV (S/) · Costo variable unitario (S/) · Margen de contribución unitario (S/) · Punto de equilibrio mensual (unidades) · Punto de equilibrio mensual (S/) · Demanda esperada por mes (unidades) · ¿Supera el punto de equilibrio? (sí / no).</t>
        </is>
      </c>
      <c r="G28" s="75" t="inlineStr">
        <is>
          <t>Hoja 2 · SEMANA 13, sesión 1 → Tabla 19.</t>
        </is>
      </c>
      <c r="H28" s="70" t="inlineStr">
        <is>
          <t>Concluya si la nueva línea es viable con la demanda esperada y con qué margen de seguridad. OJO: a la nueva línea solo se le cargan los costos fijos NUEVOS.</t>
        </is>
      </c>
      <c r="I28" s="76" t="inlineStr">
        <is>
          <t>Semana 13</t>
        </is>
      </c>
    </row>
    <row r="29" ht="58" customHeight="1">
      <c r="B29" s="74" t="inlineStr">
        <is>
          <t>Anexo A.1</t>
        </is>
      </c>
      <c r="C29" s="6" t="inlineStr">
        <is>
          <t>Tablas y cálculos numéricos en Excel</t>
        </is>
      </c>
      <c r="D29" s="28" t="inlineStr">
        <is>
          <t>Anexos</t>
        </is>
      </c>
      <c r="E29" s="71" t="inlineStr">
        <is>
          <t>No es tabla: es el archivo Excel adjunto.</t>
        </is>
      </c>
      <c r="F29" s="70" t="inlineStr">
        <is>
          <t>Adjunte este mismo archivo con las FÓRMULAS VIVAS (no pegue solo números) y el enlace del formulario web. Incluya también el simulador por escenarios de la semana 14, sesión 2.</t>
        </is>
      </c>
      <c r="G29" s="75" t="inlineStr">
        <is>
          <t>Hoja 2 completa + Hoja 2 · SEMANA 14, sesión 2 (simulador).</t>
        </is>
      </c>
      <c r="H29" s="70" t="inlineStr">
        <is>
          <t>En el Word escriba el enlace al Excel y al formulario.</t>
        </is>
      </c>
      <c r="I29" s="76" t="inlineStr">
        <is>
          <t>Semana 14</t>
        </is>
      </c>
    </row>
    <row r="33">
      <c r="A33" s="88" t="inlineStr">
        <is>
          <t>AVISOS QUE EVITAN QUE PIERDAN PUNTOS</t>
        </is>
      </c>
    </row>
    <row r="35" ht="39" customHeight="1">
      <c r="B35" s="89" t="inlineStr">
        <is>
          <t>⚠️</t>
        </is>
      </c>
      <c r="C35" s="21" t="inlineStr">
        <is>
          <t>La Tabla 6 de la plantilla trae la columna «Unidades producidas en el mes». NO la use: en clase se calculó la MOD por unidad con la remuneración por hora y los minutos de fabricación. Reemplace esa columna por «Remuneración por hora (S/)» y «Minutos por unidad», tal como está en la hoja 2.</t>
        </is>
      </c>
      <c r="D35" s="8" t="n"/>
      <c r="E35" s="8" t="n"/>
      <c r="F35" s="8" t="n"/>
      <c r="G35" s="8" t="n"/>
      <c r="H35" s="9" t="n"/>
    </row>
    <row r="36" ht="28" customHeight="1">
      <c r="B36" s="89" t="inlineStr">
        <is>
          <t>⚠️</t>
        </is>
      </c>
      <c r="C36" s="21" t="inlineStr">
        <is>
          <t>La Tabla 8 de la plantilla dice «base de asignación (unidades u horas)». En este curso la base son los MINUTOS DE MANO DE OBRA DIRECTA del mes. Escríbalo así en la tabla y en el párrafo.</t>
        </is>
      </c>
      <c r="D36" s="8" t="n"/>
      <c r="E36" s="8" t="n"/>
      <c r="F36" s="8" t="n"/>
      <c r="G36" s="8" t="n"/>
      <c r="H36" s="9" t="n"/>
    </row>
    <row r="37" ht="28" customHeight="1">
      <c r="B37" s="89" t="inlineStr">
        <is>
          <t>⚠️</t>
        </is>
      </c>
      <c r="C37" s="21" t="inlineStr">
        <is>
          <t>Todas las cifras del capítulo 4 van SIN IGV. El IGV aparece solo en su propia columna de la Tabla 13.</t>
        </is>
      </c>
      <c r="D37" s="8" t="n"/>
      <c r="E37" s="8" t="n"/>
      <c r="F37" s="8" t="n"/>
      <c r="G37" s="8" t="n"/>
      <c r="H37" s="9" t="n"/>
    </row>
    <row r="38" ht="28" customHeight="1">
      <c r="B38" s="89" t="inlineStr">
        <is>
          <t>⚠️</t>
        </is>
      </c>
      <c r="C38" s="21" t="inlineStr">
        <is>
          <t>Debajo de CADA tabla va un párrafo de 3 a 5 líneas. Una tabla sin párrafo no tiene puntaje completo.</t>
        </is>
      </c>
      <c r="D38" s="8" t="n"/>
      <c r="E38" s="8" t="n"/>
      <c r="F38" s="8" t="n"/>
      <c r="G38" s="8" t="n"/>
      <c r="H38" s="9" t="n"/>
    </row>
    <row r="39" ht="28" customHeight="1">
      <c r="B39" s="89" t="inlineStr">
        <is>
          <t>⚠️</t>
        </is>
      </c>
      <c r="C39" s="21" t="inlineStr">
        <is>
          <t>Borre del Word todos los recuadros grises «INDICACIONES | Análisis de Costos y Presupuestos» antes de entregar.</t>
        </is>
      </c>
      <c r="D39" s="8" t="n"/>
      <c r="E39" s="8" t="n"/>
      <c r="F39" s="8" t="n"/>
      <c r="G39" s="8" t="n"/>
      <c r="H39" s="9" t="n"/>
    </row>
    <row r="40" ht="28" customHeight="1">
      <c r="B40" s="89" t="inlineStr">
        <is>
          <t>⚠️</t>
        </is>
      </c>
      <c r="C40" s="21" t="inlineStr">
        <is>
          <t>Cada tabla lleva su «Nota. Elaboración propia con base en el Anexo A.1.» debajo, en letra más pequeña, como ya está en la plantilla.</t>
        </is>
      </c>
      <c r="D40" s="8" t="n"/>
      <c r="E40" s="8" t="n"/>
      <c r="F40" s="8" t="n"/>
      <c r="G40" s="8" t="n"/>
      <c r="H40" s="9" t="n"/>
    </row>
    <row r="41" ht="28" customHeight="1">
      <c r="B41" s="89" t="inlineStr">
        <is>
          <t>⚠️</t>
        </is>
      </c>
      <c r="C41" s="21" t="inlineStr">
        <is>
          <t>CAFÉ Y VINO: en el informe los dos servicios analizados son el CAPUCCINO (producto A) y la PIÑA COLADA (producto B). En las Tablas 14 y 15 la producción es igual a las ventas porque las bebidas se preparan al momento del pedido.</t>
        </is>
      </c>
      <c r="D41" s="8" t="n"/>
      <c r="E41" s="8" t="n"/>
      <c r="F41" s="8" t="n"/>
      <c r="G41" s="8" t="n"/>
      <c r="H41" s="9" t="n"/>
    </row>
    <row r="42" ht="28" customHeight="1">
      <c r="B42" s="89" t="inlineStr">
        <is>
          <t>⚠️</t>
        </is>
      </c>
      <c r="C42" s="21" t="inlineStr">
        <is>
          <t>ANTOJITOS: en el informe los dos productos son la CAJA DE 12 ALFAJORCITOS DE MANJAR BLANCO (producto A) y la CAJA DE 6 ALFAJORES BAÑADOS EN CHOCOLATE (producto B). En las Tablas 14 y 15 sí hay inventario: la política es el 10 % de las ventas del mes siguiente.</t>
        </is>
      </c>
      <c r="D42" s="8" t="n"/>
      <c r="E42" s="8" t="n"/>
      <c r="F42" s="8" t="n"/>
      <c r="G42" s="8" t="n"/>
      <c r="H42" s="9" t="n"/>
    </row>
  </sheetData>
  <mergeCells count="8">
    <mergeCell ref="C38:H38"/>
    <mergeCell ref="C41:H41"/>
    <mergeCell ref="C42:H42"/>
    <mergeCell ref="C36:H36"/>
    <mergeCell ref="C37:H37"/>
    <mergeCell ref="C40:H40"/>
    <mergeCell ref="C39:H39"/>
    <mergeCell ref="C35:H3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2026-10-27T13:08:45Z</dcterms:created>
  <dcterms:modified xmlns:dcterms="http://purl.org/dc/terms/" xmlns:xsi="http://www.w3.org/2001/XMLSchema-instance" xsi:type="dcterms:W3CDTF">2026-10-27T13:08:46Z</dcterms:modified>
</cp:coreProperties>
</file>