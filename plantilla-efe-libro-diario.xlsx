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Caso 5 · Situación" sheetId="2" state="visible" r:id="rId2"/>
    <sheet name="Caso 5 · Diario" sheetId="3" state="visible" r:id="rId3"/>
    <sheet name="Caso 5 · Flujos" sheetId="4" state="visible" r:id="rId4"/>
    <sheet name="Caso 6 · Situación" sheetId="5" state="visible" r:id="rId5"/>
    <sheet name="Caso 6 · Diario" sheetId="6" state="visible" r:id="rId6"/>
    <sheet name="Caso 6 · Flujos" sheetId="7" state="visible" r:id="rId7"/>
    <sheet name="Lista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FF5A5A5A"/>
      <sz val="16"/>
    </font>
    <font>
      <i val="1"/>
      <color rgb="FF5A5A5A"/>
      <sz val="11"/>
    </font>
    <font>
      <color rgb="FF33404E"/>
      <sz val="11"/>
    </font>
    <font>
      <b val="1"/>
      <color rgb="FFFFFFFF"/>
      <sz val="11"/>
    </font>
    <font>
      <b val="1"/>
      <color rgb="FF33404E"/>
      <sz val="11"/>
    </font>
    <font>
      <b val="1"/>
    </font>
    <font>
      <b val="1"/>
      <color rgb="FFFFFFFF"/>
      <sz val="13"/>
    </font>
    <font>
      <i val="1"/>
      <color rgb="FF5A5A5A"/>
      <sz val="10"/>
    </font>
    <font>
      <b val="1"/>
      <color rgb="FF5A5A5A"/>
      <sz val="10"/>
    </font>
    <font>
      <b val="1"/>
      <color rgb="FF147A5C"/>
    </font>
    <font>
      <b val="1"/>
      <color rgb="FF5A5A5A"/>
    </font>
    <font>
      <color rgb="FF5B4A15"/>
      <sz val="10"/>
    </font>
    <font>
      <b val="1"/>
      <color rgb="FF14365E"/>
      <sz val="11"/>
    </font>
    <font>
      <name val="Consolas"/>
      <b val="1"/>
      <color rgb="FF1F5FA8"/>
    </font>
    <font>
      <i val="1"/>
      <sz val="10"/>
    </font>
    <font>
      <b val="1"/>
      <color rgb="FF14532D"/>
      <sz val="10"/>
    </font>
    <font>
      <b val="1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FF1F5FA8"/>
      </patternFill>
    </fill>
    <fill>
      <patternFill patternType="solid">
        <fgColor rgb="FF714B67"/>
      </patternFill>
    </fill>
    <fill>
      <patternFill patternType="solid">
        <fgColor rgb="FFF4F7FA"/>
      </patternFill>
    </fill>
    <fill>
      <patternFill patternType="solid">
        <fgColor rgb="FFFFF8E1"/>
      </patternFill>
    </fill>
    <fill>
      <patternFill patternType="solid">
        <fgColor rgb="FFF2FAF5"/>
      </patternFill>
    </fill>
    <fill>
      <patternFill patternType="solid">
        <fgColor rgb="FFEAF1FA"/>
      </patternFill>
    </fill>
    <fill>
      <patternFill patternType="solid">
        <fgColor rgb="FF147A5C"/>
      </patternFill>
    </fill>
  </fills>
  <borders count="2">
    <border>
      <left/>
      <right/>
      <top/>
      <bottom/>
      <diagonal/>
    </border>
    <border>
      <left style="thin">
        <color rgb="FFD8DCE2"/>
      </left>
      <right style="thin">
        <color rgb="FFD8DCE2"/>
      </right>
      <top style="thin">
        <color rgb="FFD8DCE2"/>
      </top>
      <bottom style="thin">
        <color rgb="FFD8DCE2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indent="1"/>
    </xf>
    <xf numFmtId="0" fontId="5" fillId="0" borderId="0" pivotButton="0" quotePrefix="0" xfId="0"/>
    <xf numFmtId="0" fontId="7" fillId="3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indent="1"/>
    </xf>
    <xf numFmtId="0" fontId="0" fillId="0" borderId="1" pivotButton="0" quotePrefix="0" xfId="0"/>
    <xf numFmtId="0" fontId="0" fillId="5" borderId="1" applyAlignment="1" pivotButton="0" quotePrefix="0" xfId="0">
      <alignment horizontal="left"/>
    </xf>
    <xf numFmtId="0" fontId="0" fillId="5" borderId="1" pivotButton="0" quotePrefix="0" xfId="0"/>
    <xf numFmtId="4" fontId="0" fillId="5" borderId="1" pivotButton="0" quotePrefix="0" xfId="0"/>
    <xf numFmtId="0" fontId="0" fillId="0" borderId="1" applyAlignment="1" pivotButton="0" quotePrefix="0" xfId="0">
      <alignment horizontal="left"/>
    </xf>
    <xf numFmtId="4" fontId="0" fillId="0" borderId="1" pivotButton="0" quotePrefix="0" xfId="0"/>
    <xf numFmtId="0" fontId="6" fillId="4" borderId="1" applyAlignment="1" pivotButton="0" quotePrefix="0" xfId="0">
      <alignment horizontal="left"/>
    </xf>
    <xf numFmtId="0" fontId="6" fillId="4" borderId="1" pivotButton="0" quotePrefix="0" xfId="0"/>
    <xf numFmtId="4" fontId="6" fillId="4" borderId="1" pivotButton="0" quotePrefix="0" xfId="0"/>
    <xf numFmtId="0" fontId="0" fillId="6" borderId="1" pivotButton="0" quotePrefix="0" xfId="0"/>
    <xf numFmtId="0" fontId="10" fillId="6" borderId="1" pivotButton="0" quotePrefix="0" xfId="0"/>
    <xf numFmtId="4" fontId="6" fillId="6" borderId="1" pivotButton="0" quotePrefix="0" xfId="0"/>
    <xf numFmtId="0" fontId="11" fillId="6" borderId="1" pivotButton="0" quotePrefix="0" xfId="0"/>
    <xf numFmtId="0" fontId="12" fillId="5" borderId="0" applyAlignment="1" pivotButton="0" quotePrefix="0" xfId="0">
      <alignment vertical="center" wrapText="1" indent="1"/>
    </xf>
    <xf numFmtId="0" fontId="7" fillId="2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indent="1"/>
    </xf>
    <xf numFmtId="0" fontId="0" fillId="7" borderId="1" pivotButton="0" quotePrefix="0" xfId="0"/>
    <xf numFmtId="0" fontId="0" fillId="5" borderId="1" applyAlignment="1" pivotButton="0" quotePrefix="0" xfId="0">
      <alignment horizontal="center"/>
    </xf>
    <xf numFmtId="4" fontId="6" fillId="7" borderId="1" pivotButton="0" quotePrefix="0" xfId="0"/>
    <xf numFmtId="0" fontId="14" fillId="5" borderId="1" applyAlignment="1" pivotButton="0" quotePrefix="0" xfId="0">
      <alignment horizontal="left"/>
    </xf>
    <xf numFmtId="0" fontId="14" fillId="0" borderId="1" applyAlignment="1" pivotButton="0" quotePrefix="0" xfId="0">
      <alignment horizontal="left"/>
    </xf>
    <xf numFmtId="0" fontId="6" fillId="0" borderId="0" pivotButton="0" quotePrefix="0" xfId="0"/>
    <xf numFmtId="4" fontId="6" fillId="0" borderId="0" pivotButton="0" quotePrefix="0" xfId="0"/>
    <xf numFmtId="0" fontId="15" fillId="0" borderId="0" pivotButton="0" quotePrefix="0" xfId="0"/>
    <xf numFmtId="4" fontId="15" fillId="0" borderId="0" pivotButton="0" quotePrefix="0" xfId="0"/>
    <xf numFmtId="0" fontId="7" fillId="8" borderId="0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indent="1"/>
    </xf>
    <xf numFmtId="0" fontId="0" fillId="0" borderId="1" applyAlignment="1" pivotButton="0" quotePrefix="0" xfId="0">
      <alignment indent="2"/>
    </xf>
    <xf numFmtId="0" fontId="0" fillId="4" borderId="1" pivotButton="0" quotePrefix="0" xfId="0"/>
    <xf numFmtId="4" fontId="0" fillId="4" borderId="1" pivotButton="0" quotePrefix="0" xfId="0"/>
    <xf numFmtId="0" fontId="17" fillId="6" borderId="1" pivotButton="0" quotePrefix="0" xfId="0"/>
    <xf numFmtId="4" fontId="17" fillId="6" borderId="1" pivotButton="0" quotePrefix="0" xfId="0"/>
    <xf numFmtId="0" fontId="18" fillId="5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Del libro diario al estado de flujos de efectivo</t>
        </is>
      </c>
    </row>
    <row r="3">
      <c r="B3" s="2" t="inlineStr">
        <is>
          <t>Estados Financieros · Sesión 2 · plantilla para completar</t>
        </is>
      </c>
    </row>
    <row r="4">
      <c r="B4" s="3" t="inlineStr"/>
    </row>
    <row r="5" ht="20" customHeight="1">
      <c r="B5" s="4" t="inlineStr">
        <is>
          <t>Qué hay en este archivo</t>
        </is>
      </c>
    </row>
    <row r="6">
      <c r="B6" s="3" t="inlineStr">
        <is>
          <t>Dos casos completos, cada uno con sus tres hojas: la situación financiera, el libro diario y el estado de flujos.</t>
        </is>
      </c>
    </row>
    <row r="7">
      <c r="B7" s="3" t="inlineStr">
        <is>
          <t>Caso 5 — Comercial Los Andes E.I.R.L. (marzo de 2026): 10 asientos.</t>
        </is>
      </c>
    </row>
    <row r="8">
      <c r="B8" s="3" t="inlineStr">
        <is>
          <t>Caso 6 — Servicios Yanahuara S.A.C. (abril de 2026): 13 asientos, con las tres actividades.</t>
        </is>
      </c>
    </row>
    <row r="9">
      <c r="B9" s="3" t="inlineStr"/>
    </row>
    <row r="10" ht="20" customHeight="1">
      <c r="B10" s="4" t="inlineStr">
        <is>
          <t>Qué tiene que hacer el alumno — solo dos columnas</t>
        </is>
      </c>
    </row>
    <row r="11">
      <c r="B11" s="5" t="inlineStr">
        <is>
          <t>1. En la hoja del DIARIO, en la fila gris de cada asiento, columna «¿Mueve efectivo?»: elegir SÍ o NO en la lista.</t>
        </is>
      </c>
    </row>
    <row r="12">
      <c r="B12" s="3" t="inlineStr">
        <is>
          <t xml:space="preserve">     Mueve efectivo el asiento que toca 101 Caja, 102 Fondos fijos o 1041 Cuentas corrientes.</t>
        </is>
      </c>
    </row>
    <row r="13">
      <c r="B13" s="3" t="inlineStr">
        <is>
          <t xml:space="preserve">     Ojo con el asiento de apertura: toca esas cuentas pero no es movimiento del mes, va NO.</t>
        </is>
      </c>
    </row>
    <row r="14">
      <c r="B14" s="5" t="inlineStr">
        <is>
          <t>2. Si puso SÍ, en la columna «¿A qué renglón del flujo va?»: elegir el renglón en la lista.</t>
        </is>
      </c>
    </row>
    <row r="15">
      <c r="B15" s="3" t="inlineStr"/>
    </row>
    <row r="16" ht="20" customHeight="1">
      <c r="B16" s="4" t="inlineStr">
        <is>
          <t>Lo demás se calcula solo</t>
        </is>
      </c>
    </row>
    <row r="17">
      <c r="B17" s="3" t="inlineStr">
        <is>
          <t>El importe del flujo sale automáticamente del propio asiento: es el neto de las cuentas de efectivo.</t>
        </is>
      </c>
    </row>
    <row r="18">
      <c r="B18" s="3" t="inlineStr">
        <is>
          <t>La hoja de FLUJOS se arma sola con lo que se haya clasificado, y abajo avisa si cuadra o no.</t>
        </is>
      </c>
    </row>
    <row r="19">
      <c r="B19" s="3" t="inlineStr">
        <is>
          <t>Tiene que terminar en el mismo saldo de efectivo que muestra la hoja de SITUACIÓN FINANCIERA.</t>
        </is>
      </c>
    </row>
    <row r="20">
      <c r="B20" s="3" t="inlineStr"/>
    </row>
    <row r="21" ht="20" customHeight="1">
      <c r="B21" s="4" t="inlineStr">
        <is>
          <t>La idea de fondo</t>
        </is>
      </c>
    </row>
    <row r="22">
      <c r="B22" s="3" t="inlineStr">
        <is>
          <t>El flujo de efectivo no se inventa: sale del libro diario. De todos los asientos del mes, solo unos pocos</t>
        </is>
      </c>
    </row>
    <row r="23">
      <c r="B23" s="3" t="inlineStr">
        <is>
          <t>mueven dinero; los demás son devengos. El estado de situación financiera dice de cuánto se parte y a</t>
        </is>
      </c>
    </row>
    <row r="24">
      <c r="B24" s="3" t="inlineStr">
        <is>
          <t>cuánto hay que llegar: el flujo de efectivo solo explica esa diferencia.</t>
        </is>
      </c>
    </row>
    <row r="25">
      <c r="B25" s="3" t="inlineStr"/>
    </row>
    <row r="26">
      <c r="B26" s="3" t="inlineStr">
        <is>
          <t>Versión interactiva: eduardoaeges.github.io/cursos_edu/efe-desde-diario.html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6" customWidth="1" min="4" max="4"/>
  </cols>
  <sheetData>
    <row r="1" ht="24" customHeight="1">
      <c r="A1" s="6" t="inlineStr">
        <is>
          <t>ESTADO DE SITUACIÓN FINANCIERA — COMERCIAL LOS ANDES E.I.R.L.</t>
        </is>
      </c>
    </row>
    <row r="2">
      <c r="A2" s="7" t="inlineStr">
        <is>
          <t>RUC 20548877231  ·  Marzo de 2026  ·  en soles</t>
        </is>
      </c>
    </row>
    <row r="4" ht="28" customHeight="1">
      <c r="A4" s="8" t="inlineStr">
        <is>
          <t>Código</t>
        </is>
      </c>
      <c r="B4" s="8" t="inlineStr">
        <is>
          <t>Cuenta</t>
        </is>
      </c>
      <c r="C4" s="8" t="inlineStr">
        <is>
          <t>Al cierre</t>
        </is>
      </c>
      <c r="D4" s="8" t="inlineStr">
        <is>
          <t>Al inicio</t>
        </is>
      </c>
    </row>
    <row r="5">
      <c r="A5" s="9" t="inlineStr">
        <is>
          <t>ACTIVO</t>
        </is>
      </c>
      <c r="B5" s="10" t="n"/>
      <c r="C5" s="10" t="n"/>
      <c r="D5" s="10" t="n"/>
    </row>
    <row r="6">
      <c r="A6" s="11" t="inlineStr">
        <is>
          <t>101</t>
        </is>
      </c>
      <c r="B6" s="12" t="inlineStr">
        <is>
          <t>Caja</t>
        </is>
      </c>
      <c r="C6" s="13" t="n">
        <v>3000</v>
      </c>
      <c r="D6" s="13" t="n">
        <v>3000</v>
      </c>
    </row>
    <row r="7">
      <c r="A7" s="11" t="inlineStr">
        <is>
          <t>1041</t>
        </is>
      </c>
      <c r="B7" s="12" t="inlineStr">
        <is>
          <t>Cuentas corrientes operativas</t>
        </is>
      </c>
      <c r="C7" s="13" t="n">
        <v>49750</v>
      </c>
      <c r="D7" s="13" t="n">
        <v>27000</v>
      </c>
    </row>
    <row r="8">
      <c r="A8" s="14" t="inlineStr">
        <is>
          <t>1212</t>
        </is>
      </c>
      <c r="B8" s="10" t="inlineStr">
        <is>
          <t>Facturas por cobrar — terceros</t>
        </is>
      </c>
      <c r="C8" s="15" t="n">
        <v>0</v>
      </c>
      <c r="D8" s="15" t="n">
        <v>48000</v>
      </c>
    </row>
    <row r="9">
      <c r="A9" s="14" t="inlineStr">
        <is>
          <t>40111</t>
        </is>
      </c>
      <c r="B9" s="10" t="inlineStr">
        <is>
          <t>Tributos por recuperar — IGV</t>
        </is>
      </c>
      <c r="C9" s="15" t="n">
        <v>945.76</v>
      </c>
      <c r="D9" s="15" t="n">
        <v>0</v>
      </c>
    </row>
    <row r="10">
      <c r="A10" s="14" t="inlineStr">
        <is>
          <t>2011</t>
        </is>
      </c>
      <c r="B10" s="10" t="inlineStr">
        <is>
          <t>Mercaderías manufacturadas</t>
        </is>
      </c>
      <c r="C10" s="15" t="n">
        <v>18000</v>
      </c>
      <c r="D10" s="15" t="n">
        <v>18000</v>
      </c>
    </row>
    <row r="11">
      <c r="A11" s="14" t="inlineStr">
        <is>
          <t>33611</t>
        </is>
      </c>
      <c r="B11" s="10" t="inlineStr">
        <is>
          <t>Equipos de procesamiento de información</t>
        </is>
      </c>
      <c r="C11" s="15" t="n">
        <v>5254.24</v>
      </c>
      <c r="D11" s="15" t="n">
        <v>0</v>
      </c>
    </row>
    <row r="12">
      <c r="A12" s="14" t="inlineStr">
        <is>
          <t>39133</t>
        </is>
      </c>
      <c r="B12" s="10" t="inlineStr">
        <is>
          <t>Depreciación acumulada</t>
        </is>
      </c>
      <c r="C12" s="15" t="n">
        <v>-109.46</v>
      </c>
      <c r="D12" s="15" t="n">
        <v>0</v>
      </c>
    </row>
    <row r="13">
      <c r="A13" s="16" t="inlineStr"/>
      <c r="B13" s="17" t="inlineStr">
        <is>
          <t>TOTAL ACTIVO</t>
        </is>
      </c>
      <c r="C13" s="18" t="n">
        <v>76840.53999999999</v>
      </c>
      <c r="D13" s="18" t="n">
        <v>96000</v>
      </c>
    </row>
    <row r="14">
      <c r="A14" s="9" t="inlineStr">
        <is>
          <t>PASIVO</t>
        </is>
      </c>
      <c r="B14" s="10" t="n"/>
      <c r="C14" s="10" t="n"/>
      <c r="D14" s="10" t="n"/>
    </row>
    <row r="15">
      <c r="A15" s="14" t="inlineStr">
        <is>
          <t>4212</t>
        </is>
      </c>
      <c r="B15" s="10" t="inlineStr">
        <is>
          <t>Facturas emitidas por pagar — terceros</t>
        </is>
      </c>
      <c r="C15" s="15" t="n">
        <v>0</v>
      </c>
      <c r="D15" s="15" t="n">
        <v>21000</v>
      </c>
    </row>
    <row r="16">
      <c r="A16" s="14" t="inlineStr">
        <is>
          <t>40111</t>
        </is>
      </c>
      <c r="B16" s="10" t="inlineStr">
        <is>
          <t>Tributos por pagar — IGV</t>
        </is>
      </c>
      <c r="C16" s="15" t="n">
        <v>0</v>
      </c>
      <c r="D16" s="15" t="n">
        <v>3100</v>
      </c>
    </row>
    <row r="17">
      <c r="A17" s="14" t="inlineStr">
        <is>
          <t>4511</t>
        </is>
      </c>
      <c r="B17" s="10" t="inlineStr">
        <is>
          <t>Préstamos de instituciones financieras</t>
        </is>
      </c>
      <c r="C17" s="15" t="n">
        <v>15000</v>
      </c>
      <c r="D17" s="15" t="n">
        <v>0</v>
      </c>
    </row>
    <row r="18">
      <c r="A18" s="16" t="inlineStr"/>
      <c r="B18" s="17" t="inlineStr">
        <is>
          <t>TOTAL PASIVO</t>
        </is>
      </c>
      <c r="C18" s="18" t="n">
        <v>15000</v>
      </c>
      <c r="D18" s="18" t="n">
        <v>24100</v>
      </c>
    </row>
    <row r="19">
      <c r="A19" s="9" t="inlineStr">
        <is>
          <t>PATRIMONIO</t>
        </is>
      </c>
      <c r="B19" s="10" t="n"/>
      <c r="C19" s="10" t="n"/>
      <c r="D19" s="10" t="n"/>
    </row>
    <row r="20">
      <c r="A20" s="14" t="inlineStr">
        <is>
          <t>5011</t>
        </is>
      </c>
      <c r="B20" s="10" t="inlineStr">
        <is>
          <t>Capital — acciones</t>
        </is>
      </c>
      <c r="C20" s="15" t="n">
        <v>70000</v>
      </c>
      <c r="D20" s="15" t="n">
        <v>70000</v>
      </c>
    </row>
    <row r="21">
      <c r="A21" s="14" t="inlineStr">
        <is>
          <t>5911</t>
        </is>
      </c>
      <c r="B21" s="10" t="inlineStr">
        <is>
          <t>Resultados acumulados</t>
        </is>
      </c>
      <c r="C21" s="15" t="n">
        <v>1900</v>
      </c>
      <c r="D21" s="15" t="n">
        <v>1900</v>
      </c>
    </row>
    <row r="22">
      <c r="A22" s="14" t="inlineStr">
        <is>
          <t>59</t>
        </is>
      </c>
      <c r="B22" s="10" t="inlineStr">
        <is>
          <t>Resultado del ejercicio</t>
        </is>
      </c>
      <c r="C22" s="15" t="n">
        <v>-10059.46</v>
      </c>
      <c r="D22" s="15" t="n">
        <v>0</v>
      </c>
    </row>
    <row r="23">
      <c r="A23" s="16" t="inlineStr"/>
      <c r="B23" s="17" t="inlineStr">
        <is>
          <t>TOTAL PATRIMONIO</t>
        </is>
      </c>
      <c r="C23" s="18" t="n">
        <v>61840.54</v>
      </c>
      <c r="D23" s="18" t="n">
        <v>71900</v>
      </c>
    </row>
    <row r="24">
      <c r="A24" s="16" t="inlineStr"/>
      <c r="B24" s="17" t="inlineStr">
        <is>
          <t>TOTAL PASIVO Y PATRIMONIO</t>
        </is>
      </c>
      <c r="C24" s="18" t="n">
        <v>76840.53999999999</v>
      </c>
      <c r="D24" s="18" t="n">
        <v>96000</v>
      </c>
    </row>
    <row r="26">
      <c r="A26" s="19" t="n"/>
      <c r="B26" s="20" t="inlineStr">
        <is>
          <t>EFECTIVO Y EQUIVALENTES DE EFECTIVO</t>
        </is>
      </c>
      <c r="C26" s="21" t="n">
        <v>52750</v>
      </c>
      <c r="D26" s="21" t="n">
        <v>30000</v>
      </c>
    </row>
    <row r="27">
      <c r="A27" s="19" t="n"/>
      <c r="B27" s="22" t="inlineStr">
        <is>
          <t>VARIACIÓN DEL EFECTIVO EN EL MES</t>
        </is>
      </c>
      <c r="C27" s="21" t="n">
        <v>22750</v>
      </c>
      <c r="D27" s="19" t="n"/>
    </row>
    <row r="29">
      <c r="A29" s="23" t="inlineStr">
        <is>
          <t>Las filas en amarillo son el efectivo. Esa variación de S/ 22,750.00 es la que el estado de flujos tiene que explicar, renglón por renglón.</t>
        </is>
      </c>
    </row>
    <row r="30"/>
  </sheetData>
  <mergeCells count="6">
    <mergeCell ref="A1:D1"/>
    <mergeCell ref="A5:D5"/>
    <mergeCell ref="A29:D30"/>
    <mergeCell ref="A19:D19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42" customWidth="1" min="4" max="4"/>
    <col width="14" customWidth="1" min="5" max="5"/>
    <col width="14" customWidth="1" min="6" max="6"/>
    <col width="17" customWidth="1" min="7" max="7"/>
    <col width="16" customWidth="1" min="8" max="8"/>
    <col width="44" customWidth="1" min="9" max="9"/>
  </cols>
  <sheetData>
    <row r="1" ht="24" customHeight="1">
      <c r="A1" s="24" t="inlineStr">
        <is>
          <t>LIBRO DIARIO — COMERCIAL LOS ANDES E.I.R.L.</t>
        </is>
      </c>
    </row>
    <row r="2">
      <c r="A2" s="7" t="inlineStr">
        <is>
          <t>RUC 20548877231  ·  Marzo de 2026  ·  formato 5.1  ·  completa las columnas G e I</t>
        </is>
      </c>
    </row>
    <row r="4" ht="28" customHeight="1">
      <c r="A4" s="25" t="inlineStr">
        <is>
          <t>N°</t>
        </is>
      </c>
      <c r="B4" s="25" t="inlineStr">
        <is>
          <t>Fecha</t>
        </is>
      </c>
      <c r="C4" s="25" t="inlineStr">
        <is>
          <t>Código</t>
        </is>
      </c>
      <c r="D4" s="25" t="inlineStr">
        <is>
          <t>Denominación</t>
        </is>
      </c>
      <c r="E4" s="25" t="inlineStr">
        <is>
          <t>Debe</t>
        </is>
      </c>
      <c r="F4" s="25" t="inlineStr">
        <is>
          <t>Haber</t>
        </is>
      </c>
      <c r="G4" s="25" t="inlineStr">
        <is>
          <t>¿Mueve efectivo?</t>
        </is>
      </c>
      <c r="H4" s="25" t="inlineStr">
        <is>
          <t>Importe del flujo</t>
        </is>
      </c>
      <c r="I4" s="25" t="inlineStr">
        <is>
          <t>¿A qué renglón del flujo va?</t>
        </is>
      </c>
    </row>
    <row r="5">
      <c r="A5" s="26" t="inlineStr">
        <is>
          <t>A-01   ·   01/03/2026   ·   Por el asiento de apertura</t>
        </is>
      </c>
      <c r="B5" s="27" t="n"/>
      <c r="C5" s="27" t="n"/>
      <c r="D5" s="27" t="n"/>
      <c r="E5" s="27" t="n"/>
      <c r="F5" s="27" t="n"/>
      <c r="G5" s="28" t="n"/>
      <c r="H5" s="29">
        <f>IF($G$5="SÍ",SUMPRODUCT((($C$6:$C$13="101")+($C$6:$C$13="102")+($C$6:$C$13="1041"))*($E$6:$E$13-$F$6:$F$13)),0)</f>
        <v/>
      </c>
      <c r="I5" s="12" t="n"/>
    </row>
    <row r="6">
      <c r="A6" s="12" t="n"/>
      <c r="B6" s="12" t="n"/>
      <c r="C6" s="30" t="inlineStr">
        <is>
          <t>101</t>
        </is>
      </c>
      <c r="D6" s="12" t="inlineStr">
        <is>
          <t>CAJA</t>
        </is>
      </c>
      <c r="E6" s="13" t="n">
        <v>3000</v>
      </c>
      <c r="F6" s="13" t="n"/>
      <c r="G6" s="10" t="n"/>
      <c r="H6" s="10" t="n"/>
      <c r="I6" s="10" t="n"/>
    </row>
    <row r="7">
      <c r="A7" s="12" t="n"/>
      <c r="B7" s="12" t="n"/>
      <c r="C7" s="30" t="inlineStr">
        <is>
          <t>1041</t>
        </is>
      </c>
      <c r="D7" s="12" t="inlineStr">
        <is>
          <t>CUENTAS CORRIENTES OPERATIVAS</t>
        </is>
      </c>
      <c r="E7" s="13" t="n">
        <v>27000</v>
      </c>
      <c r="F7" s="13" t="n"/>
      <c r="G7" s="10" t="n"/>
      <c r="H7" s="10" t="n"/>
      <c r="I7" s="10" t="n"/>
    </row>
    <row r="8">
      <c r="A8" s="10" t="n"/>
      <c r="B8" s="10" t="n"/>
      <c r="C8" s="31" t="inlineStr">
        <is>
          <t>1212</t>
        </is>
      </c>
      <c r="D8" s="10" t="inlineStr">
        <is>
          <t>FACTURAS POR COBRAR EMITIDAS EN CARTERA — TERCEROS</t>
        </is>
      </c>
      <c r="E8" s="15" t="n">
        <v>48000</v>
      </c>
      <c r="F8" s="15" t="n"/>
      <c r="G8" s="10" t="n"/>
      <c r="H8" s="10" t="n"/>
      <c r="I8" s="10" t="n"/>
    </row>
    <row r="9">
      <c r="A9" s="10" t="n"/>
      <c r="B9" s="10" t="n"/>
      <c r="C9" s="31" t="inlineStr">
        <is>
          <t>2011</t>
        </is>
      </c>
      <c r="D9" s="10" t="inlineStr">
        <is>
          <t>MERCADERÍAS MANUFACTURADAS</t>
        </is>
      </c>
      <c r="E9" s="15" t="n">
        <v>18000</v>
      </c>
      <c r="F9" s="15" t="n"/>
      <c r="G9" s="10" t="n"/>
      <c r="H9" s="10" t="n"/>
      <c r="I9" s="10" t="n"/>
    </row>
    <row r="10">
      <c r="A10" s="10" t="n"/>
      <c r="B10" s="10" t="n"/>
      <c r="C10" s="31" t="inlineStr">
        <is>
          <t>4212</t>
        </is>
      </c>
      <c r="D10" s="10" t="inlineStr">
        <is>
          <t>FACTURAS EMITIDAS POR PAGAR — TERCEROS</t>
        </is>
      </c>
      <c r="E10" s="15" t="n"/>
      <c r="F10" s="15" t="n">
        <v>21000</v>
      </c>
      <c r="G10" s="10" t="n"/>
      <c r="H10" s="10" t="n"/>
      <c r="I10" s="10" t="n"/>
    </row>
    <row r="11">
      <c r="A11" s="10" t="n"/>
      <c r="B11" s="10" t="n"/>
      <c r="C11" s="31" t="inlineStr">
        <is>
          <t>40111</t>
        </is>
      </c>
      <c r="D11" s="10" t="inlineStr">
        <is>
          <t>IGV — CUENTA PROPIA</t>
        </is>
      </c>
      <c r="E11" s="15" t="n"/>
      <c r="F11" s="15" t="n">
        <v>3100</v>
      </c>
      <c r="G11" s="10" t="n"/>
      <c r="H11" s="10" t="n"/>
      <c r="I11" s="10" t="n"/>
    </row>
    <row r="12">
      <c r="A12" s="10" t="n"/>
      <c r="B12" s="10" t="n"/>
      <c r="C12" s="31" t="inlineStr">
        <is>
          <t>5011</t>
        </is>
      </c>
      <c r="D12" s="10" t="inlineStr">
        <is>
          <t>ACCIONES</t>
        </is>
      </c>
      <c r="E12" s="15" t="n"/>
      <c r="F12" s="15" t="n">
        <v>70000</v>
      </c>
      <c r="G12" s="10" t="n"/>
      <c r="H12" s="10" t="n"/>
      <c r="I12" s="10" t="n"/>
    </row>
    <row r="13">
      <c r="A13" s="10" t="n"/>
      <c r="B13" s="10" t="n"/>
      <c r="C13" s="31" t="inlineStr">
        <is>
          <t>5911</t>
        </is>
      </c>
      <c r="D13" s="10" t="inlineStr">
        <is>
          <t>UTILIDADES ACUMULADAS</t>
        </is>
      </c>
      <c r="E13" s="15" t="n"/>
      <c r="F13" s="15" t="n">
        <v>1900</v>
      </c>
      <c r="G13" s="10" t="n"/>
      <c r="H13" s="10" t="n"/>
      <c r="I13" s="10" t="n"/>
    </row>
    <row r="15">
      <c r="A15" s="26" t="inlineStr">
        <is>
          <t>A-02   ·   03/03/2026   ·   Por el cobro de las facturas del mes anterior</t>
        </is>
      </c>
      <c r="B15" s="27" t="n"/>
      <c r="C15" s="27" t="n"/>
      <c r="D15" s="27" t="n"/>
      <c r="E15" s="27" t="n"/>
      <c r="F15" s="27" t="n"/>
      <c r="G15" s="28" t="n"/>
      <c r="H15" s="29">
        <f>IF($G$15="SÍ",SUMPRODUCT((($C$16:$C$17="101")+($C$16:$C$17="102")+($C$16:$C$17="1041"))*($E$16:$E$17-$F$16:$F$17)),0)</f>
        <v/>
      </c>
      <c r="I15" s="12" t="n"/>
    </row>
    <row r="16">
      <c r="A16" s="12" t="n"/>
      <c r="B16" s="12" t="n"/>
      <c r="C16" s="30" t="inlineStr">
        <is>
          <t>1041</t>
        </is>
      </c>
      <c r="D16" s="12" t="inlineStr">
        <is>
          <t>CUENTAS CORRIENTES OPERATIVAS</t>
        </is>
      </c>
      <c r="E16" s="13" t="n">
        <v>48000</v>
      </c>
      <c r="F16" s="13" t="n"/>
      <c r="G16" s="10" t="n"/>
      <c r="H16" s="10" t="n"/>
      <c r="I16" s="10" t="n"/>
    </row>
    <row r="17">
      <c r="A17" s="10" t="n"/>
      <c r="B17" s="10" t="n"/>
      <c r="C17" s="31" t="inlineStr">
        <is>
          <t>1212</t>
        </is>
      </c>
      <c r="D17" s="10" t="inlineStr">
        <is>
          <t>FACTURAS POR COBRAR EMITIDAS EN CARTERA — TERCEROS</t>
        </is>
      </c>
      <c r="E17" s="15" t="n"/>
      <c r="F17" s="15" t="n">
        <v>48000</v>
      </c>
      <c r="G17" s="10" t="n"/>
      <c r="H17" s="10" t="n"/>
      <c r="I17" s="10" t="n"/>
    </row>
    <row r="19">
      <c r="A19" s="26" t="inlineStr">
        <is>
          <t>A-03   ·   05/03/2026   ·   Por el pago a los proveedores de mercadería</t>
        </is>
      </c>
      <c r="B19" s="27" t="n"/>
      <c r="C19" s="27" t="n"/>
      <c r="D19" s="27" t="n"/>
      <c r="E19" s="27" t="n"/>
      <c r="F19" s="27" t="n"/>
      <c r="G19" s="28" t="n"/>
      <c r="H19" s="29">
        <f>IF($G$19="SÍ",SUMPRODUCT((($C$20:$C$21="101")+($C$20:$C$21="102")+($C$20:$C$21="1041"))*($E$20:$E$21-$F$20:$F$21)),0)</f>
        <v/>
      </c>
      <c r="I19" s="12" t="n"/>
    </row>
    <row r="20">
      <c r="A20" s="10" t="n"/>
      <c r="B20" s="10" t="n"/>
      <c r="C20" s="31" t="inlineStr">
        <is>
          <t>4212</t>
        </is>
      </c>
      <c r="D20" s="10" t="inlineStr">
        <is>
          <t>FACTURAS EMITIDAS POR PAGAR — TERCEROS</t>
        </is>
      </c>
      <c r="E20" s="15" t="n">
        <v>21000</v>
      </c>
      <c r="F20" s="15" t="n"/>
      <c r="G20" s="10" t="n"/>
      <c r="H20" s="10" t="n"/>
      <c r="I20" s="10" t="n"/>
    </row>
    <row r="21">
      <c r="A21" s="12" t="n"/>
      <c r="B21" s="12" t="n"/>
      <c r="C21" s="30" t="inlineStr">
        <is>
          <t>1041</t>
        </is>
      </c>
      <c r="D21" s="12" t="inlineStr">
        <is>
          <t>CUENTAS CORRIENTES OPERATIVAS</t>
        </is>
      </c>
      <c r="E21" s="13" t="n"/>
      <c r="F21" s="13" t="n">
        <v>21000</v>
      </c>
      <c r="G21" s="10" t="n"/>
      <c r="H21" s="10" t="n"/>
      <c r="I21" s="10" t="n"/>
    </row>
    <row r="23">
      <c r="A23" s="26" t="inlineStr">
        <is>
          <t>A-04   ·   08/03/2026   ·   Por la compra de una computadora al contado</t>
        </is>
      </c>
      <c r="B23" s="27" t="n"/>
      <c r="C23" s="27" t="n"/>
      <c r="D23" s="27" t="n"/>
      <c r="E23" s="27" t="n"/>
      <c r="F23" s="27" t="n"/>
      <c r="G23" s="28" t="n"/>
      <c r="H23" s="29">
        <f>IF($G$23="SÍ",SUMPRODUCT((($C$24:$C$26="101")+($C$24:$C$26="102")+($C$24:$C$26="1041"))*($E$24:$E$26-$F$24:$F$26)),0)</f>
        <v/>
      </c>
      <c r="I23" s="12" t="n"/>
    </row>
    <row r="24">
      <c r="A24" s="10" t="n"/>
      <c r="B24" s="10" t="n"/>
      <c r="C24" s="31" t="inlineStr">
        <is>
          <t>33611</t>
        </is>
      </c>
      <c r="D24" s="10" t="inlineStr">
        <is>
          <t>EQUIPOS DE PROCESAMIENTO DE INFORMACIÓN — COSTO</t>
        </is>
      </c>
      <c r="E24" s="15" t="n">
        <v>5254.24</v>
      </c>
      <c r="F24" s="15" t="n"/>
      <c r="G24" s="10" t="n"/>
      <c r="H24" s="10" t="n"/>
      <c r="I24" s="10" t="n"/>
    </row>
    <row r="25">
      <c r="A25" s="10" t="n"/>
      <c r="B25" s="10" t="n"/>
      <c r="C25" s="31" t="inlineStr">
        <is>
          <t>40111</t>
        </is>
      </c>
      <c r="D25" s="10" t="inlineStr">
        <is>
          <t>IGV — CUENTA PROPIA</t>
        </is>
      </c>
      <c r="E25" s="15" t="n">
        <v>945.76</v>
      </c>
      <c r="F25" s="15" t="n"/>
      <c r="G25" s="10" t="n"/>
      <c r="H25" s="10" t="n"/>
      <c r="I25" s="10" t="n"/>
    </row>
    <row r="26">
      <c r="A26" s="12" t="n"/>
      <c r="B26" s="12" t="n"/>
      <c r="C26" s="30" t="inlineStr">
        <is>
          <t>1041</t>
        </is>
      </c>
      <c r="D26" s="12" t="inlineStr">
        <is>
          <t>CUENTAS CORRIENTES OPERATIVAS</t>
        </is>
      </c>
      <c r="E26" s="13" t="n"/>
      <c r="F26" s="13" t="n">
        <v>6200</v>
      </c>
      <c r="G26" s="10" t="n"/>
      <c r="H26" s="10" t="n"/>
      <c r="I26" s="10" t="n"/>
    </row>
    <row r="28">
      <c r="A28" s="26" t="inlineStr">
        <is>
          <t>A-05   ·   10/03/2026   ·   Por el préstamo desembolsado por el banco</t>
        </is>
      </c>
      <c r="B28" s="27" t="n"/>
      <c r="C28" s="27" t="n"/>
      <c r="D28" s="27" t="n"/>
      <c r="E28" s="27" t="n"/>
      <c r="F28" s="27" t="n"/>
      <c r="G28" s="28" t="n"/>
      <c r="H28" s="29">
        <f>IF($G$28="SÍ",SUMPRODUCT((($C$29:$C$30="101")+($C$29:$C$30="102")+($C$29:$C$30="1041"))*($E$29:$E$30-$F$29:$F$30)),0)</f>
        <v/>
      </c>
      <c r="I28" s="12" t="n"/>
    </row>
    <row r="29">
      <c r="A29" s="12" t="n"/>
      <c r="B29" s="12" t="n"/>
      <c r="C29" s="30" t="inlineStr">
        <is>
          <t>1041</t>
        </is>
      </c>
      <c r="D29" s="12" t="inlineStr">
        <is>
          <t>CUENTAS CORRIENTES OPERATIVAS</t>
        </is>
      </c>
      <c r="E29" s="13" t="n">
        <v>15000</v>
      </c>
      <c r="F29" s="13" t="n"/>
      <c r="G29" s="10" t="n"/>
      <c r="H29" s="10" t="n"/>
      <c r="I29" s="10" t="n"/>
    </row>
    <row r="30">
      <c r="A30" s="10" t="n"/>
      <c r="B30" s="10" t="n"/>
      <c r="C30" s="31" t="inlineStr">
        <is>
          <t>4511</t>
        </is>
      </c>
      <c r="D30" s="10" t="inlineStr">
        <is>
          <t>PRÉSTAMOS DE INSTITUCIONES FINANCIERAS</t>
        </is>
      </c>
      <c r="E30" s="15" t="n"/>
      <c r="F30" s="15" t="n">
        <v>15000</v>
      </c>
      <c r="G30" s="10" t="n"/>
      <c r="H30" s="10" t="n"/>
      <c r="I30" s="10" t="n"/>
    </row>
    <row r="32">
      <c r="A32" s="26" t="inlineStr">
        <is>
          <t>A-06   ·   25/03/2026   ·   Por la planilla del mes</t>
        </is>
      </c>
      <c r="B32" s="27" t="n"/>
      <c r="C32" s="27" t="n"/>
      <c r="D32" s="27" t="n"/>
      <c r="E32" s="27" t="n"/>
      <c r="F32" s="27" t="n"/>
      <c r="G32" s="28" t="n"/>
      <c r="H32" s="29">
        <f>IF($G$32="SÍ",SUMPRODUCT((($C$33:$C$34="101")+($C$33:$C$34="102")+($C$33:$C$34="1041"))*($E$33:$E$34-$F$33:$F$34)),0)</f>
        <v/>
      </c>
      <c r="I32" s="12" t="n"/>
    </row>
    <row r="33">
      <c r="A33" s="10" t="n"/>
      <c r="B33" s="10" t="n"/>
      <c r="C33" s="31" t="inlineStr">
        <is>
          <t>6211</t>
        </is>
      </c>
      <c r="D33" s="10" t="inlineStr">
        <is>
          <t>SUELDOS Y SALARIOS</t>
        </is>
      </c>
      <c r="E33" s="15" t="n">
        <v>9500</v>
      </c>
      <c r="F33" s="15" t="n"/>
      <c r="G33" s="10" t="n"/>
      <c r="H33" s="10" t="n"/>
      <c r="I33" s="10" t="n"/>
    </row>
    <row r="34">
      <c r="A34" s="10" t="n"/>
      <c r="B34" s="10" t="n"/>
      <c r="C34" s="31" t="inlineStr">
        <is>
          <t>4111</t>
        </is>
      </c>
      <c r="D34" s="10" t="inlineStr">
        <is>
          <t>SUELDOS Y SALARIOS POR PAGAR</t>
        </is>
      </c>
      <c r="E34" s="15" t="n"/>
      <c r="F34" s="15" t="n">
        <v>9500</v>
      </c>
      <c r="G34" s="10" t="n"/>
      <c r="H34" s="10" t="n"/>
      <c r="I34" s="10" t="n"/>
    </row>
    <row r="36">
      <c r="A36" s="26" t="inlineStr">
        <is>
          <t>A-07   ·   28/03/2026   ·   Por el pago de la planilla del mes</t>
        </is>
      </c>
      <c r="B36" s="27" t="n"/>
      <c r="C36" s="27" t="n"/>
      <c r="D36" s="27" t="n"/>
      <c r="E36" s="27" t="n"/>
      <c r="F36" s="27" t="n"/>
      <c r="G36" s="28" t="n"/>
      <c r="H36" s="29">
        <f>IF($G$36="SÍ",SUMPRODUCT((($C$37:$C$38="101")+($C$37:$C$38="102")+($C$37:$C$38="1041"))*($E$37:$E$38-$F$37:$F$38)),0)</f>
        <v/>
      </c>
      <c r="I36" s="12" t="n"/>
    </row>
    <row r="37">
      <c r="A37" s="10" t="n"/>
      <c r="B37" s="10" t="n"/>
      <c r="C37" s="31" t="inlineStr">
        <is>
          <t>4111</t>
        </is>
      </c>
      <c r="D37" s="10" t="inlineStr">
        <is>
          <t>SUELDOS Y SALARIOS POR PAGAR</t>
        </is>
      </c>
      <c r="E37" s="15" t="n">
        <v>9500</v>
      </c>
      <c r="F37" s="15" t="n"/>
      <c r="G37" s="10" t="n"/>
      <c r="H37" s="10" t="n"/>
      <c r="I37" s="10" t="n"/>
    </row>
    <row r="38">
      <c r="A38" s="12" t="n"/>
      <c r="B38" s="12" t="n"/>
      <c r="C38" s="30" t="inlineStr">
        <is>
          <t>1041</t>
        </is>
      </c>
      <c r="D38" s="12" t="inlineStr">
        <is>
          <t>CUENTAS CORRIENTES OPERATIVAS</t>
        </is>
      </c>
      <c r="E38" s="13" t="n"/>
      <c r="F38" s="13" t="n">
        <v>9500</v>
      </c>
      <c r="G38" s="10" t="n"/>
      <c r="H38" s="10" t="n"/>
      <c r="I38" s="10" t="n"/>
    </row>
    <row r="40">
      <c r="A40" s="26" t="inlineStr">
        <is>
          <t>A-08   ·   29/03/2026   ·   Por el pago del IGV de febrero a la SUNAT</t>
        </is>
      </c>
      <c r="B40" s="27" t="n"/>
      <c r="C40" s="27" t="n"/>
      <c r="D40" s="27" t="n"/>
      <c r="E40" s="27" t="n"/>
      <c r="F40" s="27" t="n"/>
      <c r="G40" s="28" t="n"/>
      <c r="H40" s="29">
        <f>IF($G$40="SÍ",SUMPRODUCT((($C$41:$C$42="101")+($C$41:$C$42="102")+($C$41:$C$42="1041"))*($E$41:$E$42-$F$41:$F$42)),0)</f>
        <v/>
      </c>
      <c r="I40" s="12" t="n"/>
    </row>
    <row r="41">
      <c r="A41" s="10" t="n"/>
      <c r="B41" s="10" t="n"/>
      <c r="C41" s="31" t="inlineStr">
        <is>
          <t>40111</t>
        </is>
      </c>
      <c r="D41" s="10" t="inlineStr">
        <is>
          <t>IGV — CUENTA PROPIA</t>
        </is>
      </c>
      <c r="E41" s="15" t="n">
        <v>3100</v>
      </c>
      <c r="F41" s="15" t="n"/>
      <c r="G41" s="10" t="n"/>
      <c r="H41" s="10" t="n"/>
      <c r="I41" s="10" t="n"/>
    </row>
    <row r="42">
      <c r="A42" s="12" t="n"/>
      <c r="B42" s="12" t="n"/>
      <c r="C42" s="30" t="inlineStr">
        <is>
          <t>1041</t>
        </is>
      </c>
      <c r="D42" s="12" t="inlineStr">
        <is>
          <t>CUENTAS CORRIENTES OPERATIVAS</t>
        </is>
      </c>
      <c r="E42" s="13" t="n"/>
      <c r="F42" s="13" t="n">
        <v>3100</v>
      </c>
      <c r="G42" s="10" t="n"/>
      <c r="H42" s="10" t="n"/>
      <c r="I42" s="10" t="n"/>
    </row>
    <row r="44">
      <c r="A44" s="26" t="inlineStr">
        <is>
          <t>A-09   ·   30/03/2026   ·   Por los intereses del préstamo bancario</t>
        </is>
      </c>
      <c r="B44" s="27" t="n"/>
      <c r="C44" s="27" t="n"/>
      <c r="D44" s="27" t="n"/>
      <c r="E44" s="27" t="n"/>
      <c r="F44" s="27" t="n"/>
      <c r="G44" s="28" t="n"/>
      <c r="H44" s="29">
        <f>IF($G$44="SÍ",SUMPRODUCT((($C$45:$C$46="101")+($C$45:$C$46="102")+($C$45:$C$46="1041"))*($E$45:$E$46-$F$45:$F$46)),0)</f>
        <v/>
      </c>
      <c r="I44" s="12" t="n"/>
    </row>
    <row r="45">
      <c r="A45" s="10" t="n"/>
      <c r="B45" s="10" t="n"/>
      <c r="C45" s="31" t="inlineStr">
        <is>
          <t>6731</t>
        </is>
      </c>
      <c r="D45" s="10" t="inlineStr">
        <is>
          <t>PRÉSTAMOS DE INSTITUCIONES FINANCIERAS</t>
        </is>
      </c>
      <c r="E45" s="15" t="n">
        <v>450</v>
      </c>
      <c r="F45" s="15" t="n"/>
      <c r="G45" s="10" t="n"/>
      <c r="H45" s="10" t="n"/>
      <c r="I45" s="10" t="n"/>
    </row>
    <row r="46">
      <c r="A46" s="12" t="n"/>
      <c r="B46" s="12" t="n"/>
      <c r="C46" s="30" t="inlineStr">
        <is>
          <t>1041</t>
        </is>
      </c>
      <c r="D46" s="12" t="inlineStr">
        <is>
          <t>CUENTAS CORRIENTES OPERATIVAS</t>
        </is>
      </c>
      <c r="E46" s="13" t="n"/>
      <c r="F46" s="13" t="n">
        <v>450</v>
      </c>
      <c r="G46" s="10" t="n"/>
      <c r="H46" s="10" t="n"/>
      <c r="I46" s="10" t="n"/>
    </row>
    <row r="48">
      <c r="A48" s="26" t="inlineStr">
        <is>
          <t>A-10   ·   31/03/2026   ·   Por la depreciación del mes</t>
        </is>
      </c>
      <c r="B48" s="27" t="n"/>
      <c r="C48" s="27" t="n"/>
      <c r="D48" s="27" t="n"/>
      <c r="E48" s="27" t="n"/>
      <c r="F48" s="27" t="n"/>
      <c r="G48" s="28" t="n"/>
      <c r="H48" s="29">
        <f>IF($G$48="SÍ",SUMPRODUCT((($C$49:$C$50="101")+($C$49:$C$50="102")+($C$49:$C$50="1041"))*($E$49:$E$50-$F$49:$F$50)),0)</f>
        <v/>
      </c>
      <c r="I48" s="12" t="n"/>
    </row>
    <row r="49">
      <c r="A49" s="10" t="n"/>
      <c r="B49" s="10" t="n"/>
      <c r="C49" s="31" t="inlineStr">
        <is>
          <t>68142</t>
        </is>
      </c>
      <c r="D49" s="10" t="inlineStr">
        <is>
          <t>DEPRECIACIÓN DE EQUIPOS DE PROCESAMIENTO</t>
        </is>
      </c>
      <c r="E49" s="15" t="n">
        <v>109.46</v>
      </c>
      <c r="F49" s="15" t="n"/>
      <c r="G49" s="10" t="n"/>
      <c r="H49" s="10" t="n"/>
      <c r="I49" s="10" t="n"/>
    </row>
    <row r="50">
      <c r="A50" s="10" t="n"/>
      <c r="B50" s="10" t="n"/>
      <c r="C50" s="31" t="inlineStr">
        <is>
          <t>39133</t>
        </is>
      </c>
      <c r="D50" s="10" t="inlineStr">
        <is>
          <t>DEP. ACUM. — EQUIPOS DE PROCESAMIENTO</t>
        </is>
      </c>
      <c r="E50" s="15" t="n"/>
      <c r="F50" s="15" t="n">
        <v>109.46</v>
      </c>
      <c r="G50" s="10" t="n"/>
      <c r="H50" s="10" t="n"/>
      <c r="I50" s="10" t="n"/>
    </row>
    <row r="53">
      <c r="D53" s="32" t="inlineStr">
        <is>
          <t>Asientos marcados:</t>
        </is>
      </c>
      <c r="G53" s="32">
        <f>COUNTIF($G$5:$G$52,"SÍ")+COUNTIF($G$5:$G$52,"NO")&amp;" de 10"</f>
        <v/>
      </c>
    </row>
    <row r="54">
      <c r="D54" s="32" t="inlineStr">
        <is>
          <t>Suma de los importes del flujo:</t>
        </is>
      </c>
      <c r="H54" s="33">
        <f>SUM($H$5:$H$52)</f>
        <v/>
      </c>
    </row>
    <row r="55">
      <c r="D55" s="34" t="inlineStr">
        <is>
          <t>Tiene que dar la variación del efectivo:</t>
        </is>
      </c>
      <c r="H55" s="35" t="n">
        <v>22750</v>
      </c>
    </row>
  </sheetData>
  <mergeCells count="12">
    <mergeCell ref="A2:I2"/>
    <mergeCell ref="A28:F28"/>
    <mergeCell ref="A19:F19"/>
    <mergeCell ref="A36:F36"/>
    <mergeCell ref="A44:F44"/>
    <mergeCell ref="A5:F5"/>
    <mergeCell ref="A23:F23"/>
    <mergeCell ref="A32:F32"/>
    <mergeCell ref="A1:I1"/>
    <mergeCell ref="A40:F40"/>
    <mergeCell ref="A48:F48"/>
    <mergeCell ref="A15:F15"/>
  </mergeCells>
  <dataValidations count="2">
    <dataValidation sqref="G5 G15 G19 G23 G28 G32 G36 G40 G44 G48" showDropDown="0" showInputMessage="0" showErrorMessage="0" allowBlank="1" type="list">
      <formula1>=Listas!$C$2:$C$3</formula1>
    </dataValidation>
    <dataValidation sqref="I5 I15 I19 I23 I28 I32 I36 I40 I44 I48" showDropDown="0" showInputMessage="0" showErrorMessage="0" allowBlank="1" type="list">
      <formula1>=Listas!$A$2:$A$14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62" customWidth="1" min="2" max="2"/>
    <col width="18" customWidth="1" min="3" max="3"/>
  </cols>
  <sheetData>
    <row r="1" ht="24" customHeight="1">
      <c r="A1" s="36" t="inlineStr">
        <is>
          <t>ESTADO DE FLUJOS DE EFECTIVO — COMERCIAL LOS ANDES E.I.R.L.</t>
        </is>
      </c>
    </row>
    <row r="2">
      <c r="A2" s="7" t="inlineStr">
        <is>
          <t>RUC 20548877231  ·  Marzo de 2026  ·  método directo  ·  en soles  ·  se arma solo</t>
        </is>
      </c>
    </row>
    <row r="4" ht="28" customHeight="1">
      <c r="A4" s="37" t="inlineStr"/>
      <c r="B4" s="37" t="inlineStr">
        <is>
          <t>Concepto</t>
        </is>
      </c>
      <c r="C4" s="37" t="inlineStr">
        <is>
          <t>Importe</t>
        </is>
      </c>
    </row>
    <row r="5">
      <c r="A5" s="38" t="inlineStr">
        <is>
          <t>FLUJO DE EFECTIVO DE ACTIVIDADES DE OPERACIÓN</t>
        </is>
      </c>
      <c r="B5" s="10" t="n"/>
      <c r="C5" s="10" t="n"/>
    </row>
    <row r="6">
      <c r="A6" s="10" t="n"/>
      <c r="B6" s="39" t="inlineStr">
        <is>
          <t>Cobranzas a clientes por venta de bienes y servicios</t>
        </is>
      </c>
      <c r="C6" s="15">
        <f>SUMIF('Caso 5 · Diario'!$I$5:$I$52,$B6,'Caso 5 · Diario'!$H$5:$H$52)</f>
        <v/>
      </c>
    </row>
    <row r="7">
      <c r="A7" s="10" t="n"/>
      <c r="B7" s="39" t="inlineStr">
        <is>
          <t>Cobros de regalías, cuotas, comisiones y otros</t>
        </is>
      </c>
      <c r="C7" s="15">
        <f>SUMIF('Caso 5 · Diario'!$I$5:$I$52,$B7,'Caso 5 · Diario'!$H$5:$H$52)</f>
        <v/>
      </c>
    </row>
    <row r="8">
      <c r="A8" s="10" t="n"/>
      <c r="B8" s="39" t="inlineStr">
        <is>
          <t>Pagos a proveedores de bienes y servicios</t>
        </is>
      </c>
      <c r="C8" s="15">
        <f>SUMIF('Caso 5 · Diario'!$I$5:$I$52,$B8,'Caso 5 · Diario'!$H$5:$H$52)</f>
        <v/>
      </c>
    </row>
    <row r="9">
      <c r="A9" s="10" t="n"/>
      <c r="B9" s="39" t="inlineStr">
        <is>
          <t>Pagos de remuneraciones y beneficios sociales</t>
        </is>
      </c>
      <c r="C9" s="15">
        <f>SUMIF('Caso 5 · Diario'!$I$5:$I$52,$B9,'Caso 5 · Diario'!$H$5:$H$52)</f>
        <v/>
      </c>
    </row>
    <row r="10">
      <c r="A10" s="10" t="n"/>
      <c r="B10" s="39" t="inlineStr">
        <is>
          <t>Pago de impuesto a las ganancias</t>
        </is>
      </c>
      <c r="C10" s="15">
        <f>SUMIF('Caso 5 · Diario'!$I$5:$I$52,$B10,'Caso 5 · Diario'!$H$5:$H$52)</f>
        <v/>
      </c>
    </row>
    <row r="11">
      <c r="A11" s="10" t="n"/>
      <c r="B11" s="39" t="inlineStr">
        <is>
          <t>Pago de impuestos — IGV</t>
        </is>
      </c>
      <c r="C11" s="15">
        <f>SUMIF('Caso 5 · Diario'!$I$5:$I$52,$B11,'Caso 5 · Diario'!$H$5:$H$52)</f>
        <v/>
      </c>
    </row>
    <row r="12">
      <c r="A12" s="10" t="n"/>
      <c r="B12" s="39" t="inlineStr">
        <is>
          <t>Otros (pagos) cobros relativos a la actividad, neto</t>
        </is>
      </c>
      <c r="C12" s="15">
        <f>SUMIF('Caso 5 · Diario'!$I$5:$I$52,$B12,'Caso 5 · Diario'!$H$5:$H$52)</f>
        <v/>
      </c>
    </row>
    <row r="13">
      <c r="A13" s="40" t="n"/>
      <c r="B13" s="17" t="inlineStr">
        <is>
          <t>Efectivo neto de las actividades de operación</t>
        </is>
      </c>
      <c r="C13" s="18">
        <f>SUM($C$6:$C$12)</f>
        <v/>
      </c>
    </row>
    <row r="14">
      <c r="A14" s="38" t="inlineStr">
        <is>
          <t>FLUJO DE EFECTIVO DE ACTIVIDADES DE INVERSIÓN</t>
        </is>
      </c>
      <c r="B14" s="10" t="n"/>
      <c r="C14" s="10" t="n"/>
    </row>
    <row r="15">
      <c r="A15" s="10" t="n"/>
      <c r="B15" s="39" t="inlineStr">
        <is>
          <t>Cobro por venta de propiedades, planta y equipo</t>
        </is>
      </c>
      <c r="C15" s="15">
        <f>SUMIF('Caso 5 · Diario'!$I$5:$I$52,$B15,'Caso 5 · Diario'!$H$5:$H$52)</f>
        <v/>
      </c>
    </row>
    <row r="16">
      <c r="A16" s="10" t="n"/>
      <c r="B16" s="39" t="inlineStr">
        <is>
          <t>Pagos por compra de propiedades, planta y equipo</t>
        </is>
      </c>
      <c r="C16" s="15">
        <f>SUMIF('Caso 5 · Diario'!$I$5:$I$52,$B16,'Caso 5 · Diario'!$H$5:$H$52)</f>
        <v/>
      </c>
    </row>
    <row r="17">
      <c r="A17" s="40" t="n"/>
      <c r="B17" s="17" t="inlineStr">
        <is>
          <t>Efectivo neto de las actividades de inversión</t>
        </is>
      </c>
      <c r="C17" s="18">
        <f>SUM($C$15:$C$16)</f>
        <v/>
      </c>
    </row>
    <row r="18">
      <c r="A18" s="38" t="inlineStr">
        <is>
          <t>FLUJO DE EFECTIVO DE ACTIVIDADES DE FINANCIACIÓN</t>
        </is>
      </c>
      <c r="B18" s="10" t="n"/>
      <c r="C18" s="10" t="n"/>
    </row>
    <row r="19">
      <c r="A19" s="10" t="n"/>
      <c r="B19" s="39" t="inlineStr">
        <is>
          <t>Cobro de préstamos obtenidos</t>
        </is>
      </c>
      <c r="C19" s="15">
        <f>SUMIF('Caso 5 · Diario'!$I$5:$I$52,$B19,'Caso 5 · Diario'!$H$5:$H$52)</f>
        <v/>
      </c>
    </row>
    <row r="20">
      <c r="A20" s="10" t="n"/>
      <c r="B20" s="39" t="inlineStr">
        <is>
          <t>Amortización o pago de préstamos</t>
        </is>
      </c>
      <c r="C20" s="15">
        <f>SUMIF('Caso 5 · Diario'!$I$5:$I$52,$B20,'Caso 5 · Diario'!$H$5:$H$52)</f>
        <v/>
      </c>
    </row>
    <row r="21">
      <c r="A21" s="10" t="n"/>
      <c r="B21" s="39" t="inlineStr">
        <is>
          <t>Intereses pagados</t>
        </is>
      </c>
      <c r="C21" s="15">
        <f>SUMIF('Caso 5 · Diario'!$I$5:$I$52,$B21,'Caso 5 · Diario'!$H$5:$H$52)</f>
        <v/>
      </c>
    </row>
    <row r="22">
      <c r="A22" s="10" t="n"/>
      <c r="B22" s="39" t="inlineStr">
        <is>
          <t>Dividendos pagados</t>
        </is>
      </c>
      <c r="C22" s="15">
        <f>SUMIF('Caso 5 · Diario'!$I$5:$I$52,$B22,'Caso 5 · Diario'!$H$5:$H$52)</f>
        <v/>
      </c>
    </row>
    <row r="23">
      <c r="A23" s="40" t="n"/>
      <c r="B23" s="17" t="inlineStr">
        <is>
          <t>Efectivo neto de las actividades de financiación</t>
        </is>
      </c>
      <c r="C23" s="18">
        <f>SUM($C$19:$C$22)</f>
        <v/>
      </c>
    </row>
    <row r="25">
      <c r="A25" s="40" t="n"/>
      <c r="B25" s="17" t="inlineStr">
        <is>
          <t>AUMENTO (DISMINUCIÓN) NETO DE EFECTIVO Y EQUIVALENTES</t>
        </is>
      </c>
      <c r="C25" s="18">
        <f>$C$13+$C$17+$C$23</f>
        <v/>
      </c>
    </row>
    <row r="26">
      <c r="A26" s="40" t="n"/>
      <c r="B26" s="40" t="inlineStr">
        <is>
          <t>Saldo de efectivo y equivalentes al inicio del mes</t>
        </is>
      </c>
      <c r="C26" s="41" t="n">
        <v>30000</v>
      </c>
    </row>
    <row r="27">
      <c r="A27" s="19" t="n"/>
      <c r="B27" s="42" t="inlineStr">
        <is>
          <t>SALDO DE EFECTIVO Y EQUIVALENTES AL FINAL DEL MES</t>
        </is>
      </c>
      <c r="C27" s="43">
        <f>$C$25+$C$26</f>
        <v/>
      </c>
    </row>
    <row r="29">
      <c r="A29" s="44">
        <f>IF(ABS($C$27-52750.00)&lt;0.01,"✓ CUADRA: S/ 52,750.00, igual que el estado de situación financiera.","✗ Todavía no cuadra. Tiene que terminar en S/ 52,750.00 — revisa los asientos sin marcar o mal clasificados.")</f>
        <v/>
      </c>
    </row>
    <row r="30"/>
  </sheetData>
  <mergeCells count="6">
    <mergeCell ref="A1:C1"/>
    <mergeCell ref="A5:C5"/>
    <mergeCell ref="A14:C14"/>
    <mergeCell ref="A18:C18"/>
    <mergeCell ref="A29:C30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6" customWidth="1" min="4" max="4"/>
  </cols>
  <sheetData>
    <row r="1" ht="24" customHeight="1">
      <c r="A1" s="6" t="inlineStr">
        <is>
          <t>ESTADO DE SITUACIÓN FINANCIERA — SERVICIOS YANAHUARA S.A.C.</t>
        </is>
      </c>
    </row>
    <row r="2">
      <c r="A2" s="7" t="inlineStr">
        <is>
          <t>RUC 20601134908  ·  Abril de 2026  ·  en soles</t>
        </is>
      </c>
    </row>
    <row r="4" ht="28" customHeight="1">
      <c r="A4" s="8" t="inlineStr">
        <is>
          <t>Código</t>
        </is>
      </c>
      <c r="B4" s="8" t="inlineStr">
        <is>
          <t>Cuenta</t>
        </is>
      </c>
      <c r="C4" s="8" t="inlineStr">
        <is>
          <t>Al cierre</t>
        </is>
      </c>
      <c r="D4" s="8" t="inlineStr">
        <is>
          <t>Al inicio</t>
        </is>
      </c>
    </row>
    <row r="5">
      <c r="A5" s="9" t="inlineStr">
        <is>
          <t>ACTIVO</t>
        </is>
      </c>
      <c r="B5" s="10" t="n"/>
      <c r="C5" s="10" t="n"/>
      <c r="D5" s="10" t="n"/>
    </row>
    <row r="6">
      <c r="A6" s="11" t="inlineStr">
        <is>
          <t>101</t>
        </is>
      </c>
      <c r="B6" s="12" t="inlineStr">
        <is>
          <t>Caja</t>
        </is>
      </c>
      <c r="C6" s="13" t="n">
        <v>4250</v>
      </c>
      <c r="D6" s="13" t="n">
        <v>2500</v>
      </c>
    </row>
    <row r="7">
      <c r="A7" s="11" t="inlineStr">
        <is>
          <t>102</t>
        </is>
      </c>
      <c r="B7" s="12" t="inlineStr">
        <is>
          <t>Fondos fijos</t>
        </is>
      </c>
      <c r="C7" s="13" t="n">
        <v>1500</v>
      </c>
      <c r="D7" s="13" t="n">
        <v>1500</v>
      </c>
    </row>
    <row r="8">
      <c r="A8" s="11" t="inlineStr">
        <is>
          <t>1041</t>
        </is>
      </c>
      <c r="B8" s="12" t="inlineStr">
        <is>
          <t>Cuentas corrientes operativas</t>
        </is>
      </c>
      <c r="C8" s="13" t="n">
        <v>49500</v>
      </c>
      <c r="D8" s="13" t="n">
        <v>46000</v>
      </c>
    </row>
    <row r="9">
      <c r="A9" s="14" t="inlineStr">
        <is>
          <t>1212</t>
        </is>
      </c>
      <c r="B9" s="10" t="inlineStr">
        <is>
          <t>Facturas por cobrar — terceros</t>
        </is>
      </c>
      <c r="C9" s="15" t="n">
        <v>0</v>
      </c>
      <c r="D9" s="15" t="n">
        <v>62400</v>
      </c>
    </row>
    <row r="10">
      <c r="A10" s="14" t="inlineStr">
        <is>
          <t>33411</t>
        </is>
      </c>
      <c r="B10" s="10" t="inlineStr">
        <is>
          <t>Vehículos motorizados — costo</t>
        </is>
      </c>
      <c r="C10" s="15" t="n">
        <v>0</v>
      </c>
      <c r="D10" s="15" t="n">
        <v>42000</v>
      </c>
    </row>
    <row r="11">
      <c r="A11" s="14" t="inlineStr">
        <is>
          <t>33611</t>
        </is>
      </c>
      <c r="B11" s="10" t="inlineStr">
        <is>
          <t>Equipos de procesamiento de información</t>
        </is>
      </c>
      <c r="C11" s="15" t="n">
        <v>4025.42</v>
      </c>
      <c r="D11" s="15" t="n">
        <v>0</v>
      </c>
    </row>
    <row r="12">
      <c r="A12" s="14" t="inlineStr">
        <is>
          <t>39</t>
        </is>
      </c>
      <c r="B12" s="10" t="inlineStr">
        <is>
          <t>Depreciación acumulada</t>
        </is>
      </c>
      <c r="C12" s="15" t="n">
        <v>-83.86</v>
      </c>
      <c r="D12" s="15" t="n">
        <v>-34000</v>
      </c>
    </row>
    <row r="13">
      <c r="A13" s="16" t="inlineStr"/>
      <c r="B13" s="17" t="inlineStr">
        <is>
          <t>TOTAL ACTIVO</t>
        </is>
      </c>
      <c r="C13" s="18" t="n">
        <v>59191.56</v>
      </c>
      <c r="D13" s="18" t="n">
        <v>120400</v>
      </c>
    </row>
    <row r="14">
      <c r="A14" s="9" t="inlineStr">
        <is>
          <t>PASIVO</t>
        </is>
      </c>
      <c r="B14" s="10" t="n"/>
      <c r="C14" s="10" t="n"/>
      <c r="D14" s="10" t="n"/>
    </row>
    <row r="15">
      <c r="A15" s="14" t="inlineStr">
        <is>
          <t>40111</t>
        </is>
      </c>
      <c r="B15" s="10" t="inlineStr">
        <is>
          <t>Tributos por pagar — IGV</t>
        </is>
      </c>
      <c r="C15" s="15" t="n">
        <v>1197.45</v>
      </c>
      <c r="D15" s="15" t="n">
        <v>0</v>
      </c>
    </row>
    <row r="16">
      <c r="A16" s="14" t="inlineStr">
        <is>
          <t>4017</t>
        </is>
      </c>
      <c r="B16" s="10" t="inlineStr">
        <is>
          <t>Impuesto a la renta por pagar</t>
        </is>
      </c>
      <c r="C16" s="15" t="n">
        <v>0</v>
      </c>
      <c r="D16" s="15" t="n">
        <v>1850</v>
      </c>
    </row>
    <row r="17">
      <c r="A17" s="14" t="inlineStr">
        <is>
          <t>4212</t>
        </is>
      </c>
      <c r="B17" s="10" t="inlineStr">
        <is>
          <t>Facturas emitidas por pagar — terceros</t>
        </is>
      </c>
      <c r="C17" s="15" t="n">
        <v>0</v>
      </c>
      <c r="D17" s="15" t="n">
        <v>28900</v>
      </c>
    </row>
    <row r="18">
      <c r="A18" s="14" t="inlineStr">
        <is>
          <t>4511</t>
        </is>
      </c>
      <c r="B18" s="10" t="inlineStr">
        <is>
          <t>Préstamos de instituciones financieras</t>
        </is>
      </c>
      <c r="C18" s="15" t="n">
        <v>0</v>
      </c>
      <c r="D18" s="15" t="n">
        <v>12000</v>
      </c>
    </row>
    <row r="19">
      <c r="A19" s="16" t="inlineStr"/>
      <c r="B19" s="17" t="inlineStr">
        <is>
          <t>TOTAL PASIVO</t>
        </is>
      </c>
      <c r="C19" s="18" t="n">
        <v>1197.45</v>
      </c>
      <c r="D19" s="18" t="n">
        <v>42750</v>
      </c>
    </row>
    <row r="20">
      <c r="A20" s="9" t="inlineStr">
        <is>
          <t>PATRIMONIO</t>
        </is>
      </c>
      <c r="B20" s="10" t="n"/>
      <c r="C20" s="10" t="n"/>
      <c r="D20" s="10" t="n"/>
    </row>
    <row r="21">
      <c r="A21" s="14" t="inlineStr">
        <is>
          <t>5011</t>
        </is>
      </c>
      <c r="B21" s="10" t="inlineStr">
        <is>
          <t>Capital — acciones</t>
        </is>
      </c>
      <c r="C21" s="15" t="n">
        <v>60000</v>
      </c>
      <c r="D21" s="15" t="n">
        <v>60000</v>
      </c>
    </row>
    <row r="22">
      <c r="A22" s="14" t="inlineStr">
        <is>
          <t>5911</t>
        </is>
      </c>
      <c r="B22" s="10" t="inlineStr">
        <is>
          <t>Resultados acumulados</t>
        </is>
      </c>
      <c r="C22" s="15" t="n">
        <v>9650</v>
      </c>
      <c r="D22" s="15" t="n">
        <v>17650</v>
      </c>
    </row>
    <row r="23">
      <c r="A23" s="14" t="inlineStr">
        <is>
          <t>59</t>
        </is>
      </c>
      <c r="B23" s="10" t="inlineStr">
        <is>
          <t>Resultado del ejercicio</t>
        </is>
      </c>
      <c r="C23" s="15" t="n">
        <v>-11655.89</v>
      </c>
      <c r="D23" s="15" t="n">
        <v>0</v>
      </c>
    </row>
    <row r="24">
      <c r="A24" s="16" t="inlineStr"/>
      <c r="B24" s="17" t="inlineStr">
        <is>
          <t>TOTAL PATRIMONIO</t>
        </is>
      </c>
      <c r="C24" s="18" t="n">
        <v>57994.11</v>
      </c>
      <c r="D24" s="18" t="n">
        <v>77650</v>
      </c>
    </row>
    <row r="25">
      <c r="A25" s="16" t="inlineStr"/>
      <c r="B25" s="17" t="inlineStr">
        <is>
          <t>TOTAL PASIVO Y PATRIMONIO</t>
        </is>
      </c>
      <c r="C25" s="18" t="n">
        <v>59191.56</v>
      </c>
      <c r="D25" s="18" t="n">
        <v>120400</v>
      </c>
    </row>
    <row r="27">
      <c r="A27" s="19" t="n"/>
      <c r="B27" s="20" t="inlineStr">
        <is>
          <t>EFECTIVO Y EQUIVALENTES DE EFECTIVO</t>
        </is>
      </c>
      <c r="C27" s="21" t="n">
        <v>55250</v>
      </c>
      <c r="D27" s="21" t="n">
        <v>50000</v>
      </c>
    </row>
    <row r="28">
      <c r="A28" s="19" t="n"/>
      <c r="B28" s="22" t="inlineStr">
        <is>
          <t>VARIACIÓN DEL EFECTIVO EN EL MES</t>
        </is>
      </c>
      <c r="C28" s="21" t="n">
        <v>5250</v>
      </c>
      <c r="D28" s="19" t="n"/>
    </row>
    <row r="30">
      <c r="A30" s="23" t="inlineStr">
        <is>
          <t>Las filas en amarillo son el efectivo. Esa variación de S/ 5,250.00 es la que el estado de flujos tiene que explicar, renglón por renglón.</t>
        </is>
      </c>
    </row>
    <row r="31"/>
  </sheetData>
  <mergeCells count="6">
    <mergeCell ref="A1:D1"/>
    <mergeCell ref="A5:D5"/>
    <mergeCell ref="A30:D31"/>
    <mergeCell ref="A20:D20"/>
    <mergeCell ref="A2:D2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42" customWidth="1" min="4" max="4"/>
    <col width="14" customWidth="1" min="5" max="5"/>
    <col width="14" customWidth="1" min="6" max="6"/>
    <col width="17" customWidth="1" min="7" max="7"/>
    <col width="16" customWidth="1" min="8" max="8"/>
    <col width="44" customWidth="1" min="9" max="9"/>
  </cols>
  <sheetData>
    <row r="1" ht="24" customHeight="1">
      <c r="A1" s="24" t="inlineStr">
        <is>
          <t>LIBRO DIARIO — SERVICIOS YANAHUARA S.A.C.</t>
        </is>
      </c>
    </row>
    <row r="2">
      <c r="A2" s="7" t="inlineStr">
        <is>
          <t>RUC 20601134908  ·  Abril de 2026  ·  formato 5.1  ·  completa las columnas G e I</t>
        </is>
      </c>
    </row>
    <row r="4" ht="28" customHeight="1">
      <c r="A4" s="25" t="inlineStr">
        <is>
          <t>N°</t>
        </is>
      </c>
      <c r="B4" s="25" t="inlineStr">
        <is>
          <t>Fecha</t>
        </is>
      </c>
      <c r="C4" s="25" t="inlineStr">
        <is>
          <t>Código</t>
        </is>
      </c>
      <c r="D4" s="25" t="inlineStr">
        <is>
          <t>Denominación</t>
        </is>
      </c>
      <c r="E4" s="25" t="inlineStr">
        <is>
          <t>Debe</t>
        </is>
      </c>
      <c r="F4" s="25" t="inlineStr">
        <is>
          <t>Haber</t>
        </is>
      </c>
      <c r="G4" s="25" t="inlineStr">
        <is>
          <t>¿Mueve efectivo?</t>
        </is>
      </c>
      <c r="H4" s="25" t="inlineStr">
        <is>
          <t>Importe del flujo</t>
        </is>
      </c>
      <c r="I4" s="25" t="inlineStr">
        <is>
          <t>¿A qué renglón del flujo va?</t>
        </is>
      </c>
    </row>
    <row r="5">
      <c r="A5" s="26" t="inlineStr">
        <is>
          <t>B-01   ·   01/04/2026   ·   Por el asiento de apertura</t>
        </is>
      </c>
      <c r="B5" s="27" t="n"/>
      <c r="C5" s="27" t="n"/>
      <c r="D5" s="27" t="n"/>
      <c r="E5" s="27" t="n"/>
      <c r="F5" s="27" t="n"/>
      <c r="G5" s="28" t="n"/>
      <c r="H5" s="29">
        <f>IF($G$5="SÍ",SUMPRODUCT((($C$6:$C$16="101")+($C$6:$C$16="102")+($C$6:$C$16="1041"))*($E$6:$E$16-$F$6:$F$16)),0)</f>
        <v/>
      </c>
      <c r="I5" s="12" t="n"/>
    </row>
    <row r="6">
      <c r="A6" s="12" t="n"/>
      <c r="B6" s="12" t="n"/>
      <c r="C6" s="30" t="inlineStr">
        <is>
          <t>101</t>
        </is>
      </c>
      <c r="D6" s="12" t="inlineStr">
        <is>
          <t>CAJA</t>
        </is>
      </c>
      <c r="E6" s="13" t="n">
        <v>2500</v>
      </c>
      <c r="F6" s="13" t="n"/>
      <c r="G6" s="10" t="n"/>
      <c r="H6" s="10" t="n"/>
      <c r="I6" s="10" t="n"/>
    </row>
    <row r="7">
      <c r="A7" s="12" t="n"/>
      <c r="B7" s="12" t="n"/>
      <c r="C7" s="30" t="inlineStr">
        <is>
          <t>102</t>
        </is>
      </c>
      <c r="D7" s="12" t="inlineStr">
        <is>
          <t>FONDOS FIJOS</t>
        </is>
      </c>
      <c r="E7" s="13" t="n">
        <v>1500</v>
      </c>
      <c r="F7" s="13" t="n"/>
      <c r="G7" s="10" t="n"/>
      <c r="H7" s="10" t="n"/>
      <c r="I7" s="10" t="n"/>
    </row>
    <row r="8">
      <c r="A8" s="12" t="n"/>
      <c r="B8" s="12" t="n"/>
      <c r="C8" s="30" t="inlineStr">
        <is>
          <t>1041</t>
        </is>
      </c>
      <c r="D8" s="12" t="inlineStr">
        <is>
          <t>CUENTAS CORRIENTES OPERATIVAS</t>
        </is>
      </c>
      <c r="E8" s="13" t="n">
        <v>46000</v>
      </c>
      <c r="F8" s="13" t="n"/>
      <c r="G8" s="10" t="n"/>
      <c r="H8" s="10" t="n"/>
      <c r="I8" s="10" t="n"/>
    </row>
    <row r="9">
      <c r="A9" s="10" t="n"/>
      <c r="B9" s="10" t="n"/>
      <c r="C9" s="31" t="inlineStr">
        <is>
          <t>1212</t>
        </is>
      </c>
      <c r="D9" s="10" t="inlineStr">
        <is>
          <t>FACTURAS POR COBRAR EMITIDAS EN CARTERA — TERCEROS</t>
        </is>
      </c>
      <c r="E9" s="15" t="n">
        <v>62400</v>
      </c>
      <c r="F9" s="15" t="n"/>
      <c r="G9" s="10" t="n"/>
      <c r="H9" s="10" t="n"/>
      <c r="I9" s="10" t="n"/>
    </row>
    <row r="10">
      <c r="A10" s="10" t="n"/>
      <c r="B10" s="10" t="n"/>
      <c r="C10" s="31" t="inlineStr">
        <is>
          <t>33411</t>
        </is>
      </c>
      <c r="D10" s="10" t="inlineStr">
        <is>
          <t>VEHÍCULOS MOTORIZADOS — COSTO</t>
        </is>
      </c>
      <c r="E10" s="15" t="n">
        <v>42000</v>
      </c>
      <c r="F10" s="15" t="n"/>
      <c r="G10" s="10" t="n"/>
      <c r="H10" s="10" t="n"/>
      <c r="I10" s="10" t="n"/>
    </row>
    <row r="11">
      <c r="A11" s="10" t="n"/>
      <c r="B11" s="10" t="n"/>
      <c r="C11" s="31" t="inlineStr">
        <is>
          <t>39131</t>
        </is>
      </c>
      <c r="D11" s="10" t="inlineStr">
        <is>
          <t>DEP. ACUM. — VEHÍCULOS MOTORIZADOS</t>
        </is>
      </c>
      <c r="E11" s="15" t="n"/>
      <c r="F11" s="15" t="n">
        <v>34000</v>
      </c>
      <c r="G11" s="10" t="n"/>
      <c r="H11" s="10" t="n"/>
      <c r="I11" s="10" t="n"/>
    </row>
    <row r="12">
      <c r="A12" s="10" t="n"/>
      <c r="B12" s="10" t="n"/>
      <c r="C12" s="31" t="inlineStr">
        <is>
          <t>4017</t>
        </is>
      </c>
      <c r="D12" s="10" t="inlineStr">
        <is>
          <t>IMPUESTO A LA RENTA</t>
        </is>
      </c>
      <c r="E12" s="15" t="n"/>
      <c r="F12" s="15" t="n">
        <v>1850</v>
      </c>
      <c r="G12" s="10" t="n"/>
      <c r="H12" s="10" t="n"/>
      <c r="I12" s="10" t="n"/>
    </row>
    <row r="13">
      <c r="A13" s="10" t="n"/>
      <c r="B13" s="10" t="n"/>
      <c r="C13" s="31" t="inlineStr">
        <is>
          <t>4212</t>
        </is>
      </c>
      <c r="D13" s="10" t="inlineStr">
        <is>
          <t>FACTURAS EMITIDAS POR PAGAR — TERCEROS</t>
        </is>
      </c>
      <c r="E13" s="15" t="n"/>
      <c r="F13" s="15" t="n">
        <v>28900</v>
      </c>
      <c r="G13" s="10" t="n"/>
      <c r="H13" s="10" t="n"/>
      <c r="I13" s="10" t="n"/>
    </row>
    <row r="14">
      <c r="A14" s="10" t="n"/>
      <c r="B14" s="10" t="n"/>
      <c r="C14" s="31" t="inlineStr">
        <is>
          <t>4511</t>
        </is>
      </c>
      <c r="D14" s="10" t="inlineStr">
        <is>
          <t>PRÉSTAMOS DE INSTITUCIONES FINANCIERAS</t>
        </is>
      </c>
      <c r="E14" s="15" t="n"/>
      <c r="F14" s="15" t="n">
        <v>12000</v>
      </c>
      <c r="G14" s="10" t="n"/>
      <c r="H14" s="10" t="n"/>
      <c r="I14" s="10" t="n"/>
    </row>
    <row r="15">
      <c r="A15" s="10" t="n"/>
      <c r="B15" s="10" t="n"/>
      <c r="C15" s="31" t="inlineStr">
        <is>
          <t>5011</t>
        </is>
      </c>
      <c r="D15" s="10" t="inlineStr">
        <is>
          <t>ACCIONES</t>
        </is>
      </c>
      <c r="E15" s="15" t="n"/>
      <c r="F15" s="15" t="n">
        <v>60000</v>
      </c>
      <c r="G15" s="10" t="n"/>
      <c r="H15" s="10" t="n"/>
      <c r="I15" s="10" t="n"/>
    </row>
    <row r="16">
      <c r="A16" s="10" t="n"/>
      <c r="B16" s="10" t="n"/>
      <c r="C16" s="31" t="inlineStr">
        <is>
          <t>5911</t>
        </is>
      </c>
      <c r="D16" s="10" t="inlineStr">
        <is>
          <t>UTILIDADES ACUMULADAS</t>
        </is>
      </c>
      <c r="E16" s="15" t="n"/>
      <c r="F16" s="15" t="n">
        <v>17650</v>
      </c>
      <c r="G16" s="10" t="n"/>
      <c r="H16" s="10" t="n"/>
      <c r="I16" s="10" t="n"/>
    </row>
    <row r="18">
      <c r="A18" s="26" t="inlineStr">
        <is>
          <t>B-02   ·   04/04/2026   ·   Por el cobro de las facturas a los clientes</t>
        </is>
      </c>
      <c r="B18" s="27" t="n"/>
      <c r="C18" s="27" t="n"/>
      <c r="D18" s="27" t="n"/>
      <c r="E18" s="27" t="n"/>
      <c r="F18" s="27" t="n"/>
      <c r="G18" s="28" t="n"/>
      <c r="H18" s="29">
        <f>IF($G$18="SÍ",SUMPRODUCT((($C$19:$C$20="101")+($C$19:$C$20="102")+($C$19:$C$20="1041"))*($E$19:$E$20-$F$19:$F$20)),0)</f>
        <v/>
      </c>
      <c r="I18" s="12" t="n"/>
    </row>
    <row r="19">
      <c r="A19" s="12" t="n"/>
      <c r="B19" s="12" t="n"/>
      <c r="C19" s="30" t="inlineStr">
        <is>
          <t>1041</t>
        </is>
      </c>
      <c r="D19" s="12" t="inlineStr">
        <is>
          <t>CUENTAS CORRIENTES OPERATIVAS</t>
        </is>
      </c>
      <c r="E19" s="13" t="n">
        <v>62400</v>
      </c>
      <c r="F19" s="13" t="n"/>
      <c r="G19" s="10" t="n"/>
      <c r="H19" s="10" t="n"/>
      <c r="I19" s="10" t="n"/>
    </row>
    <row r="20">
      <c r="A20" s="10" t="n"/>
      <c r="B20" s="10" t="n"/>
      <c r="C20" s="31" t="inlineStr">
        <is>
          <t>1212</t>
        </is>
      </c>
      <c r="D20" s="10" t="inlineStr">
        <is>
          <t>FACTURAS POR COBRAR EMITIDAS EN CARTERA — TERCEROS</t>
        </is>
      </c>
      <c r="E20" s="15" t="n"/>
      <c r="F20" s="15" t="n">
        <v>62400</v>
      </c>
      <c r="G20" s="10" t="n"/>
      <c r="H20" s="10" t="n"/>
      <c r="I20" s="10" t="n"/>
    </row>
    <row r="22">
      <c r="A22" s="26" t="inlineStr">
        <is>
          <t>B-03   ·   06/04/2026   ·   Por el cobro de comisiones del mes en efectivo</t>
        </is>
      </c>
      <c r="B22" s="27" t="n"/>
      <c r="C22" s="27" t="n"/>
      <c r="D22" s="27" t="n"/>
      <c r="E22" s="27" t="n"/>
      <c r="F22" s="27" t="n"/>
      <c r="G22" s="28" t="n"/>
      <c r="H22" s="29">
        <f>IF($G$22="SÍ",SUMPRODUCT((($C$23:$C$25="101")+($C$23:$C$25="102")+($C$23:$C$25="1041"))*($E$23:$E$25-$F$23:$F$25)),0)</f>
        <v/>
      </c>
      <c r="I22" s="12" t="n"/>
    </row>
    <row r="23">
      <c r="A23" s="12" t="n"/>
      <c r="B23" s="12" t="n"/>
      <c r="C23" s="30" t="inlineStr">
        <is>
          <t>101</t>
        </is>
      </c>
      <c r="D23" s="12" t="inlineStr">
        <is>
          <t>CAJA</t>
        </is>
      </c>
      <c r="E23" s="13" t="n">
        <v>3600</v>
      </c>
      <c r="F23" s="13" t="n"/>
      <c r="G23" s="10" t="n"/>
      <c r="H23" s="10" t="n"/>
      <c r="I23" s="10" t="n"/>
    </row>
    <row r="24">
      <c r="A24" s="10" t="n"/>
      <c r="B24" s="10" t="n"/>
      <c r="C24" s="31" t="inlineStr">
        <is>
          <t>40111</t>
        </is>
      </c>
      <c r="D24" s="10" t="inlineStr">
        <is>
          <t>IGV — CUENTA PROPIA</t>
        </is>
      </c>
      <c r="E24" s="15" t="n"/>
      <c r="F24" s="15" t="n">
        <v>549.15</v>
      </c>
      <c r="G24" s="10" t="n"/>
      <c r="H24" s="10" t="n"/>
      <c r="I24" s="10" t="n"/>
    </row>
    <row r="25">
      <c r="A25" s="10" t="n"/>
      <c r="B25" s="10" t="n"/>
      <c r="C25" s="31" t="inlineStr">
        <is>
          <t>7041</t>
        </is>
      </c>
      <c r="D25" s="10" t="inlineStr">
        <is>
          <t>COMISIONES Y CORRETAJES</t>
        </is>
      </c>
      <c r="E25" s="15" t="n"/>
      <c r="F25" s="15" t="n">
        <v>3050.85</v>
      </c>
      <c r="G25" s="10" t="n"/>
      <c r="H25" s="10" t="n"/>
      <c r="I25" s="10" t="n"/>
    </row>
    <row r="27">
      <c r="A27" s="26" t="inlineStr">
        <is>
          <t>B-04   ·   08/04/2026   ·   Por el pago a los proveedores</t>
        </is>
      </c>
      <c r="B27" s="27" t="n"/>
      <c r="C27" s="27" t="n"/>
      <c r="D27" s="27" t="n"/>
      <c r="E27" s="27" t="n"/>
      <c r="F27" s="27" t="n"/>
      <c r="G27" s="28" t="n"/>
      <c r="H27" s="29">
        <f>IF($G$27="SÍ",SUMPRODUCT((($C$28:$C$29="101")+($C$28:$C$29="102")+($C$28:$C$29="1041"))*($E$28:$E$29-$F$28:$F$29)),0)</f>
        <v/>
      </c>
      <c r="I27" s="12" t="n"/>
    </row>
    <row r="28">
      <c r="A28" s="10" t="n"/>
      <c r="B28" s="10" t="n"/>
      <c r="C28" s="31" t="inlineStr">
        <is>
          <t>4212</t>
        </is>
      </c>
      <c r="D28" s="10" t="inlineStr">
        <is>
          <t>FACTURAS EMITIDAS POR PAGAR — TERCEROS</t>
        </is>
      </c>
      <c r="E28" s="15" t="n">
        <v>28900</v>
      </c>
      <c r="F28" s="15" t="n"/>
      <c r="G28" s="10" t="n"/>
      <c r="H28" s="10" t="n"/>
      <c r="I28" s="10" t="n"/>
    </row>
    <row r="29">
      <c r="A29" s="12" t="n"/>
      <c r="B29" s="12" t="n"/>
      <c r="C29" s="30" t="inlineStr">
        <is>
          <t>1041</t>
        </is>
      </c>
      <c r="D29" s="12" t="inlineStr">
        <is>
          <t>CUENTAS CORRIENTES OPERATIVAS</t>
        </is>
      </c>
      <c r="E29" s="13" t="n"/>
      <c r="F29" s="13" t="n">
        <v>28900</v>
      </c>
      <c r="G29" s="10" t="n"/>
      <c r="H29" s="10" t="n"/>
      <c r="I29" s="10" t="n"/>
    </row>
    <row r="31">
      <c r="A31" s="26" t="inlineStr">
        <is>
          <t>B-05   ·   12/04/2026   ·   Por la venta al contado de la camioneta</t>
        </is>
      </c>
      <c r="B31" s="27" t="n"/>
      <c r="C31" s="27" t="n"/>
      <c r="D31" s="27" t="n"/>
      <c r="E31" s="27" t="n"/>
      <c r="F31" s="27" t="n"/>
      <c r="G31" s="28" t="n"/>
      <c r="H31" s="29">
        <f>IF($G$31="SÍ",SUMPRODUCT((($C$32:$C$37="101")+($C$32:$C$37="102")+($C$32:$C$37="1041"))*($E$32:$E$37-$F$32:$F$37)),0)</f>
        <v/>
      </c>
      <c r="I31" s="12" t="n"/>
    </row>
    <row r="32">
      <c r="A32" s="12" t="n"/>
      <c r="B32" s="12" t="n"/>
      <c r="C32" s="30" t="inlineStr">
        <is>
          <t>1041</t>
        </is>
      </c>
      <c r="D32" s="12" t="inlineStr">
        <is>
          <t>CUENTAS CORRIENTES OPERATIVAS</t>
        </is>
      </c>
      <c r="E32" s="13" t="n">
        <v>9000</v>
      </c>
      <c r="F32" s="13" t="n"/>
      <c r="G32" s="10" t="n"/>
      <c r="H32" s="10" t="n"/>
      <c r="I32" s="10" t="n"/>
    </row>
    <row r="33">
      <c r="A33" s="10" t="n"/>
      <c r="B33" s="10" t="n"/>
      <c r="C33" s="31" t="inlineStr">
        <is>
          <t>39131</t>
        </is>
      </c>
      <c r="D33" s="10" t="inlineStr">
        <is>
          <t>DEP. ACUM. — VEHÍCULOS MOTORIZADOS</t>
        </is>
      </c>
      <c r="E33" s="15" t="n">
        <v>34000</v>
      </c>
      <c r="F33" s="15" t="n"/>
      <c r="G33" s="10" t="n"/>
      <c r="H33" s="10" t="n"/>
      <c r="I33" s="10" t="n"/>
    </row>
    <row r="34">
      <c r="A34" s="10" t="n"/>
      <c r="B34" s="10" t="n"/>
      <c r="C34" s="31" t="inlineStr">
        <is>
          <t>6551</t>
        </is>
      </c>
      <c r="D34" s="10" t="inlineStr">
        <is>
          <t>COSTO NETO DE ENAJENACIÓN DE ACTIVOS — IME</t>
        </is>
      </c>
      <c r="E34" s="15" t="n">
        <v>8000</v>
      </c>
      <c r="F34" s="15" t="n"/>
      <c r="G34" s="10" t="n"/>
      <c r="H34" s="10" t="n"/>
      <c r="I34" s="10" t="n"/>
    </row>
    <row r="35">
      <c r="A35" s="10" t="n"/>
      <c r="B35" s="10" t="n"/>
      <c r="C35" s="31" t="inlineStr">
        <is>
          <t>33411</t>
        </is>
      </c>
      <c r="D35" s="10" t="inlineStr">
        <is>
          <t>VEHÍCULOS MOTORIZADOS — COSTO</t>
        </is>
      </c>
      <c r="E35" s="15" t="n"/>
      <c r="F35" s="15" t="n">
        <v>42000</v>
      </c>
      <c r="G35" s="10" t="n"/>
      <c r="H35" s="10" t="n"/>
      <c r="I35" s="10" t="n"/>
    </row>
    <row r="36">
      <c r="A36" s="10" t="n"/>
      <c r="B36" s="10" t="n"/>
      <c r="C36" s="31" t="inlineStr">
        <is>
          <t>40111</t>
        </is>
      </c>
      <c r="D36" s="10" t="inlineStr">
        <is>
          <t>IGV — CUENTA PROPIA</t>
        </is>
      </c>
      <c r="E36" s="15" t="n"/>
      <c r="F36" s="15" t="n">
        <v>1372.88</v>
      </c>
      <c r="G36" s="10" t="n"/>
      <c r="H36" s="10" t="n"/>
      <c r="I36" s="10" t="n"/>
    </row>
    <row r="37">
      <c r="A37" s="10" t="n"/>
      <c r="B37" s="10" t="n"/>
      <c r="C37" s="31" t="inlineStr">
        <is>
          <t>7561</t>
        </is>
      </c>
      <c r="D37" s="10" t="inlineStr">
        <is>
          <t>ENAJENACIÓN DE ACTIVOS INMOVILIZADOS — IME</t>
        </is>
      </c>
      <c r="E37" s="15" t="n"/>
      <c r="F37" s="15" t="n">
        <v>7627.12</v>
      </c>
      <c r="G37" s="10" t="n"/>
      <c r="H37" s="10" t="n"/>
      <c r="I37" s="10" t="n"/>
    </row>
    <row r="39">
      <c r="A39" s="26" t="inlineStr">
        <is>
          <t>B-06   ·   15/04/2026   ·   Por la planilla del mes</t>
        </is>
      </c>
      <c r="B39" s="27" t="n"/>
      <c r="C39" s="27" t="n"/>
      <c r="D39" s="27" t="n"/>
      <c r="E39" s="27" t="n"/>
      <c r="F39" s="27" t="n"/>
      <c r="G39" s="28" t="n"/>
      <c r="H39" s="29">
        <f>IF($G$39="SÍ",SUMPRODUCT((($C$40:$C$41="101")+($C$40:$C$41="102")+($C$40:$C$41="1041"))*($E$40:$E$41-$F$40:$F$41)),0)</f>
        <v/>
      </c>
      <c r="I39" s="12" t="n"/>
    </row>
    <row r="40">
      <c r="A40" s="10" t="n"/>
      <c r="B40" s="10" t="n"/>
      <c r="C40" s="31" t="inlineStr">
        <is>
          <t>6211</t>
        </is>
      </c>
      <c r="D40" s="10" t="inlineStr">
        <is>
          <t>SUELDOS Y SALARIOS</t>
        </is>
      </c>
      <c r="E40" s="15" t="n">
        <v>14250</v>
      </c>
      <c r="F40" s="15" t="n"/>
      <c r="G40" s="10" t="n"/>
      <c r="H40" s="10" t="n"/>
      <c r="I40" s="10" t="n"/>
    </row>
    <row r="41">
      <c r="A41" s="10" t="n"/>
      <c r="B41" s="10" t="n"/>
      <c r="C41" s="31" t="inlineStr">
        <is>
          <t>4111</t>
        </is>
      </c>
      <c r="D41" s="10" t="inlineStr">
        <is>
          <t>SUELDOS Y SALARIOS POR PAGAR</t>
        </is>
      </c>
      <c r="E41" s="15" t="n"/>
      <c r="F41" s="15" t="n">
        <v>14250</v>
      </c>
      <c r="G41" s="10" t="n"/>
      <c r="H41" s="10" t="n"/>
      <c r="I41" s="10" t="n"/>
    </row>
    <row r="43">
      <c r="A43" s="26" t="inlineStr">
        <is>
          <t>B-07   ·   18/04/2026   ·   Por el pago del impuesto a la renta desde caja</t>
        </is>
      </c>
      <c r="B43" s="27" t="n"/>
      <c r="C43" s="27" t="n"/>
      <c r="D43" s="27" t="n"/>
      <c r="E43" s="27" t="n"/>
      <c r="F43" s="27" t="n"/>
      <c r="G43" s="28" t="n"/>
      <c r="H43" s="29">
        <f>IF($G$43="SÍ",SUMPRODUCT((($C$44:$C$45="101")+($C$44:$C$45="102")+($C$44:$C$45="1041"))*($E$44:$E$45-$F$44:$F$45)),0)</f>
        <v/>
      </c>
      <c r="I43" s="12" t="n"/>
    </row>
    <row r="44">
      <c r="A44" s="10" t="n"/>
      <c r="B44" s="10" t="n"/>
      <c r="C44" s="31" t="inlineStr">
        <is>
          <t>4017</t>
        </is>
      </c>
      <c r="D44" s="10" t="inlineStr">
        <is>
          <t>IMPUESTO A LA RENTA</t>
        </is>
      </c>
      <c r="E44" s="15" t="n">
        <v>1850</v>
      </c>
      <c r="F44" s="15" t="n"/>
      <c r="G44" s="10" t="n"/>
      <c r="H44" s="10" t="n"/>
      <c r="I44" s="10" t="n"/>
    </row>
    <row r="45">
      <c r="A45" s="12" t="n"/>
      <c r="B45" s="12" t="n"/>
      <c r="C45" s="30" t="inlineStr">
        <is>
          <t>101</t>
        </is>
      </c>
      <c r="D45" s="12" t="inlineStr">
        <is>
          <t>CAJA</t>
        </is>
      </c>
      <c r="E45" s="13" t="n"/>
      <c r="F45" s="13" t="n">
        <v>1850</v>
      </c>
      <c r="G45" s="10" t="n"/>
      <c r="H45" s="10" t="n"/>
      <c r="I45" s="10" t="n"/>
    </row>
    <row r="47">
      <c r="A47" s="26" t="inlineStr">
        <is>
          <t>B-08   ·   20/04/2026   ·   Por la compra de equipos de cómputo al contado</t>
        </is>
      </c>
      <c r="B47" s="27" t="n"/>
      <c r="C47" s="27" t="n"/>
      <c r="D47" s="27" t="n"/>
      <c r="E47" s="27" t="n"/>
      <c r="F47" s="27" t="n"/>
      <c r="G47" s="28" t="n"/>
      <c r="H47" s="29">
        <f>IF($G$47="SÍ",SUMPRODUCT((($C$48:$C$50="101")+($C$48:$C$50="102")+($C$48:$C$50="1041"))*($E$48:$E$50-$F$48:$F$50)),0)</f>
        <v/>
      </c>
      <c r="I47" s="12" t="n"/>
    </row>
    <row r="48">
      <c r="A48" s="10" t="n"/>
      <c r="B48" s="10" t="n"/>
      <c r="C48" s="31" t="inlineStr">
        <is>
          <t>33611</t>
        </is>
      </c>
      <c r="D48" s="10" t="inlineStr">
        <is>
          <t>EQUIPOS DE PROCESAMIENTO DE INFORMACIÓN — COSTO</t>
        </is>
      </c>
      <c r="E48" s="15" t="n">
        <v>4025.42</v>
      </c>
      <c r="F48" s="15" t="n"/>
      <c r="G48" s="10" t="n"/>
      <c r="H48" s="10" t="n"/>
      <c r="I48" s="10" t="n"/>
    </row>
    <row r="49">
      <c r="A49" s="10" t="n"/>
      <c r="B49" s="10" t="n"/>
      <c r="C49" s="31" t="inlineStr">
        <is>
          <t>40111</t>
        </is>
      </c>
      <c r="D49" s="10" t="inlineStr">
        <is>
          <t>IGV — CUENTA PROPIA</t>
        </is>
      </c>
      <c r="E49" s="15" t="n">
        <v>724.58</v>
      </c>
      <c r="F49" s="15" t="n"/>
      <c r="G49" s="10" t="n"/>
      <c r="H49" s="10" t="n"/>
      <c r="I49" s="10" t="n"/>
    </row>
    <row r="50">
      <c r="A50" s="12" t="n"/>
      <c r="B50" s="12" t="n"/>
      <c r="C50" s="30" t="inlineStr">
        <is>
          <t>1041</t>
        </is>
      </c>
      <c r="D50" s="12" t="inlineStr">
        <is>
          <t>CUENTAS CORRIENTES OPERATIVAS</t>
        </is>
      </c>
      <c r="E50" s="13" t="n"/>
      <c r="F50" s="13" t="n">
        <v>4750</v>
      </c>
      <c r="G50" s="10" t="n"/>
      <c r="H50" s="10" t="n"/>
      <c r="I50" s="10" t="n"/>
    </row>
    <row r="52">
      <c r="A52" s="26" t="inlineStr">
        <is>
          <t>B-09   ·   26/04/2026   ·   Por la declaración de dividendos de los accionistas</t>
        </is>
      </c>
      <c r="B52" s="27" t="n"/>
      <c r="C52" s="27" t="n"/>
      <c r="D52" s="27" t="n"/>
      <c r="E52" s="27" t="n"/>
      <c r="F52" s="27" t="n"/>
      <c r="G52" s="28" t="n"/>
      <c r="H52" s="29">
        <f>IF($G$52="SÍ",SUMPRODUCT((($C$53:$C$54="101")+($C$53:$C$54="102")+($C$53:$C$54="1041"))*($E$53:$E$54-$F$53:$F$54)),0)</f>
        <v/>
      </c>
      <c r="I52" s="12" t="n"/>
    </row>
    <row r="53">
      <c r="A53" s="10" t="n"/>
      <c r="B53" s="10" t="n"/>
      <c r="C53" s="31" t="inlineStr">
        <is>
          <t>5911</t>
        </is>
      </c>
      <c r="D53" s="10" t="inlineStr">
        <is>
          <t>UTILIDADES ACUMULADAS</t>
        </is>
      </c>
      <c r="E53" s="15" t="n">
        <v>8000</v>
      </c>
      <c r="F53" s="15" t="n"/>
      <c r="G53" s="10" t="n"/>
      <c r="H53" s="10" t="n"/>
      <c r="I53" s="10" t="n"/>
    </row>
    <row r="54">
      <c r="A54" s="10" t="n"/>
      <c r="B54" s="10" t="n"/>
      <c r="C54" s="31" t="inlineStr">
        <is>
          <t>4412</t>
        </is>
      </c>
      <c r="D54" s="10" t="inlineStr">
        <is>
          <t>ACCIONISTAS (O SOCIOS) — DIVIDENDOS</t>
        </is>
      </c>
      <c r="E54" s="15" t="n"/>
      <c r="F54" s="15" t="n">
        <v>8000</v>
      </c>
      <c r="G54" s="10" t="n"/>
      <c r="H54" s="10" t="n"/>
      <c r="I54" s="10" t="n"/>
    </row>
    <row r="56">
      <c r="A56" s="26" t="inlineStr">
        <is>
          <t>B-10   ·   28/04/2026   ·   Por el pago de la planilla del mes</t>
        </is>
      </c>
      <c r="B56" s="27" t="n"/>
      <c r="C56" s="27" t="n"/>
      <c r="D56" s="27" t="n"/>
      <c r="E56" s="27" t="n"/>
      <c r="F56" s="27" t="n"/>
      <c r="G56" s="28" t="n"/>
      <c r="H56" s="29">
        <f>IF($G$56="SÍ",SUMPRODUCT((($C$57:$C$58="101")+($C$57:$C$58="102")+($C$57:$C$58="1041"))*($E$57:$E$58-$F$57:$F$58)),0)</f>
        <v/>
      </c>
      <c r="I56" s="12" t="n"/>
    </row>
    <row r="57">
      <c r="A57" s="10" t="n"/>
      <c r="B57" s="10" t="n"/>
      <c r="C57" s="31" t="inlineStr">
        <is>
          <t>4111</t>
        </is>
      </c>
      <c r="D57" s="10" t="inlineStr">
        <is>
          <t>SUELDOS Y SALARIOS POR PAGAR</t>
        </is>
      </c>
      <c r="E57" s="15" t="n">
        <v>14250</v>
      </c>
      <c r="F57" s="15" t="n"/>
      <c r="G57" s="10" t="n"/>
      <c r="H57" s="10" t="n"/>
      <c r="I57" s="10" t="n"/>
    </row>
    <row r="58">
      <c r="A58" s="12" t="n"/>
      <c r="B58" s="12" t="n"/>
      <c r="C58" s="30" t="inlineStr">
        <is>
          <t>1041</t>
        </is>
      </c>
      <c r="D58" s="12" t="inlineStr">
        <is>
          <t>CUENTAS CORRIENTES OPERATIVAS</t>
        </is>
      </c>
      <c r="E58" s="13" t="n"/>
      <c r="F58" s="13" t="n">
        <v>14250</v>
      </c>
      <c r="G58" s="10" t="n"/>
      <c r="H58" s="10" t="n"/>
      <c r="I58" s="10" t="n"/>
    </row>
    <row r="60">
      <c r="A60" s="26" t="inlineStr">
        <is>
          <t>B-11   ·   29/04/2026   ·   Por la amortización del préstamo bancario</t>
        </is>
      </c>
      <c r="B60" s="27" t="n"/>
      <c r="C60" s="27" t="n"/>
      <c r="D60" s="27" t="n"/>
      <c r="E60" s="27" t="n"/>
      <c r="F60" s="27" t="n"/>
      <c r="G60" s="28" t="n"/>
      <c r="H60" s="29">
        <f>IF($G$60="SÍ",SUMPRODUCT((($C$61:$C$62="101")+($C$61:$C$62="102")+($C$61:$C$62="1041"))*($E$61:$E$62-$F$61:$F$62)),0)</f>
        <v/>
      </c>
      <c r="I60" s="12" t="n"/>
    </row>
    <row r="61">
      <c r="A61" s="10" t="n"/>
      <c r="B61" s="10" t="n"/>
      <c r="C61" s="31" t="inlineStr">
        <is>
          <t>4511</t>
        </is>
      </c>
      <c r="D61" s="10" t="inlineStr">
        <is>
          <t>PRÉSTAMOS DE INSTITUCIONES FINANCIERAS</t>
        </is>
      </c>
      <c r="E61" s="15" t="n">
        <v>12000</v>
      </c>
      <c r="F61" s="15" t="n"/>
      <c r="G61" s="10" t="n"/>
      <c r="H61" s="10" t="n"/>
      <c r="I61" s="10" t="n"/>
    </row>
    <row r="62">
      <c r="A62" s="12" t="n"/>
      <c r="B62" s="12" t="n"/>
      <c r="C62" s="30" t="inlineStr">
        <is>
          <t>1041</t>
        </is>
      </c>
      <c r="D62" s="12" t="inlineStr">
        <is>
          <t>CUENTAS CORRIENTES OPERATIVAS</t>
        </is>
      </c>
      <c r="E62" s="13" t="n"/>
      <c r="F62" s="13" t="n">
        <v>12000</v>
      </c>
      <c r="G62" s="10" t="n"/>
      <c r="H62" s="10" t="n"/>
      <c r="I62" s="10" t="n"/>
    </row>
    <row r="64">
      <c r="A64" s="26" t="inlineStr">
        <is>
          <t>B-12   ·   30/04/2026   ·   Por el pago de dividendos a los accionistas</t>
        </is>
      </c>
      <c r="B64" s="27" t="n"/>
      <c r="C64" s="27" t="n"/>
      <c r="D64" s="27" t="n"/>
      <c r="E64" s="27" t="n"/>
      <c r="F64" s="27" t="n"/>
      <c r="G64" s="28" t="n"/>
      <c r="H64" s="29">
        <f>IF($G$64="SÍ",SUMPRODUCT((($C$65:$C$66="101")+($C$65:$C$66="102")+($C$65:$C$66="1041"))*($E$65:$E$66-$F$65:$F$66)),0)</f>
        <v/>
      </c>
      <c r="I64" s="12" t="n"/>
    </row>
    <row r="65">
      <c r="A65" s="10" t="n"/>
      <c r="B65" s="10" t="n"/>
      <c r="C65" s="31" t="inlineStr">
        <is>
          <t>4412</t>
        </is>
      </c>
      <c r="D65" s="10" t="inlineStr">
        <is>
          <t>ACCIONISTAS (O SOCIOS) — DIVIDENDOS</t>
        </is>
      </c>
      <c r="E65" s="15" t="n">
        <v>8000</v>
      </c>
      <c r="F65" s="15" t="n"/>
      <c r="G65" s="10" t="n"/>
      <c r="H65" s="10" t="n"/>
      <c r="I65" s="10" t="n"/>
    </row>
    <row r="66">
      <c r="A66" s="12" t="n"/>
      <c r="B66" s="12" t="n"/>
      <c r="C66" s="30" t="inlineStr">
        <is>
          <t>1041</t>
        </is>
      </c>
      <c r="D66" s="12" t="inlineStr">
        <is>
          <t>CUENTAS CORRIENTES OPERATIVAS</t>
        </is>
      </c>
      <c r="E66" s="13" t="n"/>
      <c r="F66" s="13" t="n">
        <v>8000</v>
      </c>
      <c r="G66" s="10" t="n"/>
      <c r="H66" s="10" t="n"/>
      <c r="I66" s="10" t="n"/>
    </row>
    <row r="68">
      <c r="A68" s="26" t="inlineStr">
        <is>
          <t>B-13   ·   30/04/2026   ·   Por la depreciación del mes</t>
        </is>
      </c>
      <c r="B68" s="27" t="n"/>
      <c r="C68" s="27" t="n"/>
      <c r="D68" s="27" t="n"/>
      <c r="E68" s="27" t="n"/>
      <c r="F68" s="27" t="n"/>
      <c r="G68" s="28" t="n"/>
      <c r="H68" s="29">
        <f>IF($G$68="SÍ",SUMPRODUCT((($C$69:$C$70="101")+($C$69:$C$70="102")+($C$69:$C$70="1041"))*($E$69:$E$70-$F$69:$F$70)),0)</f>
        <v/>
      </c>
      <c r="I68" s="12" t="n"/>
    </row>
    <row r="69">
      <c r="A69" s="10" t="n"/>
      <c r="B69" s="10" t="n"/>
      <c r="C69" s="31" t="inlineStr">
        <is>
          <t>68142</t>
        </is>
      </c>
      <c r="D69" s="10" t="inlineStr">
        <is>
          <t>DEPRECIACIÓN DE EQUIPOS DE PROCESAMIENTO</t>
        </is>
      </c>
      <c r="E69" s="15" t="n">
        <v>83.86</v>
      </c>
      <c r="F69" s="15" t="n"/>
      <c r="G69" s="10" t="n"/>
      <c r="H69" s="10" t="n"/>
      <c r="I69" s="10" t="n"/>
    </row>
    <row r="70">
      <c r="A70" s="10" t="n"/>
      <c r="B70" s="10" t="n"/>
      <c r="C70" s="31" t="inlineStr">
        <is>
          <t>39133</t>
        </is>
      </c>
      <c r="D70" s="10" t="inlineStr">
        <is>
          <t>DEP. ACUM. — EQUIPOS DE PROCESAMIENTO</t>
        </is>
      </c>
      <c r="E70" s="15" t="n"/>
      <c r="F70" s="15" t="n">
        <v>83.86</v>
      </c>
      <c r="G70" s="10" t="n"/>
      <c r="H70" s="10" t="n"/>
      <c r="I70" s="10" t="n"/>
    </row>
    <row r="73">
      <c r="D73" s="32" t="inlineStr">
        <is>
          <t>Asientos marcados:</t>
        </is>
      </c>
      <c r="G73" s="32">
        <f>COUNTIF($G$5:$G$72,"SÍ")+COUNTIF($G$5:$G$72,"NO")&amp;" de 13"</f>
        <v/>
      </c>
    </row>
    <row r="74">
      <c r="D74" s="32" t="inlineStr">
        <is>
          <t>Suma de los importes del flujo:</t>
        </is>
      </c>
      <c r="H74" s="33">
        <f>SUM($H$5:$H$72)</f>
        <v/>
      </c>
    </row>
    <row r="75">
      <c r="D75" s="34" t="inlineStr">
        <is>
          <t>Tiene que dar la variación del efectivo:</t>
        </is>
      </c>
      <c r="H75" s="35" t="n">
        <v>5250</v>
      </c>
    </row>
  </sheetData>
  <mergeCells count="15">
    <mergeCell ref="A52:F52"/>
    <mergeCell ref="A47:F47"/>
    <mergeCell ref="A2:I2"/>
    <mergeCell ref="A60:F60"/>
    <mergeCell ref="A68:F68"/>
    <mergeCell ref="A5:F5"/>
    <mergeCell ref="A27:F27"/>
    <mergeCell ref="A1:I1"/>
    <mergeCell ref="A31:F31"/>
    <mergeCell ref="A22:F22"/>
    <mergeCell ref="A18:F18"/>
    <mergeCell ref="A56:F56"/>
    <mergeCell ref="A39:F39"/>
    <mergeCell ref="A64:F64"/>
    <mergeCell ref="A43:F43"/>
  </mergeCells>
  <dataValidations count="2">
    <dataValidation sqref="G5 G18 G22 G27 G31 G39 G43 G47 G52 G56 G60 G64 G68" showDropDown="0" showInputMessage="0" showErrorMessage="0" allowBlank="1" type="list">
      <formula1>=Listas!$C$2:$C$3</formula1>
    </dataValidation>
    <dataValidation sqref="I5 I18 I22 I27 I31 I39 I43 I47 I52 I56 I60 I64 I68" showDropDown="0" showInputMessage="0" showErrorMessage="0" allowBlank="1" type="list">
      <formula1>=Listas!$A$2:$A$14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62" customWidth="1" min="2" max="2"/>
    <col width="18" customWidth="1" min="3" max="3"/>
  </cols>
  <sheetData>
    <row r="1" ht="24" customHeight="1">
      <c r="A1" s="36" t="inlineStr">
        <is>
          <t>ESTADO DE FLUJOS DE EFECTIVO — SERVICIOS YANAHUARA S.A.C.</t>
        </is>
      </c>
    </row>
    <row r="2">
      <c r="A2" s="7" t="inlineStr">
        <is>
          <t>RUC 20601134908  ·  Abril de 2026  ·  método directo  ·  en soles  ·  se arma solo</t>
        </is>
      </c>
    </row>
    <row r="4" ht="28" customHeight="1">
      <c r="A4" s="37" t="inlineStr"/>
      <c r="B4" s="37" t="inlineStr">
        <is>
          <t>Concepto</t>
        </is>
      </c>
      <c r="C4" s="37" t="inlineStr">
        <is>
          <t>Importe</t>
        </is>
      </c>
    </row>
    <row r="5">
      <c r="A5" s="38" t="inlineStr">
        <is>
          <t>FLUJO DE EFECTIVO DE ACTIVIDADES DE OPERACIÓN</t>
        </is>
      </c>
      <c r="B5" s="10" t="n"/>
      <c r="C5" s="10" t="n"/>
    </row>
    <row r="6">
      <c r="A6" s="10" t="n"/>
      <c r="B6" s="39" t="inlineStr">
        <is>
          <t>Cobranzas a clientes por venta de bienes y servicios</t>
        </is>
      </c>
      <c r="C6" s="15">
        <f>SUMIF('Caso 6 · Diario'!$I$5:$I$72,$B6,'Caso 6 · Diario'!$H$5:$H$72)</f>
        <v/>
      </c>
    </row>
    <row r="7">
      <c r="A7" s="10" t="n"/>
      <c r="B7" s="39" t="inlineStr">
        <is>
          <t>Cobros de regalías, cuotas, comisiones y otros</t>
        </is>
      </c>
      <c r="C7" s="15">
        <f>SUMIF('Caso 6 · Diario'!$I$5:$I$72,$B7,'Caso 6 · Diario'!$H$5:$H$72)</f>
        <v/>
      </c>
    </row>
    <row r="8">
      <c r="A8" s="10" t="n"/>
      <c r="B8" s="39" t="inlineStr">
        <is>
          <t>Pagos a proveedores de bienes y servicios</t>
        </is>
      </c>
      <c r="C8" s="15">
        <f>SUMIF('Caso 6 · Diario'!$I$5:$I$72,$B8,'Caso 6 · Diario'!$H$5:$H$72)</f>
        <v/>
      </c>
    </row>
    <row r="9">
      <c r="A9" s="10" t="n"/>
      <c r="B9" s="39" t="inlineStr">
        <is>
          <t>Pagos de remuneraciones y beneficios sociales</t>
        </is>
      </c>
      <c r="C9" s="15">
        <f>SUMIF('Caso 6 · Diario'!$I$5:$I$72,$B9,'Caso 6 · Diario'!$H$5:$H$72)</f>
        <v/>
      </c>
    </row>
    <row r="10">
      <c r="A10" s="10" t="n"/>
      <c r="B10" s="39" t="inlineStr">
        <is>
          <t>Pago de impuesto a las ganancias</t>
        </is>
      </c>
      <c r="C10" s="15">
        <f>SUMIF('Caso 6 · Diario'!$I$5:$I$72,$B10,'Caso 6 · Diario'!$H$5:$H$72)</f>
        <v/>
      </c>
    </row>
    <row r="11">
      <c r="A11" s="10" t="n"/>
      <c r="B11" s="39" t="inlineStr">
        <is>
          <t>Pago de impuestos — IGV</t>
        </is>
      </c>
      <c r="C11" s="15">
        <f>SUMIF('Caso 6 · Diario'!$I$5:$I$72,$B11,'Caso 6 · Diario'!$H$5:$H$72)</f>
        <v/>
      </c>
    </row>
    <row r="12">
      <c r="A12" s="10" t="n"/>
      <c r="B12" s="39" t="inlineStr">
        <is>
          <t>Otros (pagos) cobros relativos a la actividad, neto</t>
        </is>
      </c>
      <c r="C12" s="15">
        <f>SUMIF('Caso 6 · Diario'!$I$5:$I$72,$B12,'Caso 6 · Diario'!$H$5:$H$72)</f>
        <v/>
      </c>
    </row>
    <row r="13">
      <c r="A13" s="40" t="n"/>
      <c r="B13" s="17" t="inlineStr">
        <is>
          <t>Efectivo neto de las actividades de operación</t>
        </is>
      </c>
      <c r="C13" s="18">
        <f>SUM($C$6:$C$12)</f>
        <v/>
      </c>
    </row>
    <row r="14">
      <c r="A14" s="38" t="inlineStr">
        <is>
          <t>FLUJO DE EFECTIVO DE ACTIVIDADES DE INVERSIÓN</t>
        </is>
      </c>
      <c r="B14" s="10" t="n"/>
      <c r="C14" s="10" t="n"/>
    </row>
    <row r="15">
      <c r="A15" s="10" t="n"/>
      <c r="B15" s="39" t="inlineStr">
        <is>
          <t>Cobro por venta de propiedades, planta y equipo</t>
        </is>
      </c>
      <c r="C15" s="15">
        <f>SUMIF('Caso 6 · Diario'!$I$5:$I$72,$B15,'Caso 6 · Diario'!$H$5:$H$72)</f>
        <v/>
      </c>
    </row>
    <row r="16">
      <c r="A16" s="10" t="n"/>
      <c r="B16" s="39" t="inlineStr">
        <is>
          <t>Pagos por compra de propiedades, planta y equipo</t>
        </is>
      </c>
      <c r="C16" s="15">
        <f>SUMIF('Caso 6 · Diario'!$I$5:$I$72,$B16,'Caso 6 · Diario'!$H$5:$H$72)</f>
        <v/>
      </c>
    </row>
    <row r="17">
      <c r="A17" s="40" t="n"/>
      <c r="B17" s="17" t="inlineStr">
        <is>
          <t>Efectivo neto de las actividades de inversión</t>
        </is>
      </c>
      <c r="C17" s="18">
        <f>SUM($C$15:$C$16)</f>
        <v/>
      </c>
    </row>
    <row r="18">
      <c r="A18" s="38" t="inlineStr">
        <is>
          <t>FLUJO DE EFECTIVO DE ACTIVIDADES DE FINANCIACIÓN</t>
        </is>
      </c>
      <c r="B18" s="10" t="n"/>
      <c r="C18" s="10" t="n"/>
    </row>
    <row r="19">
      <c r="A19" s="10" t="n"/>
      <c r="B19" s="39" t="inlineStr">
        <is>
          <t>Cobro de préstamos obtenidos</t>
        </is>
      </c>
      <c r="C19" s="15">
        <f>SUMIF('Caso 6 · Diario'!$I$5:$I$72,$B19,'Caso 6 · Diario'!$H$5:$H$72)</f>
        <v/>
      </c>
    </row>
    <row r="20">
      <c r="A20" s="10" t="n"/>
      <c r="B20" s="39" t="inlineStr">
        <is>
          <t>Amortización o pago de préstamos</t>
        </is>
      </c>
      <c r="C20" s="15">
        <f>SUMIF('Caso 6 · Diario'!$I$5:$I$72,$B20,'Caso 6 · Diario'!$H$5:$H$72)</f>
        <v/>
      </c>
    </row>
    <row r="21">
      <c r="A21" s="10" t="n"/>
      <c r="B21" s="39" t="inlineStr">
        <is>
          <t>Intereses pagados</t>
        </is>
      </c>
      <c r="C21" s="15">
        <f>SUMIF('Caso 6 · Diario'!$I$5:$I$72,$B21,'Caso 6 · Diario'!$H$5:$H$72)</f>
        <v/>
      </c>
    </row>
    <row r="22">
      <c r="A22" s="10" t="n"/>
      <c r="B22" s="39" t="inlineStr">
        <is>
          <t>Dividendos pagados</t>
        </is>
      </c>
      <c r="C22" s="15">
        <f>SUMIF('Caso 6 · Diario'!$I$5:$I$72,$B22,'Caso 6 · Diario'!$H$5:$H$72)</f>
        <v/>
      </c>
    </row>
    <row r="23">
      <c r="A23" s="40" t="n"/>
      <c r="B23" s="17" t="inlineStr">
        <is>
          <t>Efectivo neto de las actividades de financiación</t>
        </is>
      </c>
      <c r="C23" s="18">
        <f>SUM($C$19:$C$22)</f>
        <v/>
      </c>
    </row>
    <row r="25">
      <c r="A25" s="40" t="n"/>
      <c r="B25" s="17" t="inlineStr">
        <is>
          <t>AUMENTO (DISMINUCIÓN) NETO DE EFECTIVO Y EQUIVALENTES</t>
        </is>
      </c>
      <c r="C25" s="18">
        <f>$C$13+$C$17+$C$23</f>
        <v/>
      </c>
    </row>
    <row r="26">
      <c r="A26" s="40" t="n"/>
      <c r="B26" s="40" t="inlineStr">
        <is>
          <t>Saldo de efectivo y equivalentes al inicio del mes</t>
        </is>
      </c>
      <c r="C26" s="41" t="n">
        <v>50000</v>
      </c>
    </row>
    <row r="27">
      <c r="A27" s="19" t="n"/>
      <c r="B27" s="42" t="inlineStr">
        <is>
          <t>SALDO DE EFECTIVO Y EQUIVALENTES AL FINAL DEL MES</t>
        </is>
      </c>
      <c r="C27" s="43">
        <f>$C$25+$C$26</f>
        <v/>
      </c>
    </row>
    <row r="29">
      <c r="A29" s="44">
        <f>IF(ABS($C$27-55250.00)&lt;0.01,"✓ CUADRA: S/ 55,250.00, igual que el estado de situación financiera.","✗ Todavía no cuadra. Tiene que terminar en S/ 55,250.00 — revisa los asientos sin marcar o mal clasificados.")</f>
        <v/>
      </c>
    </row>
    <row r="30"/>
  </sheetData>
  <mergeCells count="6">
    <mergeCell ref="A1:C1"/>
    <mergeCell ref="A5:C5"/>
    <mergeCell ref="A14:C14"/>
    <mergeCell ref="A18:C18"/>
    <mergeCell ref="A29:C30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6" customWidth="1" min="1" max="1"/>
  </cols>
  <sheetData>
    <row r="1">
      <c r="A1" s="32" t="inlineStr">
        <is>
          <t>Renglones del estado de flujos</t>
        </is>
      </c>
      <c r="C1" s="32" t="inlineStr">
        <is>
          <t>Mueve</t>
        </is>
      </c>
    </row>
    <row r="2">
      <c r="A2" t="inlineStr">
        <is>
          <t>Cobranzas a clientes por venta de bienes y servicios</t>
        </is>
      </c>
      <c r="C2" t="inlineStr">
        <is>
          <t>SÍ</t>
        </is>
      </c>
    </row>
    <row r="3">
      <c r="A3" t="inlineStr">
        <is>
          <t>Cobros de regalías, cuotas, comisiones y otros</t>
        </is>
      </c>
      <c r="C3" t="inlineStr">
        <is>
          <t>NO</t>
        </is>
      </c>
    </row>
    <row r="4">
      <c r="A4" t="inlineStr">
        <is>
          <t>Pagos a proveedores de bienes y servicios</t>
        </is>
      </c>
    </row>
    <row r="5">
      <c r="A5" t="inlineStr">
        <is>
          <t>Pagos de remuneraciones y beneficios sociales</t>
        </is>
      </c>
    </row>
    <row r="6">
      <c r="A6" t="inlineStr">
        <is>
          <t>Pago de impuesto a las ganancias</t>
        </is>
      </c>
    </row>
    <row r="7">
      <c r="A7" t="inlineStr">
        <is>
          <t>Pago de impuestos — IGV</t>
        </is>
      </c>
    </row>
    <row r="8">
      <c r="A8" t="inlineStr">
        <is>
          <t>Otros (pagos) cobros relativos a la actividad, neto</t>
        </is>
      </c>
    </row>
    <row r="9">
      <c r="A9" t="inlineStr">
        <is>
          <t>Cobro por venta de propiedades, planta y equipo</t>
        </is>
      </c>
    </row>
    <row r="10">
      <c r="A10" t="inlineStr">
        <is>
          <t>Pagos por compra de propiedades, planta y equipo</t>
        </is>
      </c>
    </row>
    <row r="11">
      <c r="A11" t="inlineStr">
        <is>
          <t>Cobro de préstamos obtenidos</t>
        </is>
      </c>
    </row>
    <row r="12">
      <c r="A12" t="inlineStr">
        <is>
          <t>Amortización o pago de préstamos</t>
        </is>
      </c>
    </row>
    <row r="13">
      <c r="A13" t="inlineStr">
        <is>
          <t>Intereses pagados</t>
        </is>
      </c>
    </row>
    <row r="14">
      <c r="A14" t="inlineStr">
        <is>
          <t>Dividendos pagados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2026-10-02T00:39:47Z</dcterms:created>
  <dcterms:modified xsi:type="dcterms:W3CDTF">2026-10-02T00:39:48Z</dcterms:modified>
</cp:coreProperties>
</file>