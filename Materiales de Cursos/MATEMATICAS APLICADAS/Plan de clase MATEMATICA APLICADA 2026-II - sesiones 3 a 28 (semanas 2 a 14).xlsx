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PLAN DETALLADO" sheetId="2" state="visible" r:id="rId4"/>
    <sheet name="RESUMEN POR SESIÓN" sheetId="3" state="visible" r:id="rId5"/>
    <sheet name="MAPA CURSO Y PROYECTO" sheetId="4" state="visible" r:id="rId6"/>
    <sheet name="CONTROL DE AVANCE" sheetId="5" state="visible" r:id="rId7"/>
    <sheet name="REORDENAMIENTO" sheetId="6" state="visible" r:id="rId8"/>
    <sheet name="SEMANAS 15 Y 16" sheetId="7" state="visible" r:id="rId9"/>
  </sheets>
  <definedNames>
    <definedName function="false" hidden="false" localSheetId="1" name="_xlnm.Print_Titles" vbProcedure="false">'PLAN DETALLADO'!$2:$2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<sst xmlns="http://schemas.openxmlformats.org/spreadsheetml/2006/main" count="2636" uniqueCount="949">
  <si>
    <t xml:space="preserve">PLAN DE CLASE DETALLADO POR MINUTOS</t>
  </si>
  <si>
    <t xml:space="preserve">MATEMÁTICA APLICADA · Sesiones 3 a 28 (semanas 2 a 14) · 2026-II · El componente del informe cierra en la semana 14</t>
  </si>
  <si>
    <t xml:space="preserve">Unidad didáctica</t>
  </si>
  <si>
    <t xml:space="preserve">MATEMÁTICA APLICADA</t>
  </si>
  <si>
    <t xml:space="preserve">Programa de estudios</t>
  </si>
  <si>
    <t xml:space="preserve">MARKETING</t>
  </si>
  <si>
    <t xml:space="preserve">Ciclo</t>
  </si>
  <si>
    <t xml:space="preserve">Primer ciclo</t>
  </si>
  <si>
    <t xml:space="preserve">Docente</t>
  </si>
  <si>
    <t xml:space="preserve">Eduardo Luis Mamani Roque</t>
  </si>
  <si>
    <t xml:space="preserve">Período académico</t>
  </si>
  <si>
    <t xml:space="preserve">2026-II</t>
  </si>
  <si>
    <t xml:space="preserve">Unidad de competencia</t>
  </si>
  <si>
    <t xml:space="preserve">UC1: Analizar el mercado, de acuerdo a las variables del entorno del negocio, público objetivo y recursos disponibles.</t>
  </si>
  <si>
    <t xml:space="preserve">Horario</t>
  </si>
  <si>
    <t xml:space="preserve">Lunes 10:45–13:00 (135 minutos · 3 horas académicas)   ·   Jueves 12:15–13:00 (45 minutos · 1 hora académica)</t>
  </si>
  <si>
    <t xml:space="preserve">Alcance de este plan</t>
  </si>
  <si>
    <t xml:space="preserve">26 sesiones · semanas 2 a 14 · 153 tramos · 2 340 minutos lectivos</t>
  </si>
  <si>
    <t xml:space="preserve">Punto de partida</t>
  </si>
  <si>
    <t xml:space="preserve">En la semana 1 se avanzó únicamente hasta la teoría de razones y proporciones. El plan retoma desde ahí: la semana 2 practica lo que quedó solo explicado y todo el temario posterior se reacomoda.</t>
  </si>
  <si>
    <t xml:space="preserve">Proyecto integrador</t>
  </si>
  <si>
    <t xml:space="preserve">Proyecto Final MKT 1 (I Ciclo): análisis integral de un producto arequipeño. A Matemática Aplicada le corresponden los puntos 2.5.1, 2.5.2, 2.5.3, 3.2.1, 3.2.2, 3.2.3 y el Anexo A.2.</t>
  </si>
  <si>
    <t xml:space="preserve">Criterio de reacomodo</t>
  </si>
  <si>
    <t xml:space="preserve">Se prioriza el temario que el informe necesita. Los temas 19 a 22 (contribución marginal, razón del costo variable, punto de equilibrio y margen de seguridad) se trasladan a las semanas 15 y 16, porque el proyecto no los exige. El detalle está en la hoja REORDENAMIENTO.</t>
  </si>
  <si>
    <t xml:space="preserve">LOS SIETE PUNTOS DEL INFORME QUE QUEDAN CERRADOS AL TERMINAR LA SEMANA 14</t>
  </si>
  <si>
    <t xml:space="preserve">2.5.1</t>
  </si>
  <si>
    <t xml:space="preserve">Análisis de los precios que maneja el producto o servicio. Se trabaja en las semanas 2 a 4 y cierra en la sesión 7.</t>
  </si>
  <si>
    <t xml:space="preserve">2.5.2</t>
  </si>
  <si>
    <t xml:space="preserve">Análisis conceptual del Estado de Resultados de la marca. Cierra en la sesión 21.</t>
  </si>
  <si>
    <t xml:space="preserve">2.5.3</t>
  </si>
  <si>
    <t xml:space="preserve">Cálculo de márgenes de utilidad bruta, operativa y neta. Cierra en la sesión 25.</t>
  </si>
  <si>
    <t xml:space="preserve">3.2.1</t>
  </si>
  <si>
    <t xml:space="preserve">Proyección de las ventas adicionales que se esperan conseguir con la campaña. Cierra en la sesión 25.</t>
  </si>
  <si>
    <t xml:space="preserve">3.2.2</t>
  </si>
  <si>
    <t xml:space="preserve">Elaboración del Flujo de Caja Neto de la campaña. Cierra en la sesión 27.</t>
  </si>
  <si>
    <t xml:space="preserve">3.2.3</t>
  </si>
  <si>
    <t xml:space="preserve">Cálculo de los indicadores de rentabilidad: VAN, TIR, periodo de recuperación, ROI y ratio costo-beneficio. Cierra en la sesión 27.</t>
  </si>
  <si>
    <t xml:space="preserve">Anexo A.2</t>
  </si>
  <si>
    <t xml:space="preserve">Tablas y cálculos numéricos adicionales: diagramas de flujo y evidencia de los indicadores financieros. Cierra en la sesión 27.</t>
  </si>
  <si>
    <t xml:space="preserve">CRITERIOS DE DISEÑO DE ESTE PLAN</t>
  </si>
  <si>
    <t xml:space="preserve">La semana 2 practica, no avanza</t>
  </si>
  <si>
    <t xml:space="preserve">Como en la semana 1 solo se llegó a la teoría de razones y proporciones, la sesión 3 se dedica a practicar lo que quedó explicado y a completar el reparto proporcional. No se acumula tema nuevo sobre tema no practicado.</t>
  </si>
  <si>
    <t xml:space="preserve">Pocos temas por sesión</t>
  </si>
  <si>
    <t xml:space="preserve">Los lunes de 135 minutos llevan como máximo dos temas del sílabo, siempre con práctica inmediata. Los jueves de 45 minutos llevan un solo tema o se dedican íntegramente a taller, práctica calificada o evaluación.</t>
  </si>
  <si>
    <t xml:space="preserve">El lunes enseña, el jueves consolida</t>
  </si>
  <si>
    <t xml:space="preserve">La sesión larga introduce y practica el contenido nuevo; la sesión corta lo aplica, lo evalúa o lo lleva al proyecto. Ningún jueves abre un tema que no se pueda cerrar en 45 minutos.</t>
  </si>
  <si>
    <t xml:space="preserve">Regla de los diez minutos</t>
  </si>
  <si>
    <t xml:space="preserve">Ninguna exposición del docente supera los diez minutos seguidos. Después de cada microexplicación hay práctica del estudiante.</t>
  </si>
  <si>
    <t xml:space="preserve">Cada sesión abre con un reto</t>
  </si>
  <si>
    <t xml:space="preserve">Un caso, una pregunta con respuesta contraintuitiva o un conflicto cognitivo que se retoma y se resuelve durante la sesión.</t>
  </si>
  <si>
    <t xml:space="preserve">El proyecto avanza en clase</t>
  </si>
  <si>
    <t xml:space="preserve">Los lunes reservan de 40 a 65 minutos para trabajar sobre el producto real que cada equipo eligió. El componente del informe se cierra en la semana 14.</t>
  </si>
  <si>
    <t xml:space="preserve">Evidencia por sesión</t>
  </si>
  <si>
    <t xml:space="preserve">Toda sesión produce una evidencia observable: ficha de práctica resuelta, hoja de cálculo, ejercicio de salida o entregable del proyecto. Cada sesión larga reserva cinco minutos de holgura.</t>
  </si>
  <si>
    <t xml:space="preserve">Leyenda de colores</t>
  </si>
  <si>
    <t xml:space="preserve">Inicio (ámbar)   ·   Desarrollo (verde)   ·   Cierre (naranja)   ·   Bloque del proyecto integrador (azul)   ·   Evaluación calificada (salmón)</t>
  </si>
  <si>
    <t xml:space="preserve">Hojas del archivo</t>
  </si>
  <si>
    <t xml:space="preserve">PLAN DETALLADO (tramo por tramo)  ·  RESUMEN POR SESIÓN  ·  MAPA CURSO Y PROYECTO  ·  REORDENAMIENTO  ·  SEMANAS 15 Y 16  ·  CONTROL DE AVANCE</t>
  </si>
  <si>
    <t xml:space="preserve">MATEMÁTICA APLICADA · MARKETING · 2026-II — PLAN DE CLASE DETALLADO POR MINUTOS · SESIONES 3 A 28</t>
  </si>
  <si>
    <t xml:space="preserve">SEM</t>
  </si>
  <si>
    <t xml:space="preserve">SESIÓN</t>
  </si>
  <si>
    <t xml:space="preserve">FECHA</t>
  </si>
  <si>
    <t xml:space="preserve">DÍA</t>
  </si>
  <si>
    <t xml:space="preserve">INICIO</t>
  </si>
  <si>
    <t xml:space="preserve">FIN</t>
  </si>
  <si>
    <t xml:space="preserve">MIN</t>
  </si>
  <si>
    <t xml:space="preserve">MOMENTO</t>
  </si>
  <si>
    <t xml:space="preserve">CONTENIDO DEL SÍLABO / BLOQUE</t>
  </si>
  <si>
    <t xml:space="preserve">ACTIVIDAD DETALLADA (qué se hace, paso a paso)</t>
  </si>
  <si>
    <t xml:space="preserve">PUNTO DEL INFORME QUE AVANZA</t>
  </si>
  <si>
    <t xml:space="preserve">TÉCNICA ACTIVA</t>
  </si>
  <si>
    <t xml:space="preserve">AGRUPACIÓN</t>
  </si>
  <si>
    <t xml:space="preserve">PROTAGONISTA</t>
  </si>
  <si>
    <t xml:space="preserve">RECURSOS</t>
  </si>
  <si>
    <t xml:space="preserve">EVIDENCIA / PRODUCTO</t>
  </si>
  <si>
    <t xml:space="preserve">SESIÓN 3  ·  SEMANA 2  ·  Lunes 24/08/2026  ·  Actividad 1 (continuación y práctica)  —  Tema: Fracciones y decimales en el presupuesto; variación proporcional aplicada   |   2.3. Fracciones y decimales en el presupuesto.   3.1. Variación proporcional directa e inversa en el comercio.   |   Instrumento de evaluación: Ficha de observación de desempeño y revisión del cuaderno de ejercicios</t>
  </si>
  <si>
    <t xml:space="preserve">24/08/2026</t>
  </si>
  <si>
    <t xml:space="preserve">Lunes</t>
  </si>
  <si>
    <t xml:space="preserve">10:45</t>
  </si>
  <si>
    <t xml:space="preserve">10:50</t>
  </si>
  <si>
    <t xml:space="preserve">Inicio</t>
  </si>
  <si>
    <t xml:space="preserve">Recuperación de la teoría de la semana 1</t>
  </si>
  <si>
    <t xml:space="preserve">Se recuperan en pizarra las tres ideas de razones y proporciones vistas la semana pasada mediante tres preguntas rápidas a mano alzada. Encuadre: hoy se practica lo que la semana pasada solo se explicó.</t>
  </si>
  <si>
    <t xml:space="preserve">—</t>
  </si>
  <si>
    <t xml:space="preserve">Recuperación de saberes</t>
  </si>
  <si>
    <t xml:space="preserve">Plenaria</t>
  </si>
  <si>
    <t xml:space="preserve">Compartido</t>
  </si>
  <si>
    <t xml:space="preserve">Pizarra y plumones</t>
  </si>
  <si>
    <t xml:space="preserve">Respuestas orales registradas</t>
  </si>
  <si>
    <t xml:space="preserve">11:00</t>
  </si>
  <si>
    <t xml:space="preserve">Desarrollo</t>
  </si>
  <si>
    <t xml:space="preserve">2.3. Fracciones y decimales en el presupuesto</t>
  </si>
  <si>
    <t xml:space="preserve">Microexplicación con un presupuesto publicitario real: un tercio a redes, un cuarto a radio y el resto a material impreso. Se convierte cada fracción a decimal y a porcentaje en la misma tabla.</t>
  </si>
  <si>
    <t xml:space="preserve">Microclase con tabla de conversión</t>
  </si>
  <si>
    <t xml:space="preserve">Proyector, diapositivas, Pizarra y plumones</t>
  </si>
  <si>
    <t xml:space="preserve">Tabla de conversión copiada</t>
  </si>
  <si>
    <t xml:space="preserve">11:25</t>
  </si>
  <si>
    <t xml:space="preserve">Práctica 1: reparto de un presupuesto en fracciones</t>
  </si>
  <si>
    <t xml:space="preserve">Cada estudiante resuelve seis ejercicios de reparto de un presupuesto expresado en fracciones, verificando en cada caso que las partes sumen el total. Se corrigen dos en pizarra a mitad del tiempo.</t>
  </si>
  <si>
    <t xml:space="preserve">Práctica dirigida con verificación</t>
  </si>
  <si>
    <t xml:space="preserve">Individual</t>
  </si>
  <si>
    <t xml:space="preserve">Estudiante</t>
  </si>
  <si>
    <t xml:space="preserve">Ficha de práctica impresa, Calculadora</t>
  </si>
  <si>
    <t xml:space="preserve">Ficha de práctica 1 resuelta</t>
  </si>
  <si>
    <t xml:space="preserve">11:35</t>
  </si>
  <si>
    <t xml:space="preserve">3.1. Variación proporcional directa e inversa</t>
  </si>
  <si>
    <t xml:space="preserve">Microexplicación con dos casos comerciales opuestos: más unidades compradas, más costo total (directa); más vendedores en la misma zona, menos clientes por vendedor (inversa). Se establece cómo distinguirlas.</t>
  </si>
  <si>
    <t xml:space="preserve">Microclase con casos contrastados</t>
  </si>
  <si>
    <t xml:space="preserve">Proyector, diapositivas</t>
  </si>
  <si>
    <t xml:space="preserve">Criterio de distinción en el cuaderno</t>
  </si>
  <si>
    <t xml:space="preserve">12:00</t>
  </si>
  <si>
    <t xml:space="preserve">Práctica 2: regla de tres directa e inversa</t>
  </si>
  <si>
    <t xml:space="preserve">Ocho ejercicios comerciales en los que el estudiante debe primero decidir si la proporción es directa o inversa y recién después calcular. El error que se busca corregir es aplicar la regla sin identificar el tipo.</t>
  </si>
  <si>
    <t xml:space="preserve">Práctica dirigida con decisión previa</t>
  </si>
  <si>
    <t xml:space="preserve">Individual, luego parejas</t>
  </si>
  <si>
    <t xml:space="preserve">Ficha de práctica 2 resuelta</t>
  </si>
  <si>
    <t xml:space="preserve">12:05</t>
  </si>
  <si>
    <t xml:space="preserve">Holgura</t>
  </si>
  <si>
    <t xml:space="preserve">Espacio para consultas y para terminar la práctica.</t>
  </si>
  <si>
    <t xml:space="preserve">12:45</t>
  </si>
  <si>
    <t xml:space="preserve">Proyecto integrador · Conformación de equipos y elección del producto</t>
  </si>
  <si>
    <t xml:space="preserve">Conformación de los equipos de tres a cuatro integrantes con roles asignados, presentación de la ruta de los puntos que le corresponden a Matemática Aplicada en el informe, y elección del producto arequipeño que cada equipo analizará. Cada equipo anota el precio de venta actual del producto elegido.</t>
  </si>
  <si>
    <t xml:space="preserve">Organización del proyecto integrador</t>
  </si>
  <si>
    <t xml:space="preserve">Equipos de 3 a 4</t>
  </si>
  <si>
    <t xml:space="preserve">Ficha de equipos, ruta del componente</t>
  </si>
  <si>
    <t xml:space="preserve">Equipos conformados y producto elegido</t>
  </si>
  <si>
    <t xml:space="preserve">13:00</t>
  </si>
  <si>
    <t xml:space="preserve">Cierre</t>
  </si>
  <si>
    <t xml:space="preserve">Síntesis y encargo</t>
  </si>
  <si>
    <t xml:space="preserve">Síntesis en dos ideas: toda fracción es un porcentaje disfrazado, y antes de calcular una proporción hay que decidir si es directa o inversa. Encargo: averiguar el precio de venta y el precio de compra del producto elegido para el jueves.</t>
  </si>
  <si>
    <t xml:space="preserve">Cuaderno de trabajo</t>
  </si>
  <si>
    <t xml:space="preserve">Registro del encargo</t>
  </si>
  <si>
    <t xml:space="preserve">TOTAL</t>
  </si>
  <si>
    <t xml:space="preserve">Sesión 3 — Fracciones y decimales en el presupuesto; variación proporcional aplicada</t>
  </si>
  <si>
    <t xml:space="preserve">Instrumento de evaluación de la sesión: Ficha de observación de desempeño y revisión del cuaderno de ejercicios</t>
  </si>
  <si>
    <t xml:space="preserve">SESIÓN 4  ·  SEMANA 2  ·  Jueves 27/08/2026  ·  Actividad 1 (cierre)  —  Tema: Reparto proporcional de presupuestos y comisiones   |   3.2. Reparto proporcional de presupuestos y comisiones de venta.   |   Instrumento de evaluación: Lista de cotejo del trabajo en equipo</t>
  </si>
  <si>
    <t xml:space="preserve">27/08/2026</t>
  </si>
  <si>
    <t xml:space="preserve">Jueves</t>
  </si>
  <si>
    <t xml:space="preserve">12:15</t>
  </si>
  <si>
    <t xml:space="preserve">12:20</t>
  </si>
  <si>
    <t xml:space="preserve">Reto de apertura</t>
  </si>
  <si>
    <t xml:space="preserve">Tres vendedores venden S/ 8 000, S/ 5 000 y S/ 2 000. Hay S/ 1 500 de comisión para repartir. Cada estudiante escribe cuánto le toca al primero, sin explicación previa.</t>
  </si>
  <si>
    <t xml:space="preserve">Reto numérico</t>
  </si>
  <si>
    <t xml:space="preserve">Respuesta escrita inicial</t>
  </si>
  <si>
    <t xml:space="preserve">12:30</t>
  </si>
  <si>
    <t xml:space="preserve">3.2. Reparto proporcional directo</t>
  </si>
  <si>
    <t xml:space="preserve">Microexplicación del método de la constante de proporcionalidad: se suman las partes, se divide el total entre esa suma y se multiplica por cada parte. Se resuelve el reto del inicio y se comprueba que la suma cierre.</t>
  </si>
  <si>
    <t xml:space="preserve">Microclase con resolución del reto</t>
  </si>
  <si>
    <t xml:space="preserve">Método en tres pasos en el cuaderno</t>
  </si>
  <si>
    <t xml:space="preserve">12:55</t>
  </si>
  <si>
    <t xml:space="preserve">Taller: reparto de comisiones y de presupuesto de campaña</t>
  </si>
  <si>
    <t xml:space="preserve">En equipos, cinco casos de reparto: comisiones por ventas, presupuesto entre canales, utilidad entre socios, costo de flete entre productos y bono por metas. En cada uno se verifica que el reparto sume el total.</t>
  </si>
  <si>
    <t xml:space="preserve">Taller cooperativo con verificación</t>
  </si>
  <si>
    <t xml:space="preserve">Ficha del taller resuelta en equipo</t>
  </si>
  <si>
    <t xml:space="preserve">Cierre y puente</t>
  </si>
  <si>
    <t xml:space="preserve">Se corrige un caso en pizarra y se anuncia el tema del lunes: los porcentajes, que son la herramienta con la que se calcula todo descuento y todo aumento del proyecto.</t>
  </si>
  <si>
    <t xml:space="preserve">Síntesis y puente</t>
  </si>
  <si>
    <t xml:space="preserve">Corrección conjunta</t>
  </si>
  <si>
    <t xml:space="preserve">Sesión 4 — Reparto proporcional de presupuestos y comisiones</t>
  </si>
  <si>
    <t xml:space="preserve">Instrumento de evaluación de la sesión: Lista de cotejo del trabajo en equipo</t>
  </si>
  <si>
    <t xml:space="preserve">SESIÓN 5  ·  SEMANA 3  ·  Lunes 31/08/2026  ·  Actividad 1 (continuación)  —  Tema: Porcentajes y su uso en el comercio   |   4.1. Conversión de porcentajes a factores decimales.   4.2. Aumentos y descuentos directos con multiplicadores.   |   Instrumento de evaluación: Ficha de observación de desempeño y revisión del cuaderno de ejercicios</t>
  </si>
  <si>
    <t xml:space="preserve">31/08/2026</t>
  </si>
  <si>
    <t xml:space="preserve">Conflicto cognitivo</t>
  </si>
  <si>
    <t xml:space="preserve">Se proyecta un aviso: «hasta 70 % de descuento». Pregunta: si algo cuesta S/ 250 y tiene 70 % de descuento, ¿cuánto pago? Se recogen tres respuestas distintas y se dejan sin corregir.</t>
  </si>
  <si>
    <t xml:space="preserve">4.1. Del porcentaje al factor decimal</t>
  </si>
  <si>
    <t xml:space="preserve">Microexplicación del factor: 15 % de descuento es multiplicar por 0,85; 15 % de aumento es multiplicar por 1,15. Se resuelve el conflicto del inicio con un solo producto en la calculadora.</t>
  </si>
  <si>
    <t xml:space="preserve">Microclase con regla del factor</t>
  </si>
  <si>
    <t xml:space="preserve">Regla del factor en el cuaderno</t>
  </si>
  <si>
    <t xml:space="preserve">Práctica 3: conversión y aplicación de factores</t>
  </si>
  <si>
    <t xml:space="preserve">Diez ejercicios de conversión de porcentaje a factor y de aplicación directa sobre precios reales de productos arequipeños. Se exige resolver con un solo paso de multiplicación, no con dos.</t>
  </si>
  <si>
    <t xml:space="preserve">Práctica dirigida con restricción de método</t>
  </si>
  <si>
    <t xml:space="preserve">Ficha de práctica 3 resuelta</t>
  </si>
  <si>
    <t xml:space="preserve">4.2. Aumentos y descuentos no son simétricos</t>
  </si>
  <si>
    <t xml:space="preserve">Microexplicación por contraejemplo: subir 20 % y luego bajar 20 % no devuelve al precio original. Se demuestra numéricamente en pizarra y se explica por qué.</t>
  </si>
  <si>
    <t xml:space="preserve">Demostración por contraejemplo</t>
  </si>
  <si>
    <t xml:space="preserve">Contraejemplo registrado</t>
  </si>
  <si>
    <t xml:space="preserve">Práctica 4: aumentos y descuentos encadenados</t>
  </si>
  <si>
    <t xml:space="preserve">Ocho ejercicios en los que el estudiante aplica un aumento y luego un descuento sobre el mismo precio, y calcula la variación real respecto del precio inicial.</t>
  </si>
  <si>
    <t xml:space="preserve">Práctica dirigida</t>
  </si>
  <si>
    <t xml:space="preserve">Ficha de práctica 4 resuelta</t>
  </si>
  <si>
    <t xml:space="preserve">Consultas y término de la práctica.</t>
  </si>
  <si>
    <t xml:space="preserve">Proyecto integrador · Estructura de precios del producto elegido</t>
  </si>
  <si>
    <t xml:space="preserve">Cada equipo organiza la información de precios que consiguió: precio de venta al público, precio en distintos puntos de venta y descuentos o promociones vigentes, y calcula la variación porcentual entre el precio más alto y el más bajo del mercado.</t>
  </si>
  <si>
    <t xml:space="preserve">Taller con asesoría por equipos</t>
  </si>
  <si>
    <t xml:space="preserve">Calculadora, Ficha de práctica impresa</t>
  </si>
  <si>
    <t xml:space="preserve">Cuadro de precios del producto con variaciones</t>
  </si>
  <si>
    <t xml:space="preserve">Contraste con el conflicto inicial</t>
  </si>
  <si>
    <t xml:space="preserve">Se retoma el aviso del 70 % y cada estudiante corrige su respuesta inicial. Encargo: traer los precios de dos productos competidores para el jueves.</t>
  </si>
  <si>
    <t xml:space="preserve">Contraste y encargo</t>
  </si>
  <si>
    <t xml:space="preserve">Respuesta corregida</t>
  </si>
  <si>
    <t xml:space="preserve">Sesión 5 — Porcentajes y su uso en el comercio</t>
  </si>
  <si>
    <t xml:space="preserve">SESIÓN 6  ·  SEMANA 3  ·  Jueves 03/09/2026  ·  Actividad 1 (continuación)  —  Tema: Variación porcentual de ventas   |   5.1. Variación porcentual de ventas de un mes a otro.   |   Instrumento de evaluación: Ficha de observación y ejercicio de salida</t>
  </si>
  <si>
    <t xml:space="preserve">03/09/2026</t>
  </si>
  <si>
    <t xml:space="preserve">Una tienda vendió S/ 12 000 en marzo y S/ 15 600 en abril. ¿Cuánto creció? Se recoge la respuesta antes de la explicación.</t>
  </si>
  <si>
    <t xml:space="preserve">5.1. Fórmula de la variación porcentual</t>
  </si>
  <si>
    <t xml:space="preserve">Microexplicación: valor nuevo menos valor anterior, dividido entre el valor anterior. Se advierte el error más frecuente, que es dividir entre el valor nuevo, y se muestra la diferencia que produce.</t>
  </si>
  <si>
    <t xml:space="preserve">Microclase con advertencia del error frecuente</t>
  </si>
  <si>
    <t xml:space="preserve">Fórmula en el cuaderno</t>
  </si>
  <si>
    <t xml:space="preserve">Práctica 5: variación mes a mes de una serie de ventas</t>
  </si>
  <si>
    <t xml:space="preserve">Cada estudiante calcula la variación porcentual mensual de una serie de doce meses de ventas reales de una marca local, identifica el mes de mayor caída y el de mayor crecimiento, y los explica.</t>
  </si>
  <si>
    <t xml:space="preserve">Práctica dirigida con lectura comercial</t>
  </si>
  <si>
    <t xml:space="preserve">Serie de variaciones calculada e interpretada</t>
  </si>
  <si>
    <t xml:space="preserve">Ejercicio de salida</t>
  </si>
  <si>
    <t xml:space="preserve">Ejercicio de salida de dos ítems: una variación de crecimiento y una de caída, con su interpretación en una línea. Se recoge al terminar.</t>
  </si>
  <si>
    <t xml:space="preserve">Ficha de salida</t>
  </si>
  <si>
    <t xml:space="preserve">Ejercicio de salida entregado</t>
  </si>
  <si>
    <t xml:space="preserve">Sesión 6 — Variación porcentual de ventas</t>
  </si>
  <si>
    <t xml:space="preserve">Instrumento de evaluación de la sesión: Ficha de observación y ejercicio de salida</t>
  </si>
  <si>
    <t xml:space="preserve">SESIÓN 7  ·  SEMANA 4  ·  Lunes 07/09/2026  ·  Actividad 1 (cierre de porcentajes)  —  Tema: Descuentos sucesivos y descuento único equivalente   |   5.2. Descuentos sucesivos en tiendas comerciales.   5.3. Descuento único equivalente.   |   Instrumento de evaluación: Lista de cotejo del taller y participación oral</t>
  </si>
  <si>
    <t xml:space="preserve">07/09/2026</t>
  </si>
  <si>
    <t xml:space="preserve">Una tienda ofrece «30 % + 20 % adicional». Un estudiante afirma que es 50 % de descuento. Pregunta al aula: ¿tiene razón? Se vota a mano alzada y se anota el resultado.</t>
  </si>
  <si>
    <t xml:space="preserve">Conflicto cognitivo con votación</t>
  </si>
  <si>
    <t xml:space="preserve">Votación registrada</t>
  </si>
  <si>
    <t xml:space="preserve">5.2. Descuentos sucesivos</t>
  </si>
  <si>
    <t xml:space="preserve">Microexplicación: los descuentos se aplican uno sobre el saldo del anterior, no sobre el precio original. Se resuelve el caso del inicio con factores encadenados y se demuestra que 30 % más 20 % equivale a 44 %, no a 50 %.</t>
  </si>
  <si>
    <t xml:space="preserve">Microclase con resolución del conflicto</t>
  </si>
  <si>
    <t xml:space="preserve">Cálculo del descuento real</t>
  </si>
  <si>
    <t xml:space="preserve">Práctica 6: cadenas de descuentos</t>
  </si>
  <si>
    <t xml:space="preserve">Ocho casos de dos y tres descuentos sucesivos sobre productos reales, calculando el precio final y el descuento real obtenido. Se prohíbe sumar los porcentajes.</t>
  </si>
  <si>
    <t xml:space="preserve">Práctica dirigida con restricción</t>
  </si>
  <si>
    <t xml:space="preserve">Ficha de práctica 6 resuelta</t>
  </si>
  <si>
    <t xml:space="preserve">5.3. Descuento único equivalente</t>
  </si>
  <si>
    <t xml:space="preserve">Microexplicación de la fórmula del descuento único equivalente a partir del producto de los factores. Se muestra su utilidad práctica: comparar dos ofertas de estructura distinta.</t>
  </si>
  <si>
    <t xml:space="preserve">Microclase con aplicación comparativa</t>
  </si>
  <si>
    <t xml:space="preserve">Fórmula del equivalente único</t>
  </si>
  <si>
    <t xml:space="preserve">Práctica 7: comparación de ofertas de la competencia</t>
  </si>
  <si>
    <t xml:space="preserve">Cada pareja compara tres ofertas de estructura distinta sobre el mismo producto y determina cuál conviene más al consumidor, sustentando con el descuento único equivalente.</t>
  </si>
  <si>
    <t xml:space="preserve">Práctica con toma de decisión</t>
  </si>
  <si>
    <t xml:space="preserve">Parejas</t>
  </si>
  <si>
    <t xml:space="preserve">Comparación de ofertas con decisión justificada</t>
  </si>
  <si>
    <t xml:space="preserve">Proyecto integrador · Análisis de precios del producto y de la competencia</t>
  </si>
  <si>
    <t xml:space="preserve">Cada equipo compara el precio de su producto con el de dos competidores, calcula la diferencia porcentual y analiza las promociones vigentes de la categoría con el descuento único equivalente. Este cuadro es la base del punto 2.5.1 del informe.</t>
  </si>
  <si>
    <t xml:space="preserve">Cuadro comparativo de precios y promociones</t>
  </si>
  <si>
    <t xml:space="preserve">Preparación de la práctica calificada</t>
  </si>
  <si>
    <t xml:space="preserve">Se resuelven las dudas y se indica el temario de la práctica calificada del jueves: proporciones, reparto, porcentajes, variación porcentual y descuentos sucesivos.</t>
  </si>
  <si>
    <t xml:space="preserve">Repaso dirigido</t>
  </si>
  <si>
    <t xml:space="preserve">Temario entregado</t>
  </si>
  <si>
    <t xml:space="preserve">Sesión 7 — Descuentos sucesivos y descuento único equivalente</t>
  </si>
  <si>
    <t xml:space="preserve">Instrumento de evaluación de la sesión: Lista de cotejo del taller y participación oral</t>
  </si>
  <si>
    <t xml:space="preserve">SESIÓN 8  ·  SEMANA 4  ·  Jueves 10/09/2026  ·  Actividad 1 (evaluación)  —  Tema: Práctica calificada de aritmética comercial   |   Evaluación de los temas 2.3 a 5.3: proporciones, reparto, porcentajes, variación porcentual y descuentos.   |   Instrumento de evaluación: Práctica calificada individual y ficha de observación</t>
  </si>
  <si>
    <t xml:space="preserve">10/09/2026</t>
  </si>
  <si>
    <t xml:space="preserve">Indicaciones</t>
  </si>
  <si>
    <t xml:space="preserve">Indicaciones de la práctica, distribución de las fichas y verificación de calculadoras.</t>
  </si>
  <si>
    <t xml:space="preserve">Encuadre de la evaluación</t>
  </si>
  <si>
    <t xml:space="preserve">Prueba impresa</t>
  </si>
  <si>
    <t xml:space="preserve">Prueba distribuida</t>
  </si>
  <si>
    <t xml:space="preserve">12:50</t>
  </si>
  <si>
    <t xml:space="preserve">PRÁCTICA CALIFICADA 1</t>
  </si>
  <si>
    <t xml:space="preserve">Práctica individual de seis problemas: un reparto proporcional, dos de porcentajes con factor, una variación porcentual con interpretación, un caso de descuentos sucesivos y un descuento único equivalente.</t>
  </si>
  <si>
    <t xml:space="preserve">Evaluación escrita individual</t>
  </si>
  <si>
    <t xml:space="preserve">Prueba impresa, Calculadora</t>
  </si>
  <si>
    <t xml:space="preserve">Retroalimentación inmediata</t>
  </si>
  <si>
    <t xml:space="preserve">Se resuelve en pizarra el problema de descuentos sucesivos, que concentra el mayor porcentaje de error, y cada estudiante contrasta su procedimiento.</t>
  </si>
  <si>
    <t xml:space="preserve">Corrección modelada</t>
  </si>
  <si>
    <t xml:space="preserve">Autocorrección registrada</t>
  </si>
  <si>
    <t xml:space="preserve">Encargo del proyecto</t>
  </si>
  <si>
    <t xml:space="preserve">Encargo para el lunes: cada equipo averigua el costo de compra o de producción del producto elegido, que es el dato que falta para calcular márgenes más adelante.</t>
  </si>
  <si>
    <t xml:space="preserve">Encargo</t>
  </si>
  <si>
    <t xml:space="preserve">Sesión 8 — Práctica calificada de aritmética comercial</t>
  </si>
  <si>
    <t xml:space="preserve">Instrumento de evaluación de la sesión: Práctica calificada individual y ficha de observación</t>
  </si>
  <si>
    <t xml:space="preserve">SESIÓN 9  ·  SEMANA 5  ·  Lunes 14/09/2026  ·  Actividad 2: Interés simple y compuesto  —  Tema: Interés simple comercial   |   6.1. Componentes: capital, tiempo, tasa e interés.   6.2. Cálculo de cobros y pagos a corto plazo.   |   Instrumento de evaluación: Ficha de observación y revisión del cuaderno de ejercicios</t>
  </si>
  <si>
    <t xml:space="preserve">14/09/2026</t>
  </si>
  <si>
    <t xml:space="preserve">Un proveedor ofrece 5 % de descuento por pago al contado o crédito a 60 días sin recargo. Pregunta: ¿cuánto cuesta realmente ese crédito? Se recoge la intuición del aula.</t>
  </si>
  <si>
    <t xml:space="preserve">Reto detonante</t>
  </si>
  <si>
    <t xml:space="preserve">Intuición escrita</t>
  </si>
  <si>
    <t xml:space="preserve">6.1. Componentes del interés simple</t>
  </si>
  <si>
    <t xml:space="preserve">Microexplicación de los cuatro elementos y de la fórmula, con especial atención a la coherencia entre la unidad de la tasa y la del tiempo, que es donde se produce el error más frecuente.</t>
  </si>
  <si>
    <t xml:space="preserve">Microclase con advertencia de unidades</t>
  </si>
  <si>
    <t xml:space="preserve">Fórmula y regla de unidades</t>
  </si>
  <si>
    <t xml:space="preserve">Práctica 8: cálculo de interés, monto y capital</t>
  </si>
  <si>
    <t xml:space="preserve">Nueve ejercicios en los que se despeja alternadamente el interés, el monto, el capital y la tasa, con tiempos expresados en días, meses y años para forzar la conversión.</t>
  </si>
  <si>
    <t xml:space="preserve">Práctica dirigida con despeje alternado</t>
  </si>
  <si>
    <t xml:space="preserve">Ficha de práctica 8 resuelta</t>
  </si>
  <si>
    <t xml:space="preserve">6.2. Cobros y pagos a corto plazo</t>
  </si>
  <si>
    <t xml:space="preserve">Microexplicación aplicada al comercio: descuento por pronto pago, recargo por mora y costo financiero de vender al crédito. Se resuelve el reto del inicio.</t>
  </si>
  <si>
    <t xml:space="preserve">Resolución del reto en el cuaderno</t>
  </si>
  <si>
    <t xml:space="preserve">Práctica 9: casos comerciales de crédito</t>
  </si>
  <si>
    <t xml:space="preserve">Seis casos reales de una distribuidora: pago adelantado con descuento, letra a 90 días, mora de 15 días y comparación entre dos condiciones de pago para decidir cuál conviene.</t>
  </si>
  <si>
    <t xml:space="preserve">Ficha de práctica 9 resuelta</t>
  </si>
  <si>
    <t xml:space="preserve">Proyecto integrador · Costo del producto y condiciones de pago</t>
  </si>
  <si>
    <t xml:space="preserve">Cada equipo registra el costo de compra o de producción de su producto, verifica con qué condiciones de pago trabaja la empresa con sus proveedores y calcula, si existe crédito, cuánto le cuesta financieramente.</t>
  </si>
  <si>
    <t xml:space="preserve">Costo del producto y condiciones de pago registrados</t>
  </si>
  <si>
    <t xml:space="preserve">Síntesis: el interés simple no capitaliza, cada periodo genera interés solo sobre el capital original. Encargo: revisar el ejercicio propuesto para el taller del jueves.</t>
  </si>
  <si>
    <t xml:space="preserve">Sesión 9 — Interés simple comercial</t>
  </si>
  <si>
    <t xml:space="preserve">Instrumento de evaluación de la sesión: Ficha de observación y revisión del cuaderno de ejercicios</t>
  </si>
  <si>
    <t xml:space="preserve">SESIÓN 10  ·  SEMANA 5  ·  Jueves 17/09/2026  ·  Actividad 2 (continuación)  —  Tema: Taller de interés simple aplicado al crédito comercial   |   6.2. Cálculo de cobros y pagos a corto plazo (aplicación).   |   Instrumento de evaluación: Lista de cotejo del taller</t>
  </si>
  <si>
    <t xml:space="preserve">17/09/2026</t>
  </si>
  <si>
    <t xml:space="preserve">Encuadre del taller</t>
  </si>
  <si>
    <t xml:space="preserve">Meta de la sesión: decidir con números cuál de dos condiciones de pago conviene a una empresa comercial.</t>
  </si>
  <si>
    <t xml:space="preserve">Encuadre con meta visible</t>
  </si>
  <si>
    <t xml:space="preserve">Meta anotada</t>
  </si>
  <si>
    <t xml:space="preserve">Taller: decisión de financiamiento</t>
  </si>
  <si>
    <t xml:space="preserve">En equipos, un caso completo: una tienda debe elegir entre pagar al contado con 4 % de descuento o a 45 días sin recargo, teniendo la posibilidad de colocar ese dinero al 1,2 % mensual. Se calcula y se decide.</t>
  </si>
  <si>
    <t xml:space="preserve">Taller cooperativo con decisión sustentada</t>
  </si>
  <si>
    <t xml:space="preserve">Decisión con cálculo de respaldo</t>
  </si>
  <si>
    <t xml:space="preserve">Socialización</t>
  </si>
  <si>
    <t xml:space="preserve">Dos equipos exponen su decisión y el aula verifica el cálculo. Se establece el criterio general de comparación.</t>
  </si>
  <si>
    <t xml:space="preserve">Socialización con verificación</t>
  </si>
  <si>
    <t xml:space="preserve">Criterio general registrado</t>
  </si>
  <si>
    <t xml:space="preserve">Puente al interés compuesto</t>
  </si>
  <si>
    <t xml:space="preserve">Se plantea la pregunta que abre el lunes: ¿qué pasa si el interés no se paga y se suma al capital? Queda como pregunta abierta.</t>
  </si>
  <si>
    <t xml:space="preserve">Puente al siguiente tema</t>
  </si>
  <si>
    <t xml:space="preserve">Pregunta anotada</t>
  </si>
  <si>
    <t xml:space="preserve">Sesión 10 — Taller de interés simple aplicado al crédito comercial</t>
  </si>
  <si>
    <t xml:space="preserve">Instrumento de evaluación de la sesión: Lista de cotejo del taller</t>
  </si>
  <si>
    <t xml:space="preserve">SESIÓN 11  ·  SEMANA 6  ·  Lunes 21/09/2026  ·  Actividad 2 (continuación)  —  Tema: Interés compuesto bancario   |   7.1. Concepto de acumulación de intereses (capitalización).   7.2. Frecuencia de capitalización y periodos.   |   Instrumento de evaluación: Lista de cotejo del ejercicio en Excel</t>
  </si>
  <si>
    <t xml:space="preserve">21/09/2026</t>
  </si>
  <si>
    <t xml:space="preserve">Contraste con la pregunta del jueves</t>
  </si>
  <si>
    <t xml:space="preserve">Se retoma la pregunta abierta: se muestra en pizarra el mismo capital a un año con interés simple y con interés compuesto mensual, y se compara la diferencia.</t>
  </si>
  <si>
    <t xml:space="preserve">Contraste numérico</t>
  </si>
  <si>
    <t xml:space="preserve">Diferencia cuantificada</t>
  </si>
  <si>
    <t xml:space="preserve">7.1. Capitalización de intereses</t>
  </si>
  <si>
    <t xml:space="preserve">Microexplicación: el interés generado se suma al capital y pasa a generar interés. Se construye en pizarra la tabla de los primeros cuatro periodos antes de presentar la fórmula.</t>
  </si>
  <si>
    <t xml:space="preserve">Microclase con construcción previa a la fórmula</t>
  </si>
  <si>
    <t xml:space="preserve">Pizarra y plumones, Proyector, diapositivas</t>
  </si>
  <si>
    <t xml:space="preserve">Tabla de capitalización y fórmula</t>
  </si>
  <si>
    <t xml:space="preserve">Práctica 10: tabla de capitalización en Excel</t>
  </si>
  <si>
    <t xml:space="preserve">Cada estudiante construye en Excel la tabla de capitalización de doce periodos con fórmulas encadenadas y comprueba que el resultado coincida con la fórmula del monto compuesto.</t>
  </si>
  <si>
    <t xml:space="preserve">Laboratorio guiado con doble verificación</t>
  </si>
  <si>
    <t xml:space="preserve">Laboratorio de cómputo con MS Excel</t>
  </si>
  <si>
    <t xml:space="preserve">Tabla de capitalización con fórmulas activas</t>
  </si>
  <si>
    <t xml:space="preserve">7.2. Frecuencia de capitalización</t>
  </si>
  <si>
    <t xml:space="preserve">Microexplicación del efecto de capitalizar mensual, trimestral o anualmente sobre el mismo capital y la misma tasa nominal. Se advierte que a mayor frecuencia, mayor monto final.</t>
  </si>
  <si>
    <t xml:space="preserve">Microclase con comparación de frecuencias</t>
  </si>
  <si>
    <t xml:space="preserve">Efecto de la frecuencia registrado</t>
  </si>
  <si>
    <t xml:space="preserve">Práctica 11: comparación de frecuencias de capitalización</t>
  </si>
  <si>
    <t xml:space="preserve">En la misma hoja de Excel, cada estudiante compara el monto final de un capital a tres frecuencias distintas y cuantifica cuánto se gana por capitalizar más seguido.</t>
  </si>
  <si>
    <t xml:space="preserve">Laboratorio con comparación</t>
  </si>
  <si>
    <t xml:space="preserve">Comparación de tres frecuencias</t>
  </si>
  <si>
    <t xml:space="preserve">Consultas y corrección de fórmulas.</t>
  </si>
  <si>
    <t xml:space="preserve">Proyecto integrador · Definición de la campaña a evaluar</t>
  </si>
  <si>
    <t xml:space="preserve">Cada equipo define en qué consistirá la campaña de marketing que después evaluará financieramente: qué se hará, cuánto durará y qué se espera lograr. Se establece la inversión aproximada que requerirá, que será el periodo cero del flujo de caja.</t>
  </si>
  <si>
    <t xml:space="preserve">Ficha de práctica impresa</t>
  </si>
  <si>
    <t xml:space="preserve">Campaña definida con inversión estimada</t>
  </si>
  <si>
    <t xml:space="preserve">Síntesis del efecto del interés compuesto en el tiempo. Encargo: traer el archivo de Excel para el taller del jueves.</t>
  </si>
  <si>
    <t xml:space="preserve">Aula virtual</t>
  </si>
  <si>
    <t xml:space="preserve">Sesión 11 — Interés compuesto bancario</t>
  </si>
  <si>
    <t xml:space="preserve">Instrumento de evaluación de la sesión: Lista de cotejo del ejercicio en Excel</t>
  </si>
  <si>
    <t xml:space="preserve">SESIÓN 12  ·  SEMANA 6  ·  Jueves 24/09/2026  ·  Actividad 2 (continuación)  —  Tema: Taller de interés compuesto en Excel   |   7.2. Frecuencia de capitalización y periodos (aplicación).   |   Instrumento de evaluación: Lista de cotejo del ejercicio en Excel</t>
  </si>
  <si>
    <t xml:space="preserve">24/09/2026</t>
  </si>
  <si>
    <t xml:space="preserve">Meta: comparar tres alternativas reales de ahorro y determinar cuál rinde más al cabo de dos años.</t>
  </si>
  <si>
    <t xml:space="preserve">Taller: comparación de alternativas de ahorro</t>
  </si>
  <si>
    <t xml:space="preserve">En parejas, se comparan tres depósitos con tasas y frecuencias de capitalización distintas, se calcula el monto final de cada uno y se recomienda el más conveniente con la diferencia en soles.</t>
  </si>
  <si>
    <t xml:space="preserve">Laboratorio con toma de decisión</t>
  </si>
  <si>
    <t xml:space="preserve">Comparación con recomendación sustentada</t>
  </si>
  <si>
    <t xml:space="preserve">Se contrastan los resultados y se identifica el error más frecuente: no convertir la tasa nominal a la tasa del periodo de capitalización.</t>
  </si>
  <si>
    <t xml:space="preserve">Socialización con detección de error</t>
  </si>
  <si>
    <t xml:space="preserve">Error frecuente registrado</t>
  </si>
  <si>
    <t xml:space="preserve">Puente al valor presente</t>
  </si>
  <si>
    <t xml:space="preserve">Se plantea la pregunta del lunes: si sé cuánto quiero tener en dos años, ¿cuánto debo depositar hoy?</t>
  </si>
  <si>
    <t xml:space="preserve">Sesión 12 — Taller de interés compuesto en Excel</t>
  </si>
  <si>
    <t xml:space="preserve">SESIÓN 13  ·  SEMANA 7  ·  Lunes 28/09/2026  ·  Actividad 2 (continuación)  —  Tema: Casos de interés compuesto: valor futuro y valor presente   |   8.1. Cálculo de valor futuro y valor presente.   8.2. Aplicación en cuentas de ahorro y créditos.   |   Instrumento de evaluación: Práctica calificada grupal con lista de cotejo</t>
  </si>
  <si>
    <t xml:space="preserve">28/09/2026</t>
  </si>
  <si>
    <t xml:space="preserve">Respuesta a la pregunta del jueves</t>
  </si>
  <si>
    <t xml:space="preserve">Se retoma la pregunta del valor presente y se enuncia la idea central del curso: un sol de hoy no vale lo mismo que un sol dentro de un año.</t>
  </si>
  <si>
    <t xml:space="preserve">Recuperación y encuadre</t>
  </si>
  <si>
    <t xml:space="preserve">Idea central anotada</t>
  </si>
  <si>
    <t xml:space="preserve">8.1. Valor futuro y valor presente</t>
  </si>
  <si>
    <t xml:space="preserve">Microexplicación de las dos fórmulas como operaciones inversas: capitalizar lleva del presente al futuro, descontar lleva del futuro al presente. Se muestra el mismo caso en las dos direcciones.</t>
  </si>
  <si>
    <t xml:space="preserve">Microclase con las dos direcciones</t>
  </si>
  <si>
    <t xml:space="preserve">Las dos fórmulas en el cuaderno</t>
  </si>
  <si>
    <t xml:space="preserve">Práctica 12: valor futuro y valor presente en Excel</t>
  </si>
  <si>
    <t xml:space="preserve">Diez ejercicios alternados de capitalización y descuento, resueltos en Excel con fórmulas y verificados a mano con calculadora en dos de ellos.</t>
  </si>
  <si>
    <t xml:space="preserve">Laboratorio guiado con verificación manual</t>
  </si>
  <si>
    <t xml:space="preserve">Laboratorio de cómputo con MS Excel, Calculadora</t>
  </si>
  <si>
    <t xml:space="preserve">Ficha de práctica 12 resuelta</t>
  </si>
  <si>
    <t xml:space="preserve">8.2. Aplicación en ahorro y créditos</t>
  </si>
  <si>
    <t xml:space="preserve">Microexplicación con dos casos comerciales: cuánto debo ahorrar mensualmente para reunir el capital de una campaña, y cuánto termino pagando por un crédito a doce meses.</t>
  </si>
  <si>
    <t xml:space="preserve">Microclase con casos comerciales</t>
  </si>
  <si>
    <t xml:space="preserve">Casos esquematizados</t>
  </si>
  <si>
    <t xml:space="preserve">Práctica calificada grupal</t>
  </si>
  <si>
    <t xml:space="preserve">Práctica calificada en equipos: cuatro casos de ahorro y crédito resueltos en Excel, con interpretación escrita de cada resultado en una línea.</t>
  </si>
  <si>
    <t xml:space="preserve">Evaluación práctica grupal</t>
  </si>
  <si>
    <t xml:space="preserve">Laboratorio de cómputo con MS Excel, enunciado impreso</t>
  </si>
  <si>
    <t xml:space="preserve">PRÁCTICA CALIFICADA GRUPAL</t>
  </si>
  <si>
    <t xml:space="preserve">Cierre de archivos y consultas.</t>
  </si>
  <si>
    <t xml:space="preserve">Proyecto integrador · Inversión de la campaña valorizada</t>
  </si>
  <si>
    <t xml:space="preserve">Cada equipo valoriza la inversión inicial de su campaña con cotizaciones o precios de referencia reales: piezas gráficas, pauta digital, material impreso, activaciones y personal de apoyo. Este monto es el periodo cero del flujo de caja.</t>
  </si>
  <si>
    <t xml:space="preserve">Laboratorio de cómputo con MS Excel, Ficha de práctica impresa</t>
  </si>
  <si>
    <t xml:space="preserve">Inversión de la campaña valorizada con evidencia</t>
  </si>
  <si>
    <t xml:space="preserve">Preparación de la Evaluación Permanente 1</t>
  </si>
  <si>
    <t xml:space="preserve">Se indica el temario de la evaluación del jueves: proporciones, porcentajes, descuentos, interés simple e interés compuesto. Se resuelven dudas de última hora.</t>
  </si>
  <si>
    <t xml:space="preserve">Sesión 13 — Casos de interés compuesto: valor futuro y valor presente</t>
  </si>
  <si>
    <t xml:space="preserve">Instrumento de evaluación de la sesión: Práctica calificada grupal con lista de cotejo</t>
  </si>
  <si>
    <t xml:space="preserve">SESIÓN 14  ·  SEMANA 7  ·  Jueves 01/10/2026  ·  Actividad 2 (evaluación)  —  Tema: Evaluación Permanente 1   |   Evaluación escrita de los temas 2 a 8: aritmética comercial, porcentajes, interés simple e interés compuesto.   |   Instrumento de evaluación: Prueba escrita de desarrollo (Evaluación Permanente 1 – 30 %)</t>
  </si>
  <si>
    <t xml:space="preserve">01/10/2026</t>
  </si>
  <si>
    <t xml:space="preserve">Indicaciones de la evaluación, distribución de las pruebas y verificación de calculadoras.</t>
  </si>
  <si>
    <t xml:space="preserve">EVALUACIÓN PERMANENTE 1</t>
  </si>
  <si>
    <t xml:space="preserve">Prueba escrita de desarrollo con cinco problemas: reparto proporcional, descuentos sucesivos, variación porcentual, interés simple con despeje e interés compuesto con comparación de frecuencias.</t>
  </si>
  <si>
    <t xml:space="preserve">EVALUACIÓN PERMANENTE 1 (30 %)</t>
  </si>
  <si>
    <t xml:space="preserve">Recojo y cierre</t>
  </si>
  <si>
    <t xml:space="preserve">Recojo de las evaluaciones, absolución de consultas y anuncio del tema del lunes: las tasas de interés que se usan en el mercado financiero peruano.</t>
  </si>
  <si>
    <t xml:space="preserve">Evaluaciones recogidas</t>
  </si>
  <si>
    <t xml:space="preserve">Sesión 14 — Evaluación Permanente 1</t>
  </si>
  <si>
    <t xml:space="preserve">Instrumento de evaluación de la sesión: Prueba escrita de desarrollo (Evaluación Permanente 1 – 30 %)</t>
  </si>
  <si>
    <t xml:space="preserve">SESIÓN 15  ·  SEMANA 8  ·  Lunes 05/10/2026  ·  Actividad 2 (cierre)  —  Tema: Tasas de interés financieras   |   9.1. Tasa Nominal Anual (TNA) frente a Tasa Efectiva Anual (TEA).   9.2. Conversión de tasa anual a tasa mensual equivalente.   |   Instrumento de evaluación: Ficha de observación y ejercicio de salida</t>
  </si>
  <si>
    <t xml:space="preserve">05/10/2026</t>
  </si>
  <si>
    <t xml:space="preserve">Se proyectan dos avisos de crédito: uno ofrece 18 % anual y otro 1,4 % mensual. Pregunta: ¿cuál es más barato? Se recogen las respuestas antes de calcular.</t>
  </si>
  <si>
    <t xml:space="preserve">Reto comparativo</t>
  </si>
  <si>
    <t xml:space="preserve">9.1. Tasa nominal frente a tasa efectiva</t>
  </si>
  <si>
    <t xml:space="preserve">Microexplicación: la tasa nominal no considera la capitalización y la efectiva sí. Se muestra que 18 % nominal con capitalización mensual equivale a más de 19 % efectivo, y por qué esa diferencia importa.</t>
  </si>
  <si>
    <t xml:space="preserve">Microclase con demostración numérica</t>
  </si>
  <si>
    <t xml:space="preserve">Diferencia entre TNA y TEA</t>
  </si>
  <si>
    <t xml:space="preserve">Práctica 13: cálculo de la tasa efectiva</t>
  </si>
  <si>
    <t xml:space="preserve">Ocho ejercicios de conversión de tasa nominal a efectiva con distintas frecuencias de capitalización, resueltos en Excel y comparados entre sí.</t>
  </si>
  <si>
    <t xml:space="preserve">Laboratorio guiado</t>
  </si>
  <si>
    <t xml:space="preserve">Ficha de práctica 13 resuelta</t>
  </si>
  <si>
    <t xml:space="preserve">9.2. Conversión de tasa anual a mensual equivalente</t>
  </si>
  <si>
    <t xml:space="preserve">Microexplicación de la fórmula de la tasa equivalente y del error de dividir la tasa anual entre doce, con la diferencia cuantificada en un caso de crédito.</t>
  </si>
  <si>
    <t xml:space="preserve">Fórmula de la tasa equivalente</t>
  </si>
  <si>
    <t xml:space="preserve">Práctica 14: comparación de créditos reales</t>
  </si>
  <si>
    <t xml:space="preserve">Cada pareja compara tres ofertas de crédito con tasas expresadas de distinta forma, las lleva todas a tasa efectiva anual y recomienda la más barata con la diferencia en soles.</t>
  </si>
  <si>
    <t xml:space="preserve">Comparación de créditos con recomendación</t>
  </si>
  <si>
    <t xml:space="preserve">Proyecto integrador · Tasa de descuento del proyecto</t>
  </si>
  <si>
    <t xml:space="preserve">Cada equipo define y justifica la tasa mensual que usará para descontar los flujos de su campaña, tomándola de una alternativa real de financiamiento o de rentabilidad del mercado. Este dato es indispensable para calcular el valor actual neto más adelante.</t>
  </si>
  <si>
    <t xml:space="preserve">Tasa de descuento definida y justificada</t>
  </si>
  <si>
    <t xml:space="preserve">Retroalimentación de la Evaluación Permanente 1</t>
  </si>
  <si>
    <t xml:space="preserve">Devolución de la evaluación con las tres observaciones más frecuentes del aula y contraste con la respuesta del reto de apertura.</t>
  </si>
  <si>
    <t xml:space="preserve">Retroalimentación grupal</t>
  </si>
  <si>
    <t xml:space="preserve">Pruebas calificadas</t>
  </si>
  <si>
    <t xml:space="preserve">Observaciones registradas</t>
  </si>
  <si>
    <t xml:space="preserve">Sesión 15 — Tasas de interés financieras</t>
  </si>
  <si>
    <t xml:space="preserve">SESIÓN 16  ·  SEMANA 8  ·  Jueves 08/10/2026  ·  Actividad 2 (cierre)  —  Tema: Diagramas de flujo de efectivo   |   10.1. Línea de tiempo y flujos mensuales.   10.2. Registro de egresos e ingresos de dinero.   |   Instrumento de evaluación: Ficha de observación y revisión del cuaderno</t>
  </si>
  <si>
    <t xml:space="preserve">08/10/2026</t>
  </si>
  <si>
    <t xml:space="preserve">Encuadre</t>
  </si>
  <si>
    <t xml:space="preserve">Se explica para qué sirve el diagrama: ordenar en el tiempo el dinero que entra y el que sale, que es exactamente lo que el proyecto pedirá para la campaña.</t>
  </si>
  <si>
    <t xml:space="preserve">Encuadre con propósito</t>
  </si>
  <si>
    <t xml:space="preserve">Propósito anotado</t>
  </si>
  <si>
    <t xml:space="preserve">10.1 y 10.2. Construcción de la línea de tiempo</t>
  </si>
  <si>
    <t xml:space="preserve">Microexplicación de la convención: flechas hacia arriba para ingresos, hacia abajo para egresos, periodo cero para la inversión inicial. Se construye un ejemplo completo en pizarra.</t>
  </si>
  <si>
    <t xml:space="preserve">Microclase con construcción modelada</t>
  </si>
  <si>
    <t xml:space="preserve">Convención y ejemplo copiados</t>
  </si>
  <si>
    <t xml:space="preserve">Práctica 15: diagramas de flujo de tres casos</t>
  </si>
  <si>
    <t xml:space="preserve">Cada estudiante construye el diagrama de flujo de tres situaciones comerciales: una inversión con retornos mensuales, un crédito con cuotas y una campaña con inversión inicial e ingresos crecientes.</t>
  </si>
  <si>
    <t xml:space="preserve">Tres diagramas de flujo construidos</t>
  </si>
  <si>
    <t xml:space="preserve">Cierre y encargo</t>
  </si>
  <si>
    <t xml:space="preserve">Se corrige un diagrama en pizarra. Encargo: cada equipo bosqueja el diagrama de flujo de su propia campaña para el lunes.</t>
  </si>
  <si>
    <t xml:space="preserve">Sesión 16 — Diagramas de flujo de efectivo</t>
  </si>
  <si>
    <t xml:space="preserve">Instrumento de evaluación de la sesión: Ficha de observación y revisión del cuaderno</t>
  </si>
  <si>
    <t xml:space="preserve">SESIÓN 17  ·  SEMANA 9  ·  Lunes 12/10/2026  ·  Actividad 2 (cierre)  —  Tema: Renegociación de deudas y ecuaciones de valor   |   11.1. Concepto de fecha focal en comercio.   11.2. Refinanciamiento de deudas comerciales.   |   Instrumento de evaluación: Rúbrica de resolución de casos (ecuaciones de valor)</t>
  </si>
  <si>
    <t xml:space="preserve">12/10/2026</t>
  </si>
  <si>
    <t xml:space="preserve">Caso detonante</t>
  </si>
  <si>
    <t xml:space="preserve">Una empresa debe S/ 8 000 en 60 días y S/ 12 000 en 150 días, y quiere pagar todo en un solo pago a los 90 días. Pregunta: ¿cuánto debe pagar? Se recoge la intuición.</t>
  </si>
  <si>
    <t xml:space="preserve">11.1. Fecha focal y ecuación de valor</t>
  </si>
  <si>
    <t xml:space="preserve">Microexplicación: para comparar montos ubicados en fechas distintas hay que llevarlos todos a una misma fecha, la fecha focal. Se plantea la ecuación de valor del caso del inicio.</t>
  </si>
  <si>
    <t xml:space="preserve">Microclase con planteamiento del caso</t>
  </si>
  <si>
    <t xml:space="preserve">Método de la fecha focal</t>
  </si>
  <si>
    <t xml:space="preserve">Práctica 16: ecuaciones de valor</t>
  </si>
  <si>
    <t xml:space="preserve">Seis casos de sustitución de deudas con distintas fechas focales, resueltos con diagrama de flujo previo obligatorio antes de plantear la ecuación.</t>
  </si>
  <si>
    <t xml:space="preserve">Práctica dirigida con diagrama previo</t>
  </si>
  <si>
    <t xml:space="preserve">Ficha de práctica 16 resuelta</t>
  </si>
  <si>
    <t xml:space="preserve">11.2. Refinanciamiento comercial</t>
  </si>
  <si>
    <t xml:space="preserve">Microexplicación aplicada: qué evalúa una empresa antes de refinanciar y por qué un refinanciamiento mal calculado encarece la deuda en lugar de aliviarla.</t>
  </si>
  <si>
    <t xml:space="preserve">Microclase con criterio de decisión</t>
  </si>
  <si>
    <t xml:space="preserve">Criterio de decisión anotado</t>
  </si>
  <si>
    <t xml:space="preserve">Práctica 17: caso integrado de refinanciamiento</t>
  </si>
  <si>
    <t xml:space="preserve">En parejas, un caso completo de una distribuidora que refinancia tres deudas, con cálculo del monto único equivalente y evaluación de si le conviene.</t>
  </si>
  <si>
    <t xml:space="preserve">Práctica con decisión sustentada</t>
  </si>
  <si>
    <t xml:space="preserve">Caso resuelto con decisión</t>
  </si>
  <si>
    <t xml:space="preserve">Proyecto integrador · Diagrama de flujo de la campaña</t>
  </si>
  <si>
    <t xml:space="preserve">Cada equipo construye el diagrama de flujo completo de su campaña: inversión inicial en el periodo cero y los egresos e ingresos esperados mes a mes durante el horizonte que definió.</t>
  </si>
  <si>
    <t xml:space="preserve">Ficha de práctica impresa, Laboratorio de cómputo con MS Excel</t>
  </si>
  <si>
    <t xml:space="preserve">Diagrama de flujo de la campaña construido</t>
  </si>
  <si>
    <t xml:space="preserve">Síntesis del bloque financiero</t>
  </si>
  <si>
    <t xml:space="preserve">Se cierra el bloque de matemática financiera con un esquema de las herramientas vistas y de dónde se usará cada una en el proyecto. Anuncio: el lunes siguiente se entra a los estados financieros.</t>
  </si>
  <si>
    <t xml:space="preserve">Síntesis del bloque</t>
  </si>
  <si>
    <t xml:space="preserve">Esquema del bloque financiero</t>
  </si>
  <si>
    <t xml:space="preserve">Sesión 17 — Renegociación de deudas y ecuaciones de valor</t>
  </si>
  <si>
    <t xml:space="preserve">Instrumento de evaluación de la sesión: Rúbrica de resolución de casos (ecuaciones de valor)</t>
  </si>
  <si>
    <t xml:space="preserve">SESIÓN 18  ·  SEMANA 9  ·  Jueves 15/10/2026  ·  Actividad 2 (cierre)  —  Tema: Taller de ecuaciones de valor aplicadas   |   11.2. Refinanciamiento de deudas comerciales (aplicación).   |   Instrumento de evaluación: Rúbrica de resolución de casos</t>
  </si>
  <si>
    <t xml:space="preserve">15/10/2026</t>
  </si>
  <si>
    <t xml:space="preserve">Meta: resolver un caso completo de renegociación y sustentar la decisión ante el aula.</t>
  </si>
  <si>
    <t xml:space="preserve">Taller: renegociación de una deuda comercial</t>
  </si>
  <si>
    <t xml:space="preserve">En equipos, un caso con tres deudas pendientes y dos propuestas de refinanciamiento del proveedor. Se calcula el equivalente de cada propuesta y se recomienda una, con la diferencia en soles.</t>
  </si>
  <si>
    <t xml:space="preserve">Taller cooperativo con decisión</t>
  </si>
  <si>
    <t xml:space="preserve">Caso resuelto con recomendación</t>
  </si>
  <si>
    <t xml:space="preserve">Dos equipos exponen su recomendación y el aula verifica el cálculo de la fecha focal elegida.</t>
  </si>
  <si>
    <t xml:space="preserve">Verificación conjunta</t>
  </si>
  <si>
    <t xml:space="preserve">Puente a los estados financieros</t>
  </si>
  <si>
    <t xml:space="preserve">Se anuncia el bloque siguiente: leer los números de una empresa completa, no solo de una operación.</t>
  </si>
  <si>
    <t xml:space="preserve">Puente al siguiente bloque</t>
  </si>
  <si>
    <t xml:space="preserve">Anuncio registrado</t>
  </si>
  <si>
    <t xml:space="preserve">Sesión 18 — Taller de ecuaciones de valor aplicadas</t>
  </si>
  <si>
    <t xml:space="preserve">Instrumento de evaluación de la sesión: Rúbrica de resolución de casos</t>
  </si>
  <si>
    <t xml:space="preserve">SESIÓN 19  ·  SEMANA 10  ·  Lunes 19/10/2026  ·  Actividad 3: Estados financieros de la empresa  —  Tema: Estados financieros básicos y balance general   |   13.1. Estructura de activos, pasivos y patrimonio.   13.2. El Balance General en negocios sencillos.   |   Instrumento de evaluación: Lista de cotejo del taller de balance general</t>
  </si>
  <si>
    <t xml:space="preserve">19/10/2026</t>
  </si>
  <si>
    <t xml:space="preserve">Se listan diez elementos de un negocio de comida (horno, deuda con proveedor, dinero en caja, préstamo bancario, mercadería) y se pide clasificarlos en tres columnas sin decir cuáles son.</t>
  </si>
  <si>
    <t xml:space="preserve">Reto de clasificación</t>
  </si>
  <si>
    <t xml:space="preserve">Clasificación inicial</t>
  </si>
  <si>
    <t xml:space="preserve">13.1. Activo, pasivo y patrimonio</t>
  </si>
  <si>
    <t xml:space="preserve">Microexplicación de los tres grupos y de la ecuación contable fundamental. Se corrige la clasificación del inicio y se comprueba que la ecuación cierre.</t>
  </si>
  <si>
    <t xml:space="preserve">Microclase con corrección del ejercicio</t>
  </si>
  <si>
    <t xml:space="preserve">Ecuación contable en el cuaderno</t>
  </si>
  <si>
    <t xml:space="preserve">Práctica 18: armado de un balance general</t>
  </si>
  <si>
    <t xml:space="preserve">Con veinte cuentas desordenadas de un negocio arequipeño, cada estudiante arma el balance general en Excel y verifica que el activo iguale a la suma de pasivo y patrimonio.</t>
  </si>
  <si>
    <t xml:space="preserve">Laboratorio guiado con verificación</t>
  </si>
  <si>
    <t xml:space="preserve">Balance general armado y cuadrado</t>
  </si>
  <si>
    <t xml:space="preserve">13.2. Lectura del balance de un negocio pequeño</t>
  </si>
  <si>
    <t xml:space="preserve">Microexplicación de tres lecturas básicas: cuánto del negocio es propio y cuánto es deuda, cuánto está inmovilizado y cuánta liquidez hay.</t>
  </si>
  <si>
    <t xml:space="preserve">Microclase con lectura interpretativa</t>
  </si>
  <si>
    <t xml:space="preserve">Tres lecturas del balance</t>
  </si>
  <si>
    <t xml:space="preserve">Práctica 19: interpretación del balance</t>
  </si>
  <si>
    <t xml:space="preserve">En parejas, se comparan dos balances de negocios del mismo rubro y se determina cuál está en mejor situación, sustentando con tres cifras concretas.</t>
  </si>
  <si>
    <t xml:space="preserve">Práctica con comparación e interpretación</t>
  </si>
  <si>
    <t xml:space="preserve">Comparación de balances con conclusión</t>
  </si>
  <si>
    <t xml:space="preserve">Proyecto integrador · Recojo de datos económicos de la marca</t>
  </si>
  <si>
    <t xml:space="preserve">Cada equipo organiza la información económica que consiguió de la empresa de su producto: ventas mensuales aproximadas, costo del producto, gastos operativos y cualquier dato financiero disponible. Se identifica lo que falta y quién lo consigue.</t>
  </si>
  <si>
    <t xml:space="preserve">Datos económicos de la marca organizados</t>
  </si>
  <si>
    <t xml:space="preserve">Síntesis de la ecuación contable y anuncio: el jueves se ve el estado de resultados, que es el punto 2.5.2 del informe del proyecto. Encargo: completar los datos de ventas y costos faltantes.</t>
  </si>
  <si>
    <t xml:space="preserve">Sesión 19 — Estados financieros básicos y balance general</t>
  </si>
  <si>
    <t xml:space="preserve">Instrumento de evaluación de la sesión: Lista de cotejo del taller de balance general</t>
  </si>
  <si>
    <t xml:space="preserve">SESIÓN 20  ·  SEMANA 10  ·  Jueves 22/10/2026  ·  Actividad 3 (continuación)  —  Tema: Estructura del estado de resultados comercial   |   14.1. Ventas, costos y gastos operativos.   |   Instrumento de evaluación: Ficha de observación y revisión del archivo de Excel</t>
  </si>
  <si>
    <t xml:space="preserve">22/10/2026</t>
  </si>
  <si>
    <t xml:space="preserve">Se contrasta con lo visto el lunes: el balance es una foto del momento y el estado de resultados es la película de un periodo.</t>
  </si>
  <si>
    <t xml:space="preserve">Contraste conceptual</t>
  </si>
  <si>
    <t xml:space="preserve">Distinción anotada</t>
  </si>
  <si>
    <t xml:space="preserve">14.1. Estructura del estado de resultados</t>
  </si>
  <si>
    <t xml:space="preserve">Microexplicación de la cascada: ventas, menos costo de ventas, igual utilidad bruta; menos gastos operativos, igual utilidad operativa; menos impuestos, igual utilidad neta.</t>
  </si>
  <si>
    <t xml:space="preserve">Microclase con la cascada en pizarra</t>
  </si>
  <si>
    <t xml:space="preserve">Cascada copiada en el cuaderno</t>
  </si>
  <si>
    <t xml:space="preserve">Práctica 20: armado del estado de resultados</t>
  </si>
  <si>
    <t xml:space="preserve">Con quince cuentas desordenadas de un negocio, cada estudiante arma el estado de resultados en Excel con fórmulas y obtiene las tres utilidades.</t>
  </si>
  <si>
    <t xml:space="preserve">Estado de resultados armado con fórmulas</t>
  </si>
  <si>
    <t xml:space="preserve">Se corrige el ejercicio en proyector. Encargo: cada equipo estima las ventas y los costos anuales de su marca para armar su estado de resultados el lunes.</t>
  </si>
  <si>
    <t xml:space="preserve">Corrección y encargo</t>
  </si>
  <si>
    <t xml:space="preserve">Sesión 20 — Estructura del estado de resultados comercial</t>
  </si>
  <si>
    <t xml:space="preserve">Instrumento de evaluación de la sesión: Ficha de observación y revisión del archivo de Excel</t>
  </si>
  <si>
    <t xml:space="preserve">SESIÓN 21  ·  SEMANA 11  ·  Lunes 26/10/2026  ·  Actividad 3 (continuación)  —  Tema: Estado de resultados de la marca del proyecto   |   14.2. Estructura de ganancias y pérdidas de una marca.   |   Instrumento de evaluación: Ficha de observación y revisión del archivo de Excel</t>
  </si>
  <si>
    <t xml:space="preserve">26/10/2026</t>
  </si>
  <si>
    <t xml:space="preserve">Encuadre con meta</t>
  </si>
  <si>
    <t xml:space="preserve">Meta de la sesión: cada equipo sale con el estado de resultados de su marca armado, que es el punto 2.5.2 del informe.</t>
  </si>
  <si>
    <t xml:space="preserve">14.2. De los datos dispersos al estado de resultados</t>
  </si>
  <si>
    <t xml:space="preserve">Microexplicación de cómo se estima un estado de resultados cuando la empresa no lleva contabilidad formal: partir del precio y el volumen para las ventas, del costo unitario para el costo de ventas, y listar los gastos fijos mensuales.</t>
  </si>
  <si>
    <t xml:space="preserve">Microclase con método de estimación</t>
  </si>
  <si>
    <t xml:space="preserve">Método de estimación en el cuaderno</t>
  </si>
  <si>
    <t xml:space="preserve">Práctica 21: estado de resultados de un negocio informal</t>
  </si>
  <si>
    <t xml:space="preserve">Con los datos de una panadería que no lleva contabilidad, cada estudiante estima el estado de resultados anual y calcula qué porcentaje de las ventas representa cada línea.</t>
  </si>
  <si>
    <t xml:space="preserve">Laboratorio guiado con análisis vertical</t>
  </si>
  <si>
    <t xml:space="preserve">Estado de resultados estimado con porcentajes</t>
  </si>
  <si>
    <t xml:space="preserve">Análisis vertical del estado de resultados</t>
  </si>
  <si>
    <t xml:space="preserve">Microexplicación: expresar cada línea como porcentaje de las ventas permite comparar empresas de tamaños distintos y detectar dónde se va el dinero.</t>
  </si>
  <si>
    <t xml:space="preserve">Microclase con lectura porcentual</t>
  </si>
  <si>
    <t xml:space="preserve">Criterio del análisis vertical</t>
  </si>
  <si>
    <t xml:space="preserve">11:40</t>
  </si>
  <si>
    <t xml:space="preserve">Consultas antes del taller del proyecto.</t>
  </si>
  <si>
    <t xml:space="preserve">Proyecto integrador · Punto 2.5.2 del informe</t>
  </si>
  <si>
    <t xml:space="preserve">Cada equipo construye en Excel el estado de resultados anual estimado de la marca de su producto, con fórmulas activas y con el análisis vertical incluido. Se declara por escrito qué dato es real y cuál es estimado, y con qué criterio se estimó.</t>
  </si>
  <si>
    <t xml:space="preserve">Taller extendido con asesoría y entrega</t>
  </si>
  <si>
    <t xml:space="preserve">AVANCE 1 ENTREGADO: estado de resultados de la marca (punto 2.5.2)</t>
  </si>
  <si>
    <t xml:space="preserve">Revisión cruzada</t>
  </si>
  <si>
    <t xml:space="preserve">Los equipos intercambian su estado de resultados y verifican dos cosas: que la cascada esté completa y que los porcentajes del análisis vertical sumen correctamente.</t>
  </si>
  <si>
    <t xml:space="preserve">Evaluación entre pares</t>
  </si>
  <si>
    <t xml:space="preserve">Lista de cotejo</t>
  </si>
  <si>
    <t xml:space="preserve">Estado de resultados observado por el equipo par</t>
  </si>
  <si>
    <t xml:space="preserve">Sesión 21 — Estado de resultados de la marca del proyecto</t>
  </si>
  <si>
    <t xml:space="preserve">SESIÓN 22  ·  SEMANA 11  ·  Jueves 29/10/2026  ·  Actividad 3 (cierre)  —  Tema: Costos y gastos comerciales; presupuesto publicitario   |   15.1. El costo y su impacto en la rentabilidad de campañas.   15.2. El presupuesto publicitario de marca.   |   Instrumento de evaluación: Rúbrica de estudio de casos</t>
  </si>
  <si>
    <t xml:space="preserve">29/10/2026</t>
  </si>
  <si>
    <t xml:space="preserve">Una campaña costó S/ 9 000 y generó S/ 30 000 de ventas adicionales. Pregunta: ¿fue rentable? Se recoge la respuesta antes de aclarar que falta un dato.</t>
  </si>
  <si>
    <t xml:space="preserve">Reto con dato faltante</t>
  </si>
  <si>
    <t xml:space="preserve">15.1 y 15.2. El costo dentro de la rentabilidad de una campaña</t>
  </si>
  <si>
    <t xml:space="preserve">Microexplicación: la campaña no se evalúa contra las ventas sino contra el margen que esas ventas dejan. Se resuelve el reto del inicio incorporando el costo del producto vendido.</t>
  </si>
  <si>
    <t xml:space="preserve">Criterio de evaluación de campañas</t>
  </si>
  <si>
    <t xml:space="preserve">Estudio de casos: tres campañas de marcas locales</t>
  </si>
  <si>
    <t xml:space="preserve">En equipos, se evalúan tres campañas con inversión y ventas adicionales distintas, calculando en cada caso el margen generado y determinando cuál fue realmente rentable.</t>
  </si>
  <si>
    <t xml:space="preserve">Estudio de casos en equipo</t>
  </si>
  <si>
    <t xml:space="preserve">Tres campañas evaluadas con conclusión</t>
  </si>
  <si>
    <t xml:space="preserve">Se sistematiza el criterio y se anuncia el lunes: cómo se calculan exactamente esos márgenes, que es el punto 2.5.3 del informe.</t>
  </si>
  <si>
    <t xml:space="preserve">Criterio registrado</t>
  </si>
  <si>
    <t xml:space="preserve">Sesión 22 — Costos y gastos comerciales; presupuesto publicitario</t>
  </si>
  <si>
    <t xml:space="preserve">Instrumento de evaluación de la sesión: Rúbrica de estudio de casos</t>
  </si>
  <si>
    <t xml:space="preserve">SESIÓN 23  ·  SEMANA 12  ·  Lunes 02/11/2026  ·  Actividad 4: Márgenes de utilidad y ROI  —  Tema: Clasificación de costos y utilidades de la marca   |   16.1. Costos fijos de campaña.   16.2. Costos variables de producción y ventas.   17.1. Utilidad bruta, operativa y neta.   |   Instrumento de evaluación: Lista de cotejo del cuadro comparativo y ficha de observación</t>
  </si>
  <si>
    <t xml:space="preserve">02/11/2026</t>
  </si>
  <si>
    <t xml:space="preserve">Se pregunta: si este mes la tienda no vende nada, ¿qué gastos igual tiene que pagar? Se listan en pizarra las respuestas del aula.</t>
  </si>
  <si>
    <t xml:space="preserve">Pregunta detonante</t>
  </si>
  <si>
    <t xml:space="preserve">Lista de gastos en pizarra</t>
  </si>
  <si>
    <t xml:space="preserve">16.1 y 16.2. Costos fijos y variables</t>
  </si>
  <si>
    <t xml:space="preserve">Microexplicación con el criterio de comportamiento frente al volumen. Se clasifican las respuestas del inicio y se advierte que fijo no significa invariable sino independiente de las ventas.</t>
  </si>
  <si>
    <t xml:space="preserve">Microclase con clasificación del ejercicio</t>
  </si>
  <si>
    <t xml:space="preserve">Criterio de clasificación en el cuaderno</t>
  </si>
  <si>
    <t xml:space="preserve">Práctica 22: clasificación de costos de una campaña</t>
  </si>
  <si>
    <t xml:space="preserve">Cada estudiante clasifica veinte desembolsos de una campaña publicitaria en fijos y variables, y construye la tabla de costo total a tres niveles de venta.</t>
  </si>
  <si>
    <t xml:space="preserve">Práctica dirigida con tabla de comportamiento</t>
  </si>
  <si>
    <t xml:space="preserve">Cuadro comparativo de costos fijos y variables</t>
  </si>
  <si>
    <t xml:space="preserve">17.1. Utilidad bruta, operativa y neta</t>
  </si>
  <si>
    <t xml:space="preserve">Microexplicación de las tres utilidades sobre el estado de resultados ya conocido, precisando qué se resta en cada nivel y qué mide cada una.</t>
  </si>
  <si>
    <t xml:space="preserve">Microclase sobre la cascada conocida</t>
  </si>
  <si>
    <t xml:space="preserve">Las tres utilidades identificadas</t>
  </si>
  <si>
    <t xml:space="preserve">Práctica 23: cálculo de las tres utilidades</t>
  </si>
  <si>
    <t xml:space="preserve">Con dos estados de resultados de negocios distintos, cada estudiante calcula las tres utilidades y determina en cuál de los dos negocios se pierde más dinero en gastos operativos.</t>
  </si>
  <si>
    <t xml:space="preserve">Práctica dirigida con comparación</t>
  </si>
  <si>
    <t xml:space="preserve">Las tres utilidades calculadas y comparadas</t>
  </si>
  <si>
    <t xml:space="preserve">Proyecto integrador · Clasificación de costos de la marca</t>
  </si>
  <si>
    <t xml:space="preserve">Cada equipo clasifica los costos de su marca en fijos y variables sobre el estado de resultados que ya construyó, y calcula sus tres utilidades. Este es el insumo directo del punto 2.5.3.</t>
  </si>
  <si>
    <t xml:space="preserve">Costos clasificados y tres utilidades calculadas</t>
  </si>
  <si>
    <t xml:space="preserve">Síntesis de la diferencia entre las tres utilidades y anuncio del jueves: convertir esas utilidades en márgenes porcentuales, que es lo que el informe pide.</t>
  </si>
  <si>
    <t xml:space="preserve">Registro del avance</t>
  </si>
  <si>
    <t xml:space="preserve">Sesión 23 — Clasificación de costos y utilidades de la marca</t>
  </si>
  <si>
    <t xml:space="preserve">Instrumento de evaluación de la sesión: Lista de cotejo del cuadro comparativo y ficha de observación</t>
  </si>
  <si>
    <t xml:space="preserve">SESIÓN 24  ·  SEMANA 12  ·  Jueves 05/11/2026  ·  Actividad 4 (continuación)  —  Tema: Cálculo de márgenes de utilidad   |   17.2. Cálculo de márgenes de utilidad.   |   Instrumento de evaluación: Práctica calificada individual y ficha de observación</t>
  </si>
  <si>
    <t xml:space="preserve">05/11/2026</t>
  </si>
  <si>
    <t xml:space="preserve">Meta: convertir las tres utilidades en tres márgenes porcentuales y saber leer qué dice cada uno.</t>
  </si>
  <si>
    <t xml:space="preserve">17.2. Los tres márgenes porcentuales</t>
  </si>
  <si>
    <t xml:space="preserve">Microexplicación: cada margen es la utilidad correspondiente dividida entre las ventas. Se interpretan los tres con un caso: buen margen bruto y mal margen operativo significa que el problema está en los gastos, no en el producto.</t>
  </si>
  <si>
    <t xml:space="preserve">Las tres fórmulas con su lectura</t>
  </si>
  <si>
    <t xml:space="preserve">PRÁCTICA CALIFICADA 2</t>
  </si>
  <si>
    <t xml:space="preserve">Práctica individual calificada: a partir de un estado de resultados dado, calcular los tres márgenes, interpretarlos en una línea cada uno y señalar dónde está el problema del negocio.</t>
  </si>
  <si>
    <t xml:space="preserve">Evaluación práctica individual</t>
  </si>
  <si>
    <t xml:space="preserve">Encargo: cada equipo calcula los tres márgenes de su marca antes del lunes, con la interpretación escrita de cada uno.</t>
  </si>
  <si>
    <t xml:space="preserve">Sesión 24 — Cálculo de márgenes de utilidad</t>
  </si>
  <si>
    <t xml:space="preserve">SESIÓN 25  ·  SEMANA 13  ·  Lunes 09/11/2026  ·  Actividad 4 (continuación)  —  Tema: Métodos de fijación de margen y proyección de ventas de la campaña   |   18.1. Utilidad sobre el costo (recargo).   18.2. Utilidad sobre el precio de venta.   24.1. Proyecciones bajo crecimiento lineal constante.   |   Instrumento de evaluación: Ejercicio de salida con lista de cotejo y rúbrica del avance del proyecto</t>
  </si>
  <si>
    <t xml:space="preserve">09/11/2026</t>
  </si>
  <si>
    <t xml:space="preserve">Un producto cuesta S/ 30 y se quiere ganar 40 %. Un estudiante dice S/ 42 y otro dice S/ 50. Pregunta: ¿quién tiene razón? Los dos, y hay que saber por qué.</t>
  </si>
  <si>
    <t xml:space="preserve">Conflicto cognitivo numérico</t>
  </si>
  <si>
    <t xml:space="preserve">18.1 y 18.2. Margen sobre costo y margen sobre precio</t>
  </si>
  <si>
    <t xml:space="preserve">Microexplicación de las dos fórmulas y de cuándo se usa cada una en el comercio. Se resuelve el conflicto y se muestra la tabla de equivalencias entre ambos.</t>
  </si>
  <si>
    <t xml:space="preserve">Las dos fórmulas y su equivalencia</t>
  </si>
  <si>
    <t xml:space="preserve">Práctica 24: fijación de precios por ambos métodos</t>
  </si>
  <si>
    <t xml:space="preserve">Diez ejercicios en los que se fija el precio por recargo sobre costo y por margen sobre precio, y se calcula la diferencia entre ambos resultados sobre el mismo producto.</t>
  </si>
  <si>
    <t xml:space="preserve">Ficha de práctica 24 resuelta</t>
  </si>
  <si>
    <t xml:space="preserve">24.1. Proyección de ventas con crecimiento lineal</t>
  </si>
  <si>
    <t xml:space="preserve">Microexplicación del método: a partir de una venta base y una tasa de crecimiento mensual, se proyectan los meses siguientes. Se advierte que la tasa debe justificarse y no inventarse.</t>
  </si>
  <si>
    <t xml:space="preserve">Microclase con exigencia de sustento</t>
  </si>
  <si>
    <t xml:space="preserve">Método de proyección lineal</t>
  </si>
  <si>
    <t xml:space="preserve">Práctica 25: proyección de ventas en Excel</t>
  </si>
  <si>
    <t xml:space="preserve">Cada estudiante proyecta doce meses de ventas de una marca con dos escenarios de crecimiento distintos y grafica ambas series para compararlas.</t>
  </si>
  <si>
    <t xml:space="preserve">Laboratorio guiado con gráfico</t>
  </si>
  <si>
    <t xml:space="preserve">Proyección a doce meses con gráfico</t>
  </si>
  <si>
    <t xml:space="preserve">Proyecto integrador · Puntos 2.5.3 y 3.2.1 del informe</t>
  </si>
  <si>
    <t xml:space="preserve">Cada equipo cierra el cálculo de los tres márgenes de su marca con su interpretación escrita y construye la proyección de las ventas adicionales que espera lograr con su campaña, justificando por escrito la tasa asumida.</t>
  </si>
  <si>
    <t xml:space="preserve">2.5.3 y 3.2.1</t>
  </si>
  <si>
    <t xml:space="preserve">Taller con asesoría y entrega</t>
  </si>
  <si>
    <t xml:space="preserve">AVANCE 2 ENTREGADO: márgenes (2.5.3) y proyección de ventas de la campaña (3.2.1)</t>
  </si>
  <si>
    <t xml:space="preserve">Auditoría de supuestos</t>
  </si>
  <si>
    <t xml:space="preserve">Los equipos intercambian proyecciones y cuestionan un solo punto: ¿de dónde sale la tasa de crecimiento asumida? Una proyección sin sustento se devuelve para corrección.</t>
  </si>
  <si>
    <t xml:space="preserve">Evaluación entre pares con foco en supuestos</t>
  </si>
  <si>
    <t xml:space="preserve">Proyección observada por el equipo par</t>
  </si>
  <si>
    <t xml:space="preserve">Sesión 25 — Métodos de fijación de margen y proyección de ventas de la campaña</t>
  </si>
  <si>
    <t xml:space="preserve">Instrumento de evaluación de la sesión: Ejercicio de salida con lista de cotejo y rúbrica del avance del proyecto</t>
  </si>
  <si>
    <t xml:space="preserve">SESIÓN 26  ·  SEMANA 13  ·  Jueves 12/11/2026  ·  Actividad 5: Proyección de ventas  —  Tema: Estacionalidad y flujo de caja neto de la campaña   |   24.2. Proyecciones considerando la estacionalidad de la demanda.   25.1. Ingresos incrementales frente a egresos de la campaña.   |   Instrumento de evaluación: Rúbrica de construcción del flujo de caja</t>
  </si>
  <si>
    <t xml:space="preserve">12/11/2026</t>
  </si>
  <si>
    <t xml:space="preserve">Se muestra la serie anual de ventas de una marca de chocolates: julio y diciembre disparados. Pregunta: ¿sirve proyectar con crecimiento constante en un negocio así?</t>
  </si>
  <si>
    <t xml:space="preserve">Respuesta oral</t>
  </si>
  <si>
    <t xml:space="preserve">24.2 y 25.1. Estacionalidad y flujo de caja neto</t>
  </si>
  <si>
    <t xml:space="preserve">Microexplicación de dos cosas encadenadas: cómo se corrige una proyección con un índice de estacionalidad, y cómo se arma el flujo de caja neto de una campaña restando los egresos a los ingresos incrementales de cada mes.</t>
  </si>
  <si>
    <t xml:space="preserve">3.2.1 y 3.2.2</t>
  </si>
  <si>
    <t xml:space="preserve">Microclase encadenada</t>
  </si>
  <si>
    <t xml:space="preserve">Índice de estacionalidad y estructura del flujo</t>
  </si>
  <si>
    <t xml:space="preserve">Práctica 26: flujo de caja neto de una campaña</t>
  </si>
  <si>
    <t xml:space="preserve">Cada estudiante construye en Excel el flujo de caja neto de una campaña de seis meses, con inversión en el periodo cero, ingresos incrementales estacionalizados y egresos mensuales.</t>
  </si>
  <si>
    <t xml:space="preserve">Flujo de caja neto construido</t>
  </si>
  <si>
    <t xml:space="preserve">Encargo: cada equipo arma el flujo de caja neto de su propia campaña antes del lunes, porque el lunes se evalúa con VAN, TIR y periodo de recuperación.</t>
  </si>
  <si>
    <t xml:space="preserve">Sesión 26 — Estacionalidad y flujo de caja neto de la campaña</t>
  </si>
  <si>
    <t xml:space="preserve">Instrumento de evaluación de la sesión: Rúbrica de construcción del flujo de caja</t>
  </si>
  <si>
    <t xml:space="preserve">SESIÓN 27  ·  SEMANA 14  ·  Lunes 16/11/2026  ·  Actividad 6: Evaluación de proyectos  —  Tema: Criterios de evaluación de inversiones y cierre del componente   |   26.1. Valor Actual Neto (VAN).   26.2. Tasa Interna de Retorno (TIR).   26.3. Periodo de recuperación (payback).   27.1. Cálculo del ROI comercial de la campaña.   28.1. Ratio costo-beneficio.   |   Instrumento de evaluación: Práctica calificada en MS Excel con rúbrica de interpretación</t>
  </si>
  <si>
    <t xml:space="preserve">16/11/2026</t>
  </si>
  <si>
    <t xml:space="preserve">Encuadre del cierre</t>
  </si>
  <si>
    <t xml:space="preserve">Meta de la sesión: al terminar, el componente de Matemática Aplicada del informe queda completo, del punto 2.5 al 3.2.3, con el archivo de cálculos del Anexo A.2.</t>
  </si>
  <si>
    <t xml:space="preserve">26.1 y 26.2. Valor actual neto y tasa interna de retorno</t>
  </si>
  <si>
    <t xml:space="preserve">Microexplicación de los dos criterios con una sola idea: el VAN dice cuánto vale hoy lo que la campaña generará, y la TIR dice qué rentabilidad ofrece. Se muestra la regla de decisión de cada uno.</t>
  </si>
  <si>
    <t xml:space="preserve">Microclase con reglas de decisión</t>
  </si>
  <si>
    <t xml:space="preserve">Reglas de decisión del VAN y la TIR</t>
  </si>
  <si>
    <t xml:space="preserve">Práctica 27: VAN y TIR en Excel</t>
  </si>
  <si>
    <t xml:space="preserve">Cada estudiante calcula el VAN y la TIR de un flujo dado usando las funciones de Excel y también el VAN manualmente con la fórmula de descuento, comprobando que ambos coincidan.</t>
  </si>
  <si>
    <t xml:space="preserve">VAN y TIR calculados y verificados</t>
  </si>
  <si>
    <t xml:space="preserve">26.3, 27.1 y 28.1. Payback, ROI y ratio costo-beneficio</t>
  </si>
  <si>
    <t xml:space="preserve">Microexplicación de los tres indicadores restantes con sus fórmulas y su lectura: en cuántos meses se recupera lo invertido, cuánto se gana por cada sol invertido y si los beneficios superan a los costos.</t>
  </si>
  <si>
    <t xml:space="preserve">Microclase con los tres indicadores</t>
  </si>
  <si>
    <t xml:space="preserve">Práctica 28: los cinco indicadores sobre un mismo flujo</t>
  </si>
  <si>
    <t xml:space="preserve">Cada estudiante calcula los cinco indicadores sobre el mismo flujo de caja y redacta la conclusión de viabilidad en tres líneas, señalando cuál indicador es el más exigente.</t>
  </si>
  <si>
    <t xml:space="preserve">Laboratorio con conclusión escrita</t>
  </si>
  <si>
    <t xml:space="preserve">Los cinco indicadores calculados e interpretados</t>
  </si>
  <si>
    <t xml:space="preserve">Consultas antes del taller final.</t>
  </si>
  <si>
    <t xml:space="preserve">Proyecto integrador · Cierre de los puntos 3.2.2, 3.2.3 y Anexo A.2</t>
  </si>
  <si>
    <t xml:space="preserve">Cada equipo aplica los cinco indicadores a su propio flujo de caja, redacta la conclusión de viabilidad de su campaña y ordena el archivo de Excel con todos los cálculos para el Anexo A.2 del informe.</t>
  </si>
  <si>
    <t xml:space="preserve">3.2.2, 3.2.3 y Anexo A.2</t>
  </si>
  <si>
    <t xml:space="preserve">Taller final con asesoría y entrega</t>
  </si>
  <si>
    <t xml:space="preserve">COMPONENTE CERRADO: indicadores, conclusión de viabilidad y Anexo A.2</t>
  </si>
  <si>
    <t xml:space="preserve">Declaración de viabilidad por equipo</t>
  </si>
  <si>
    <t xml:space="preserve">Cada equipo declara ante el aula, en una frase, si su campaña es viable y con qué indicador lo sustenta. Los equipos con VAN negativo reciben plazo hasta la semana 15 para ajustar la propuesta.</t>
  </si>
  <si>
    <t xml:space="preserve">Contraste y compromiso público</t>
  </si>
  <si>
    <t xml:space="preserve">Tablero de viabilidad del aula</t>
  </si>
  <si>
    <t xml:space="preserve">Sesión 27 — Criterios de evaluación de inversiones y cierre del componente</t>
  </si>
  <si>
    <t xml:space="preserve">Instrumento de evaluación de la sesión: Práctica calificada en MS Excel con rúbrica de interpretación</t>
  </si>
  <si>
    <t xml:space="preserve">SESIÓN 28  ·  SEMANA 14  ·  Jueves 19/11/2026  ·  Actividad 6 (evaluación)  —  Tema: Evaluación Permanente 2   |   Evaluación escrita de los temas 9 a 28: tasas, estados financieros, márgenes, proyecciones y evaluación de inversiones.   |   Instrumento de evaluación: Prueba escrita de desarrollo (Evaluación Permanente 2 – 30 %)</t>
  </si>
  <si>
    <t xml:space="preserve">19/11/2026</t>
  </si>
  <si>
    <t xml:space="preserve">EVALUACIÓN PERMANENTE 2</t>
  </si>
  <si>
    <t xml:space="preserve">Prueba escrita de desarrollo con cinco problemas: conversión de tasas, armado de un estado de resultados, cálculo e interpretación de márgenes, proyección de ventas y evaluación de un flujo con VAN y periodo de recuperación.</t>
  </si>
  <si>
    <t xml:space="preserve">EVALUACIÓN PERMANENTE 2 (30 %)</t>
  </si>
  <si>
    <t xml:space="preserve">Cierre de la etapa de construcción</t>
  </si>
  <si>
    <t xml:space="preserve">Recojo de las evaluaciones y síntesis del recorrido de las trece semanas: de las fracciones de un presupuesto a la conclusión de viabilidad de una campaña. Anuncio de las semanas 15 y 16.</t>
  </si>
  <si>
    <t xml:space="preserve">Cierre de etapa</t>
  </si>
  <si>
    <t xml:space="preserve">Sesión 28 — Evaluación Permanente 2</t>
  </si>
  <si>
    <t xml:space="preserve">Instrumento de evaluación de la sesión: Prueba escrita de desarrollo (Evaluación Permanente 2 – 30 %)</t>
  </si>
  <si>
    <t xml:space="preserve">RESUMEN POR SESIÓN · SESIONES 3 A 28 · temario reacomodado del control de avance silábico</t>
  </si>
  <si>
    <t xml:space="preserve">ACTIVIDAD Y TEMA DEL SÍLABO</t>
  </si>
  <si>
    <t xml:space="preserve">SUBTEMAS EXACTOS DEL SÍLABO</t>
  </si>
  <si>
    <t xml:space="preserve">ENTREGABLE DEL PROYECTO</t>
  </si>
  <si>
    <t xml:space="preserve">INSTRUMENTO DE EVALUACIÓN</t>
  </si>
  <si>
    <t xml:space="preserve">MIN DOCENTE</t>
  </si>
  <si>
    <t xml:space="preserve">MIN ESTUDIANTE</t>
  </si>
  <si>
    <t xml:space="preserve">MIN PROYECTO</t>
  </si>
  <si>
    <t xml:space="preserve">MIN ADELANTO</t>
  </si>
  <si>
    <t xml:space="preserve">% ESTUDIANTE</t>
  </si>
  <si>
    <t xml:space="preserve">Actividad 1 (continuación y práctica) — Fracciones y decimales en el presupuesto; variación proporcional aplicada</t>
  </si>
  <si>
    <t xml:space="preserve">2.3. Fracciones y decimales en el presupuesto.
3.1. Variación proporcional directa e inversa en el comercio.</t>
  </si>
  <si>
    <t xml:space="preserve">Equipos conformados y producto arequipeño elegido</t>
  </si>
  <si>
    <t xml:space="preserve">Ficha de observación de desempeño y revisión del cuaderno de ejercicios</t>
  </si>
  <si>
    <t xml:space="preserve">Actividad 1 (cierre) — Reparto proporcional de presupuestos y comisiones</t>
  </si>
  <si>
    <t xml:space="preserve">3.2. Reparto proporcional de presupuestos y comisiones de venta.</t>
  </si>
  <si>
    <t xml:space="preserve">Taller de reparto de comisiones y presupuesto resuelto en equipo</t>
  </si>
  <si>
    <t xml:space="preserve">Lista de cotejo del trabajo en equipo</t>
  </si>
  <si>
    <t xml:space="preserve">Actividad 1 (continuación) — Porcentajes y su uso en el comercio</t>
  </si>
  <si>
    <t xml:space="preserve">4.1. Conversión de porcentajes a factores decimales.
4.2. Aumentos y descuentos directos con multiplicadores.</t>
  </si>
  <si>
    <t xml:space="preserve">Cuadro de precios del producto con sus variaciones porcentuales</t>
  </si>
  <si>
    <t xml:space="preserve">Actividad 1 (continuación) — Variación porcentual de ventas</t>
  </si>
  <si>
    <t xml:space="preserve">5.1. Variación porcentual de ventas de un mes a otro.</t>
  </si>
  <si>
    <t xml:space="preserve">Serie de variaciones mensuales de ventas interpretada</t>
  </si>
  <si>
    <t xml:space="preserve">Ficha de observación y ejercicio de salida</t>
  </si>
  <si>
    <t xml:space="preserve">Actividad 1 (cierre de porcentajes) — Descuentos sucesivos y descuento único equivalente</t>
  </si>
  <si>
    <t xml:space="preserve">5.2. Descuentos sucesivos en tiendas comerciales.
5.3. Descuento único equivalente.</t>
  </si>
  <si>
    <t xml:space="preserve">Cuadro comparativo de precios y promociones frente a la competencia (punto 2.5.1)</t>
  </si>
  <si>
    <t xml:space="preserve">Lista de cotejo del taller y participación oral</t>
  </si>
  <si>
    <t xml:space="preserve">Actividad 1 (evaluación) — Práctica calificada de aritmética comercial</t>
  </si>
  <si>
    <t xml:space="preserve">Evaluación de los temas 2.3 a 5.3: proporciones, reparto, porcentajes, variación porcentual y descuentos.</t>
  </si>
  <si>
    <t xml:space="preserve">PRÁCTICA CALIFICADA 1 y encargo del costo del producto</t>
  </si>
  <si>
    <t xml:space="preserve">Práctica calificada individual y ficha de observación</t>
  </si>
  <si>
    <t xml:space="preserve">Actividad 2: Interés simple y compuesto — Interés simple comercial</t>
  </si>
  <si>
    <t xml:space="preserve">6.1. Componentes: capital, tiempo, tasa e interés.
6.2. Cálculo de cobros y pagos a corto plazo.</t>
  </si>
  <si>
    <t xml:space="preserve">2.5.1 y 2.5.2</t>
  </si>
  <si>
    <t xml:space="preserve">Ficha de observación y revisión del cuaderno de ejercicios</t>
  </si>
  <si>
    <t xml:space="preserve">Actividad 2 (continuación) — Taller de interés simple aplicado al crédito comercial</t>
  </si>
  <si>
    <t xml:space="preserve">6.2. Cálculo de cobros y pagos a corto plazo (aplicación).</t>
  </si>
  <si>
    <t xml:space="preserve">Decisión de financiamiento sustentada con cálculo</t>
  </si>
  <si>
    <t xml:space="preserve">Lista de cotejo del taller</t>
  </si>
  <si>
    <t xml:space="preserve">Actividad 2 (continuación) — Interés compuesto bancario</t>
  </si>
  <si>
    <t xml:space="preserve">7.1. Concepto de acumulación de intereses (capitalización).
7.2. Frecuencia de capitalización y periodos.</t>
  </si>
  <si>
    <t xml:space="preserve">2.5.1 y 3.2.2</t>
  </si>
  <si>
    <t xml:space="preserve">Campaña de marketing definida con su inversión estimada</t>
  </si>
  <si>
    <t xml:space="preserve">Lista de cotejo del ejercicio en Excel</t>
  </si>
  <si>
    <t xml:space="preserve">Actividad 2 (continuación) — Taller de interés compuesto en Excel</t>
  </si>
  <si>
    <t xml:space="preserve">7.2. Frecuencia de capitalización y periodos (aplicación).</t>
  </si>
  <si>
    <t xml:space="preserve">Comparación de alternativas de ahorro con recomendación</t>
  </si>
  <si>
    <t xml:space="preserve">Actividad 2 (continuación) — Casos de interés compuesto: valor futuro y valor presente</t>
  </si>
  <si>
    <t xml:space="preserve">8.1. Cálculo de valor futuro y valor presente.
8.2. Aplicación en cuentas de ahorro y créditos.</t>
  </si>
  <si>
    <t xml:space="preserve">3.2.2 y 3.2.3</t>
  </si>
  <si>
    <t xml:space="preserve">Práctica calificada grupal con lista de cotejo</t>
  </si>
  <si>
    <t xml:space="preserve">Actividad 2 (evaluación) — Evaluación Permanente 1</t>
  </si>
  <si>
    <t xml:space="preserve">Evaluación escrita de los temas 2 a 8: aritmética comercial, porcentajes, interés simple e interés compuesto.</t>
  </si>
  <si>
    <t xml:space="preserve">Prueba escrita de desarrollo (Evaluación Permanente 1 – 30 %)</t>
  </si>
  <si>
    <t xml:space="preserve">Actividad 2 (cierre) — Tasas de interés financieras</t>
  </si>
  <si>
    <t xml:space="preserve">9.1. Tasa Nominal Anual (TNA) frente a Tasa Efectiva Anual (TEA).
9.2. Conversión de tasa anual a tasa mensual equivalente.</t>
  </si>
  <si>
    <t xml:space="preserve">2.5.1 y 3.2.3</t>
  </si>
  <si>
    <t xml:space="preserve">Tasa de descuento del proyecto definida y justificada</t>
  </si>
  <si>
    <t xml:space="preserve">Actividad 2 (cierre) — Diagramas de flujo de efectivo</t>
  </si>
  <si>
    <t xml:space="preserve">10.1. Línea de tiempo y flujos mensuales.
10.2. Registro de egresos e ingresos de dinero.</t>
  </si>
  <si>
    <t xml:space="preserve">Diagramas de flujo de efectivo construidos</t>
  </si>
  <si>
    <t xml:space="preserve">Ficha de observación y revisión del cuaderno</t>
  </si>
  <si>
    <t xml:space="preserve">Actividad 2 (cierre) — Renegociación de deudas y ecuaciones de valor</t>
  </si>
  <si>
    <t xml:space="preserve">11.1. Concepto de fecha focal en comercio.
11.2. Refinanciamiento de deudas comerciales.</t>
  </si>
  <si>
    <t xml:space="preserve">Diagrama de flujo completo de la campaña del equipo (punto 3.2.2)</t>
  </si>
  <si>
    <t xml:space="preserve">Rúbrica de resolución de casos (ecuaciones de valor)</t>
  </si>
  <si>
    <t xml:space="preserve">Actividad 2 (cierre) — Taller de ecuaciones de valor aplicadas</t>
  </si>
  <si>
    <t xml:space="preserve">11.2. Refinanciamiento de deudas comerciales (aplicación).</t>
  </si>
  <si>
    <t xml:space="preserve">Caso de renegociación resuelto con recomendación</t>
  </si>
  <si>
    <t xml:space="preserve">Rúbrica de resolución de casos</t>
  </si>
  <si>
    <t xml:space="preserve">Actividad 3: Estados financieros de la empresa — Estados financieros básicos y balance general</t>
  </si>
  <si>
    <t xml:space="preserve">13.1. Estructura de activos, pasivos y patrimonio.
13.2. El Balance General en negocios sencillos.</t>
  </si>
  <si>
    <t xml:space="preserve">Lista de cotejo del taller de balance general</t>
  </si>
  <si>
    <t xml:space="preserve">Actividad 3 (continuación) — Estructura del estado de resultados comercial</t>
  </si>
  <si>
    <t xml:space="preserve">14.1. Ventas, costos y gastos operativos.</t>
  </si>
  <si>
    <t xml:space="preserve">Estado de resultados armado en Excel con fórmulas</t>
  </si>
  <si>
    <t xml:space="preserve">Ficha de observación y revisión del archivo de Excel</t>
  </si>
  <si>
    <t xml:space="preserve">Actividad 3 (continuación) — Estado de resultados de la marca del proyecto</t>
  </si>
  <si>
    <t xml:space="preserve">14.2. Estructura de ganancias y pérdidas de una marca.</t>
  </si>
  <si>
    <t xml:space="preserve">AVANCE 1: estado de resultados de la marca (punto 2.5.2)</t>
  </si>
  <si>
    <t xml:space="preserve">Actividad 3 (cierre) — Costos y gastos comerciales; presupuesto publicitario</t>
  </si>
  <si>
    <t xml:space="preserve">15.1. El costo y su impacto en la rentabilidad de campañas.
15.2. El presupuesto publicitario de marca.</t>
  </si>
  <si>
    <t xml:space="preserve">2.5.3 y 3.2.3</t>
  </si>
  <si>
    <t xml:space="preserve">Tres campañas evaluadas con criterio de rentabilidad</t>
  </si>
  <si>
    <t xml:space="preserve">Rúbrica de estudio de casos</t>
  </si>
  <si>
    <t xml:space="preserve">Actividad 4: Márgenes de utilidad y ROI — Clasificación de costos y utilidades de la marca</t>
  </si>
  <si>
    <t xml:space="preserve">16.1. Costos fijos de campaña.
16.2. Costos variables de producción y ventas.
17.1. Utilidad bruta, operativa y neta.</t>
  </si>
  <si>
    <t xml:space="preserve">Costos de la marca clasificados y tres utilidades calculadas</t>
  </si>
  <si>
    <t xml:space="preserve">Lista de cotejo del cuadro comparativo y ficha de observación</t>
  </si>
  <si>
    <t xml:space="preserve">Actividad 4 (continuación) — Cálculo de márgenes de utilidad</t>
  </si>
  <si>
    <t xml:space="preserve">17.2. Cálculo de márgenes de utilidad.</t>
  </si>
  <si>
    <t xml:space="preserve">PRÁCTICA CALIFICADA 2 de márgenes de utilidad</t>
  </si>
  <si>
    <t xml:space="preserve">Actividad 4 (continuación) — Métodos de fijación de margen y proyección de ventas de la campaña</t>
  </si>
  <si>
    <t xml:space="preserve">18.1. Utilidad sobre el costo (recargo).
18.2. Utilidad sobre el precio de venta.
24.1. Proyecciones bajo crecimiento lineal constante.</t>
  </si>
  <si>
    <t xml:space="preserve">AVANCE 2: márgenes (punto 2.5.3) y proyección de ventas de la campaña (punto 3.2.1)</t>
  </si>
  <si>
    <t xml:space="preserve">Ejercicio de salida con lista de cotejo y rúbrica del avance del proyecto</t>
  </si>
  <si>
    <t xml:space="preserve">Actividad 5: Proyección de ventas — Estacionalidad y flujo de caja neto de la campaña</t>
  </si>
  <si>
    <t xml:space="preserve">24.2. Proyecciones considerando la estacionalidad de la demanda.
25.1. Ingresos incrementales frente a egresos de la campaña.</t>
  </si>
  <si>
    <t xml:space="preserve">Flujo de caja neto de una campaña construido en Excel</t>
  </si>
  <si>
    <t xml:space="preserve">Rúbrica de construcción del flujo de caja</t>
  </si>
  <si>
    <t xml:space="preserve">Actividad 6: Evaluación de proyectos — Criterios de evaluación de inversiones y cierre del componente</t>
  </si>
  <si>
    <t xml:space="preserve">26.1. Valor Actual Neto (VAN).
26.2. Tasa Interna de Retorno (TIR).
26.3. Periodo de recuperación (payback).
27.1. Cálculo del ROI comercial de la campaña.
28.1. Ratio costo-beneficio.</t>
  </si>
  <si>
    <t xml:space="preserve">3.2.2 · 3.2.3 · Anexo A.2</t>
  </si>
  <si>
    <t xml:space="preserve">COMPONENTE CERRADO: flujo de caja, cinco indicadores de rentabilidad, conclusión de viabilidad y Anexo A.2</t>
  </si>
  <si>
    <t xml:space="preserve">Práctica calificada en MS Excel con rúbrica de interpretación</t>
  </si>
  <si>
    <t xml:space="preserve">Actividad 6 (evaluación) — Evaluación Permanente 2</t>
  </si>
  <si>
    <t xml:space="preserve">Evaluación escrita de los temas 9 a 28: tasas, estados financieros, márgenes, proyecciones y evaluación de inversiones.</t>
  </si>
  <si>
    <t xml:space="preserve">Prueba escrita de desarrollo (Evaluación Permanente 2 – 30 %)</t>
  </si>
  <si>
    <t xml:space="preserve">26 sesiones · semanas 2 a 14</t>
  </si>
  <si>
    <t xml:space="preserve">MAPA ENTRE EL CURSO Y EL INFORME DEL PROYECTO INTEGRADOR</t>
  </si>
  <si>
    <t xml:space="preserve">Numeración tomada del documento «Proyecto Final MKT 1 – I Ciclo», numeral 6: Estructura del Informe Final. Solo se listan los puntos que le competen a Matemática Aplicada; los demás capítulos corresponden a Fundamentos de Marketing, Análisis de la Realidad Económica, Comportamiento del Consumidor, Trabajo Colaborativo y Comunicación Efectiva.</t>
  </si>
  <si>
    <t xml:space="preserve">PUNTO DEL INFORME FINAL</t>
  </si>
  <si>
    <t xml:space="preserve">QUÉ EXIGE EL PROYECTO EN ESE PUNTO</t>
  </si>
  <si>
    <t xml:space="preserve">SESIONES EN QUE SE TRABAJA</t>
  </si>
  <si>
    <t xml:space="preserve">SESIÓN EN QUE QUEDA CERRADO</t>
  </si>
  <si>
    <t xml:space="preserve">EVIDENCIA QUE LO SUSTENTA</t>
  </si>
  <si>
    <t xml:space="preserve">PARA QUÉ CURSO SIRVE</t>
  </si>
  <si>
    <t xml:space="preserve">2.5.1 Análisis de los precios que maneja el producto</t>
  </si>
  <si>
    <t xml:space="preserve">Precio de venta al público en distintos puntos, comparación con dos competidores, análisis de las promociones vigentes y variación porcentual entre precios.</t>
  </si>
  <si>
    <t xml:space="preserve">Sesiones 3 a 8</t>
  </si>
  <si>
    <t xml:space="preserve">Sesión 7</t>
  </si>
  <si>
    <t xml:space="preserve">Fundamentos de Marketing, que desarrolla la variable Precio del marketing mix</t>
  </si>
  <si>
    <t xml:space="preserve">2.5.2 Análisis conceptual del Estado de Resultados de la marca</t>
  </si>
  <si>
    <t xml:space="preserve">Estado de resultados anual estimado de la marca, con análisis vertical y declaración de qué dato es real y cuál estimado.</t>
  </si>
  <si>
    <t xml:space="preserve">Sesiones 19, 20 y 21</t>
  </si>
  <si>
    <t xml:space="preserve">Sesión 21</t>
  </si>
  <si>
    <t xml:space="preserve">Estado de resultados en Excel con fórmulas activas</t>
  </si>
  <si>
    <t xml:space="preserve">Fundamentos de Marketing, que necesita saber si el producto deja utilidad</t>
  </si>
  <si>
    <t xml:space="preserve">2.5.3 Cálculo de márgenes de utilidad bruta, neta y operativa</t>
  </si>
  <si>
    <t xml:space="preserve">Las tres utilidades convertidas en márgenes porcentuales, con la interpretación de cada uno y la identificación de dónde está el problema del negocio.</t>
  </si>
  <si>
    <t xml:space="preserve">Sesiones 22 a 25</t>
  </si>
  <si>
    <t xml:space="preserve">Sesión 25</t>
  </si>
  <si>
    <t xml:space="preserve">Cuadro de los tres márgenes con su interpretación</t>
  </si>
  <si>
    <t xml:space="preserve">Fundamentos de Marketing, para sustentar decisiones de precio</t>
  </si>
  <si>
    <t xml:space="preserve">3.2.1 Proyección de ventas adicionales de la campaña</t>
  </si>
  <si>
    <t xml:space="preserve">Proyección mensual de las ventas incrementales que se esperan lograr con la campaña, con la tasa de crecimiento justificada por escrito.</t>
  </si>
  <si>
    <t xml:space="preserve">Sesiones 25 y 26</t>
  </si>
  <si>
    <t xml:space="preserve">Proyección a doce meses con gráfico y sustento de la tasa</t>
  </si>
  <si>
    <t xml:space="preserve">Fundamentos de Marketing y Comportamiento del Consumidor, que definen la campaña</t>
  </si>
  <si>
    <t xml:space="preserve">3.2.2 Elaboración del Flujo de Caja Neto de la campaña</t>
  </si>
  <si>
    <t xml:space="preserve">Inversión inicial en el periodo cero, ingresos incrementales y egresos mensuales, con el diagrama de flujo correspondiente.</t>
  </si>
  <si>
    <t xml:space="preserve">Sesiones 11, 13, 16, 17, 26 y 27</t>
  </si>
  <si>
    <t xml:space="preserve">Sesión 27</t>
  </si>
  <si>
    <t xml:space="preserve">Flujo de caja neto en Excel y diagrama de flujo</t>
  </si>
  <si>
    <t xml:space="preserve">Todo el equipo: es el respaldo numérico de la campaña propuesta</t>
  </si>
  <si>
    <t xml:space="preserve">3.2.3 Cálculo de los indicadores de rentabilidad</t>
  </si>
  <si>
    <t xml:space="preserve">Valor actual neto, tasa interna de retorno, periodo de recuperación, retorno de la inversión y ratio costo-beneficio, con la conclusión de viabilidad redactada.</t>
  </si>
  <si>
    <t xml:space="preserve">Sesiones 13, 15 y 27</t>
  </si>
  <si>
    <t xml:space="preserve">Los cinco indicadores calculados con su interpretación</t>
  </si>
  <si>
    <t xml:space="preserve">Todo el equipo: es la conclusión que sustenta la viabilidad de la campaña</t>
  </si>
  <si>
    <t xml:space="preserve">Anexo A.2 Tablas y cálculos numéricos adicionales</t>
  </si>
  <si>
    <t xml:space="preserve">Archivo de Excel con los diagramas de flujo, las proyecciones y la evidencia de cada indicador financiero calculado.</t>
  </si>
  <si>
    <t xml:space="preserve">Todas las sesiones de laboratorio</t>
  </si>
  <si>
    <t xml:space="preserve">Archivo de cálculos ordenado y verificado</t>
  </si>
  <si>
    <t xml:space="preserve">Todo el equipo, como anexo del informe final</t>
  </si>
  <si>
    <t xml:space="preserve">Al terminar la sesión 27 el componente de Matemática Aplicada queda cerrado en su totalidad y el archivo de cálculos del Anexo A.2 queda listo. Las semanas 15 y 16 se destinan a los temas que el proyecto no exige, a los retoques del modelo y a la sustentación final, según el detalle de la hoja «SEMANAS 15 Y 16».</t>
  </si>
  <si>
    <t xml:space="preserve">CONTROL DE AVANCE DEL DICTADO · SESIONES 3 A 28</t>
  </si>
  <si>
    <t xml:space="preserve">PUNTO DEL INFORME</t>
  </si>
  <si>
    <t xml:space="preserve">ESTADO</t>
  </si>
  <si>
    <t xml:space="preserve">FECHA REAL</t>
  </si>
  <si>
    <t xml:space="preserve">OBSERVACIONES DEL DOCENTE</t>
  </si>
  <si>
    <t xml:space="preserve">Pendiente</t>
  </si>
  <si>
    <t xml:space="preserve">AVANCE DEL PLAN (sesiones dictadas completas)</t>
  </si>
  <si>
    <t xml:space="preserve">REORDENAMIENTO DEL TEMARIO · cómo se reacomoda el sílabo desde la semana 2</t>
  </si>
  <si>
    <t xml:space="preserve">En la semana 1 se avanzó únicamente hasta la teoría de razones y proporciones. Ese desfase obliga a reacomodar todo el temario posterior. El criterio del reacomodo es la prioridad del proyecto integrador: primero los temas que el informe exige y después los que el curso desarrolla pero el informe no pide. Ningún tema del sílabo se elimina; los cuatro que se trasladan se dictan en las semanas 15 y 16.</t>
  </si>
  <si>
    <t xml:space="preserve">N°</t>
  </si>
  <si>
    <t xml:space="preserve">TEMA DEL SÍLABO</t>
  </si>
  <si>
    <t xml:space="preserve">SEMANA ORIGINAL</t>
  </si>
  <si>
    <t xml:space="preserve">SEMANA NUEVA</t>
  </si>
  <si>
    <t xml:space="preserve">TIPO DE CAMBIO</t>
  </si>
  <si>
    <t xml:space="preserve">MOTIVO DEL REACOMODO</t>
  </si>
  <si>
    <t xml:space="preserve">CONSECUENCIA PARA EL PROYECTO</t>
  </si>
  <si>
    <t xml:space="preserve">1</t>
  </si>
  <si>
    <t xml:space="preserve">2.3 Fracciones y decimales en el presupuesto · 3.1 Variación proporcional directa e inversa</t>
  </si>
  <si>
    <t xml:space="preserve">Semana 1, sesión 2</t>
  </si>
  <si>
    <t xml:space="preserve">Semana 2, sesión 3</t>
  </si>
  <si>
    <t xml:space="preserve">Se retoma y se practica</t>
  </si>
  <si>
    <t xml:space="preserve">En la semana 1 estos temas quedaron solo enunciados dentro de la teoría de razones y proporciones. Acumular tema nuevo sobre tema no practicado es la causa más frecuente de desfase en primer ciclo.</t>
  </si>
  <si>
    <t xml:space="preserve">Ninguna: es el punto de partida del componente y alimenta el punto 2.5.1 del informe.</t>
  </si>
  <si>
    <t xml:space="preserve">2</t>
  </si>
  <si>
    <t xml:space="preserve">3.2 Reparto proporcional de presupuestos y comisiones</t>
  </si>
  <si>
    <t xml:space="preserve">Semana 2, sesión 4</t>
  </si>
  <si>
    <t xml:space="preserve">Se traslada una semana</t>
  </si>
  <si>
    <t xml:space="preserve">Se dicta en la sesión corta del jueves como taller aplicado, porque es un tema de un solo procedimiento que se aprende practicando.</t>
  </si>
  <si>
    <t xml:space="preserve">Ninguna: se cierra el bloque de proporciones antes de entrar a porcentajes.</t>
  </si>
  <si>
    <t xml:space="preserve">3</t>
  </si>
  <si>
    <t xml:space="preserve">Temas 4 y 5: porcentajes, aumentos, descuentos y variación porcentual</t>
  </si>
  <si>
    <t xml:space="preserve">Semana 2</t>
  </si>
  <si>
    <t xml:space="preserve">Semanas 3 y 4</t>
  </si>
  <si>
    <t xml:space="preserve">Se traslada una semana y se reparte en cuatro sesiones</t>
  </si>
  <si>
    <t xml:space="preserve">El sílabo original concentraba cinco subtemas en dos sesiones. Repartirlos permite practicar cada uno, que es donde el primer ciclo falla.</t>
  </si>
  <si>
    <t xml:space="preserve">Ninguna: el punto 2.5.1 del informe queda cerrado igualmente en la semana 4.</t>
  </si>
  <si>
    <t xml:space="preserve">4</t>
  </si>
  <si>
    <t xml:space="preserve">Evaluación Permanente 1</t>
  </si>
  <si>
    <t xml:space="preserve">Semana 5</t>
  </si>
  <si>
    <t xml:space="preserve">Semana 7, sesión 14</t>
  </si>
  <si>
    <t xml:space="preserve">Se traslada dos semanas</t>
  </si>
  <si>
    <t xml:space="preserve">Se evalúa después de haber dictado y practicado los temas 2 a 8, que es el bloque que la evaluación cubre. Evaluar antes habría dejado fuera el interés compuesto.</t>
  </si>
  <si>
    <t xml:space="preserve">Ninguna: no hay entregable del proyecto asociado a esta evaluación.</t>
  </si>
  <si>
    <t xml:space="preserve">5</t>
  </si>
  <si>
    <t xml:space="preserve">Temas 19 y 20: contribución marginal y razón del costo variable</t>
  </si>
  <si>
    <t xml:space="preserve">Semana 9</t>
  </si>
  <si>
    <t xml:space="preserve">Semana 15</t>
  </si>
  <si>
    <t xml:space="preserve">SE TRASLADA AL FINAL</t>
  </si>
  <si>
    <t xml:space="preserve">El informe del Proyecto Final MKT 1 no exige margen de contribución ni razón del costo variable. Exige márgenes de utilidad, proyecciones e indicadores de rentabilidad. Se prioriza lo que el proyecto necesita.</t>
  </si>
  <si>
    <t xml:space="preserve">Ninguna sobre el informe. El tema se dicta igualmente en la semana 15 como profundización.</t>
  </si>
  <si>
    <t xml:space="preserve">6</t>
  </si>
  <si>
    <t xml:space="preserve">Temas 21 y 22: punto de equilibrio y margen de seguridad</t>
  </si>
  <si>
    <t xml:space="preserve">Semana 10</t>
  </si>
  <si>
    <t xml:space="preserve">Semanas 15 y 16</t>
  </si>
  <si>
    <t xml:space="preserve">Mismo criterio: el punto de equilibrio no figura entre los puntos que Matemática Aplicada aporta al informe de primer ciclo. Liberar esas dos semanas es lo que permite cerrar el componente en la semana 14.</t>
  </si>
  <si>
    <t xml:space="preserve">Ninguna sobre el informe. Se dicta en las semanas 15 y 16 con los datos reales que los equipos ya calcularon.</t>
  </si>
  <si>
    <t xml:space="preserve">7</t>
  </si>
  <si>
    <t xml:space="preserve">Temas 24 a 28: proyecciones, flujo de caja, VAN, TIR, payback, ROI y ratio costo-beneficio</t>
  </si>
  <si>
    <t xml:space="preserve">Semanas 11 a 14</t>
  </si>
  <si>
    <t xml:space="preserve">Semanas 13 y 14</t>
  </si>
  <si>
    <t xml:space="preserve">Se concentra y se adelanta</t>
  </si>
  <si>
    <t xml:space="preserve">Son los cinco temas que el informe exige en los puntos 3.2.1, 3.2.2 y 3.2.3. Concentrarlos permite que el equipo evalúe su campaña de una sola vez, sin cortes de dos semanas entre el flujo y su evaluación.</t>
  </si>
  <si>
    <t xml:space="preserve">Cierra el componente completo en la sesión 27, con el Anexo A.2 listo.</t>
  </si>
  <si>
    <t xml:space="preserve">8</t>
  </si>
  <si>
    <t xml:space="preserve">Evaluación Permanente 2</t>
  </si>
  <si>
    <t xml:space="preserve">Semana 14, sesión 28</t>
  </si>
  <si>
    <t xml:space="preserve">Se traslada al cierre del componente</t>
  </si>
  <si>
    <t xml:space="preserve">Se evalúa cuando el bloque completo de estados financieros, márgenes y evaluación de inversiones ya se dictó y se aplicó al proyecto.</t>
  </si>
  <si>
    <t xml:space="preserve">Ninguna: refuerza el cierre del componente.</t>
  </si>
  <si>
    <t xml:space="preserve">SEMANAS 15 Y 16 · TEMAS TRASLADADOS, RETOQUES Y SUSTENTACIÓN FINAL</t>
  </si>
  <si>
    <t xml:space="preserve">En la semana 14 el componente de Matemática Aplicada queda cerrado con evidencia en todos sus puntos. Las dos semanas restantes cumplen tres funciones: dictar los cuatro temas que se trasladaron por no ser exigidos por el informe, corregir los modelos de los equipos con observaciones y preparar la sustentación numérica final. Esta hoja es un mapa de referencia; el plan detallado de estas semanas se elabora aparte.</t>
  </si>
  <si>
    <t xml:space="preserve">SEMANA</t>
  </si>
  <si>
    <t xml:space="preserve">SESIONES</t>
  </si>
  <si>
    <t xml:space="preserve">QUÉ SE REVISA O SE PROFUNDIZA DEL PROYECTO YA TERMINADO</t>
  </si>
  <si>
    <t xml:space="preserve">NIVEL AL QUE DEBE LLEGAR LA NUEVA VERSIÓN</t>
  </si>
  <si>
    <t xml:space="preserve">PUNTO DEL INFORME QUE MEJORA</t>
  </si>
  <si>
    <t xml:space="preserve">29 y 30</t>
  </si>
  <si>
    <t xml:space="preserve">Los equipos aplican el margen de contribución a su propio producto, con el costo variable unitario que ya calcularon en la semana 12. Se analiza la rentabilidad del portafolio de la marca.</t>
  </si>
  <si>
    <t xml:space="preserve">El equipo pasa de conocer el margen de utilidad a conocer cuánto aporta cada unidad vendida a cubrir los costos fijos, que es una lectura más fina de la misma información.</t>
  </si>
  <si>
    <t xml:space="preserve">Refuerza 2.5.3</t>
  </si>
  <si>
    <t xml:space="preserve">30</t>
  </si>
  <si>
    <t xml:space="preserve">Retoques del modelo: equipos con VAN negativo</t>
  </si>
  <si>
    <t xml:space="preserve">Los equipos cuya campaña no resultó viable ajustan la propuesta: reducen la inversión, replantean la proyección o modifican el horizonte, y recalculan los cinco indicadores.</t>
  </si>
  <si>
    <t xml:space="preserve">La conclusión de viabilidad pasa de un resultado negativo a una propuesta corregida y defendible, o a una recomendación fundamentada de no ejecutar la campaña.</t>
  </si>
  <si>
    <t xml:space="preserve">Semana 16</t>
  </si>
  <si>
    <t xml:space="preserve">31</t>
  </si>
  <si>
    <t xml:space="preserve">Se calcula el punto de equilibrio del producto de cada equipo en unidades y en soles, con su gráfico, y el margen de seguridad de la campaña propuesta.</t>
  </si>
  <si>
    <t xml:space="preserve">El informe gana un respaldo adicional que no era exigido: cuántas unidades hay que vender para no perder y cuánto margen de error tolera la proyección.</t>
  </si>
  <si>
    <t xml:space="preserve">Refuerzo del capítulo 3</t>
  </si>
  <si>
    <t xml:space="preserve">Tema 29: casos integradores de evaluación comercial</t>
  </si>
  <si>
    <t xml:space="preserve">Discusión de campañas reales de marcas de consumo masivo y simulación de decisiones bajo tres escenarios distintos, usando los indicadores que los equipos ya dominan.</t>
  </si>
  <si>
    <t xml:space="preserve">Los estudiantes contrastan su propio proyecto con casos del mercado y anticipan las preguntas del jurado.</t>
  </si>
  <si>
    <t xml:space="preserve">Preparación de la defensa</t>
  </si>
  <si>
    <t xml:space="preserve">32</t>
  </si>
  <si>
    <t xml:space="preserve">Tema 30: consolidación y sustentación numérica final</t>
  </si>
  <si>
    <t xml:space="preserve">Unificación de todos los cálculos del proyecto en un solo archivo, verificación de que las cifras del informe coincidan con las del anexo, y sustentación final ante el jurado.</t>
  </si>
  <si>
    <t xml:space="preserve">Anexo A.2 auditado sin diferencias con el cuerpo del informe, y defensa numérica preparada. Evaluación Final.</t>
  </si>
  <si>
    <t xml:space="preserve">Todos los puntos del componente</t>
  </si>
</sst>
</file>

<file path=xl/styles.xml><?xml version="1.0" encoding="utf-8"?>
<styleSheet xmlns="http://schemas.openxmlformats.org/spreadsheetml/2006/main">
  <numFmts count="2">
    <numFmt numFmtId="164" formatCode="General"/>
    <numFmt numFmtId="165" formatCode="0.0%"/>
  </numFmts>
  <fonts count="15">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b val="true"/>
      <sz val="11"/>
      <color rgb="FFFFFFFF"/>
      <name val="Arial"/>
      <family val="0"/>
      <charset val="1"/>
    </font>
    <font>
      <b val="true"/>
      <sz val="10"/>
      <name val="Arial"/>
      <family val="0"/>
      <charset val="1"/>
    </font>
    <font>
      <sz val="10"/>
      <name val="Arial"/>
      <family val="0"/>
      <charset val="1"/>
    </font>
    <font>
      <b val="true"/>
      <sz val="11"/>
      <color rgb="FF1F3864"/>
      <name val="Arial"/>
      <family val="0"/>
      <charset val="1"/>
    </font>
    <font>
      <b val="true"/>
      <sz val="13"/>
      <color rgb="FFFFFFFF"/>
      <name val="Arial"/>
      <family val="0"/>
      <charset val="1"/>
    </font>
    <font>
      <b val="true"/>
      <sz val="10"/>
      <color rgb="FFFFFFFF"/>
      <name val="Arial"/>
      <family val="0"/>
      <charset val="1"/>
    </font>
    <font>
      <sz val="9"/>
      <name val="Arial"/>
      <family val="0"/>
      <charset val="1"/>
    </font>
    <font>
      <b val="true"/>
      <sz val="9"/>
      <name val="Arial"/>
      <family val="0"/>
      <charset val="1"/>
    </font>
    <font>
      <b val="true"/>
      <sz val="9"/>
      <color rgb="FF1F3864"/>
      <name val="Arial"/>
      <family val="0"/>
      <charset val="1"/>
    </font>
    <font>
      <i val="true"/>
      <sz val="9"/>
      <name val="Arial"/>
      <family val="0"/>
      <charset val="1"/>
    </font>
  </fonts>
  <fills count="13">
    <fill>
      <patternFill patternType="none"/>
    </fill>
    <fill>
      <patternFill patternType="gray125"/>
    </fill>
    <fill>
      <patternFill patternType="solid">
        <fgColor rgb="FF1F3864"/>
        <bgColor rgb="FF333333"/>
      </patternFill>
    </fill>
    <fill>
      <patternFill patternType="solid">
        <fgColor rgb="FF2E5C8A"/>
        <bgColor rgb="FF1F3864"/>
      </patternFill>
    </fill>
    <fill>
      <patternFill patternType="solid">
        <fgColor rgb="FFF2F2F2"/>
        <bgColor rgb="FFE2EFDA"/>
      </patternFill>
    </fill>
    <fill>
      <patternFill patternType="solid">
        <fgColor rgb="FFDCE6F1"/>
        <bgColor rgb="FFD9E2F3"/>
      </patternFill>
    </fill>
    <fill>
      <patternFill patternType="solid">
        <fgColor rgb="FFFFF2CC"/>
        <bgColor rgb="FFFCE4D6"/>
      </patternFill>
    </fill>
    <fill>
      <patternFill patternType="solid">
        <fgColor rgb="FFE2EFDA"/>
        <bgColor rgb="FFDCE6F1"/>
      </patternFill>
    </fill>
    <fill>
      <patternFill patternType="solid">
        <fgColor rgb="FFD9E2F3"/>
        <bgColor rgb="FFDCE6F1"/>
      </patternFill>
    </fill>
    <fill>
      <patternFill patternType="solid">
        <fgColor rgb="FFFCE4D6"/>
        <bgColor rgb="FFFFF2CC"/>
      </patternFill>
    </fill>
    <fill>
      <patternFill patternType="solid">
        <fgColor rgb="FFF8CBAD"/>
        <bgColor rgb="FFFCE4D6"/>
      </patternFill>
    </fill>
    <fill>
      <patternFill patternType="solid">
        <fgColor rgb="FFFFFFFF"/>
        <bgColor rgb="FFF2F2F2"/>
      </patternFill>
    </fill>
    <fill>
      <patternFill patternType="solid">
        <fgColor rgb="FFE4DFEC"/>
        <bgColor rgb="FFD9E2F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8" fillId="5" borderId="0"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general"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3" borderId="2"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2" fillId="6"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2" fillId="7"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11" fillId="8" borderId="1" xfId="0" applyFont="true" applyBorder="true" applyAlignment="true" applyProtection="false">
      <alignment horizontal="center" vertical="top" textRotation="0" wrapText="tru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12" fillId="8" borderId="1" xfId="0" applyFont="true" applyBorder="true" applyAlignment="true" applyProtection="false">
      <alignment horizontal="left" vertical="top" textRotation="0" wrapText="true" indent="0" shrinkToFit="false"/>
      <protection locked="true" hidden="false"/>
    </xf>
    <xf numFmtId="164" fontId="13" fillId="8" borderId="1" xfId="0" applyFont="true" applyBorder="true" applyAlignment="true" applyProtection="false">
      <alignment horizontal="center" vertical="top" textRotation="0" wrapText="true" indent="0" shrinkToFit="false"/>
      <protection locked="true" hidden="false"/>
    </xf>
    <xf numFmtId="164" fontId="11" fillId="9" borderId="1" xfId="0" applyFont="true" applyBorder="true" applyAlignment="true" applyProtection="false">
      <alignment horizontal="left" vertical="top" textRotation="0" wrapText="true" indent="0" shrinkToFit="false"/>
      <protection locked="true" hidden="false"/>
    </xf>
    <xf numFmtId="164" fontId="12" fillId="9"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1" fillId="10" borderId="1" xfId="0" applyFont="true" applyBorder="true" applyAlignment="true" applyProtection="false">
      <alignment horizontal="center" vertical="top" textRotation="0" wrapText="true" indent="0" shrinkToFit="false"/>
      <protection locked="true" hidden="false"/>
    </xf>
    <xf numFmtId="164" fontId="11" fillId="10" borderId="1" xfId="0" applyFont="true" applyBorder="true" applyAlignment="true" applyProtection="false">
      <alignment horizontal="left" vertical="top" textRotation="0" wrapText="true" indent="0" shrinkToFit="false"/>
      <protection locked="true" hidden="false"/>
    </xf>
    <xf numFmtId="164" fontId="12" fillId="10"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5" fontId="11" fillId="4"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left" vertical="center" textRotation="0" wrapText="false" indent="0" shrinkToFit="false"/>
      <protection locked="true" hidden="false"/>
    </xf>
    <xf numFmtId="165" fontId="6" fillId="5" borderId="1" xfId="0" applyFont="true" applyBorder="true" applyAlignment="true" applyProtection="false">
      <alignment horizontal="center" vertical="center" textRotation="0" wrapText="false" indent="0" shrinkToFit="false"/>
      <protection locked="true" hidden="false"/>
    </xf>
    <xf numFmtId="164" fontId="14" fillId="5" borderId="2"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4" fillId="6" borderId="2"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1" fillId="11" borderId="1" xfId="0" applyFont="true" applyBorder="true" applyAlignment="true" applyProtection="false">
      <alignment horizontal="center" vertical="top" textRotation="0" wrapText="true" indent="0" shrinkToFit="false"/>
      <protection locked="true" hidden="false"/>
    </xf>
    <xf numFmtId="164" fontId="12" fillId="11" borderId="1" xfId="0" applyFont="true" applyBorder="true" applyAlignment="true" applyProtection="false">
      <alignment horizontal="left" vertical="top" textRotation="0" wrapText="true" indent="0" shrinkToFit="false"/>
      <protection locked="true" hidden="false"/>
    </xf>
    <xf numFmtId="164" fontId="11" fillId="12" borderId="1" xfId="0" applyFont="true" applyBorder="true" applyAlignment="true" applyProtection="false">
      <alignment horizontal="center" vertical="top" textRotation="0" wrapText="true" indent="0" shrinkToFit="false"/>
      <protection locked="true" hidden="false"/>
    </xf>
    <xf numFmtId="164" fontId="11" fillId="11"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6F1"/>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F2F2"/>
      <rgbColor rgb="FFE2EFDA"/>
      <rgbColor rgb="FFFCE4D6"/>
      <rgbColor rgb="FFE4DFEC"/>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100"/>
  </cols>
  <sheetData>
    <row r="2" customFormat="false" ht="33.75" hidden="false" customHeight="true" outlineLevel="0" collapsed="false">
      <c r="B2" s="1" t="s">
        <v>0</v>
      </c>
      <c r="C2" s="1"/>
    </row>
    <row r="3" customFormat="false" ht="25.5" hidden="false" customHeight="true" outlineLevel="0" collapsed="false">
      <c r="B3" s="2" t="s">
        <v>1</v>
      </c>
      <c r="C3" s="2"/>
    </row>
    <row r="5" customFormat="false" ht="21.75" hidden="false" customHeight="true" outlineLevel="0" collapsed="false">
      <c r="B5" s="3" t="s">
        <v>2</v>
      </c>
      <c r="C5" s="4" t="s">
        <v>3</v>
      </c>
    </row>
    <row r="6" customFormat="false" ht="21.75" hidden="false" customHeight="true" outlineLevel="0" collapsed="false">
      <c r="B6" s="3" t="s">
        <v>4</v>
      </c>
      <c r="C6" s="4" t="s">
        <v>5</v>
      </c>
    </row>
    <row r="7" customFormat="false" ht="21.75" hidden="false" customHeight="true" outlineLevel="0" collapsed="false">
      <c r="B7" s="3" t="s">
        <v>6</v>
      </c>
      <c r="C7" s="4" t="s">
        <v>7</v>
      </c>
    </row>
    <row r="8" customFormat="false" ht="21.75" hidden="false" customHeight="true" outlineLevel="0" collapsed="false">
      <c r="B8" s="3" t="s">
        <v>8</v>
      </c>
      <c r="C8" s="4" t="s">
        <v>9</v>
      </c>
    </row>
    <row r="9" customFormat="false" ht="21.75" hidden="false" customHeight="true" outlineLevel="0" collapsed="false">
      <c r="B9" s="3" t="s">
        <v>10</v>
      </c>
      <c r="C9" s="4" t="s">
        <v>11</v>
      </c>
    </row>
    <row r="10" customFormat="false" ht="21.75" hidden="false" customHeight="true" outlineLevel="0" collapsed="false">
      <c r="B10" s="3" t="s">
        <v>12</v>
      </c>
      <c r="C10" s="4" t="s">
        <v>13</v>
      </c>
    </row>
    <row r="11" customFormat="false" ht="21.75" hidden="false" customHeight="true" outlineLevel="0" collapsed="false">
      <c r="B11" s="3" t="s">
        <v>14</v>
      </c>
      <c r="C11" s="4" t="s">
        <v>15</v>
      </c>
    </row>
    <row r="12" customFormat="false" ht="21.75" hidden="false" customHeight="true" outlineLevel="0" collapsed="false">
      <c r="B12" s="3" t="s">
        <v>16</v>
      </c>
      <c r="C12" s="4" t="s">
        <v>17</v>
      </c>
    </row>
    <row r="13" customFormat="false" ht="21.75" hidden="false" customHeight="true" outlineLevel="0" collapsed="false">
      <c r="B13" s="3" t="s">
        <v>18</v>
      </c>
      <c r="C13" s="4" t="s">
        <v>19</v>
      </c>
    </row>
    <row r="14" customFormat="false" ht="21.75" hidden="false" customHeight="true" outlineLevel="0" collapsed="false">
      <c r="B14" s="3" t="s">
        <v>20</v>
      </c>
      <c r="C14" s="4" t="s">
        <v>21</v>
      </c>
    </row>
    <row r="15" customFormat="false" ht="21.75" hidden="false" customHeight="true" outlineLevel="0" collapsed="false">
      <c r="B15" s="3" t="s">
        <v>22</v>
      </c>
      <c r="C15" s="4" t="s">
        <v>23</v>
      </c>
    </row>
    <row r="17" customFormat="false" ht="21.75" hidden="false" customHeight="true" outlineLevel="0" collapsed="false">
      <c r="B17" s="5" t="s">
        <v>24</v>
      </c>
      <c r="C17" s="5"/>
    </row>
    <row r="18" customFormat="false" ht="21.75" hidden="false" customHeight="true" outlineLevel="0" collapsed="false">
      <c r="B18" s="6" t="s">
        <v>25</v>
      </c>
      <c r="C18" s="4" t="s">
        <v>26</v>
      </c>
    </row>
    <row r="19" customFormat="false" ht="21.75" hidden="false" customHeight="true" outlineLevel="0" collapsed="false">
      <c r="B19" s="6" t="s">
        <v>27</v>
      </c>
      <c r="C19" s="4" t="s">
        <v>28</v>
      </c>
    </row>
    <row r="20" customFormat="false" ht="21.75" hidden="false" customHeight="true" outlineLevel="0" collapsed="false">
      <c r="B20" s="6" t="s">
        <v>29</v>
      </c>
      <c r="C20" s="4" t="s">
        <v>30</v>
      </c>
    </row>
    <row r="21" customFormat="false" ht="21.75" hidden="false" customHeight="true" outlineLevel="0" collapsed="false">
      <c r="B21" s="6" t="s">
        <v>31</v>
      </c>
      <c r="C21" s="4" t="s">
        <v>32</v>
      </c>
    </row>
    <row r="22" customFormat="false" ht="21.75" hidden="false" customHeight="true" outlineLevel="0" collapsed="false">
      <c r="B22" s="6" t="s">
        <v>33</v>
      </c>
      <c r="C22" s="4" t="s">
        <v>34</v>
      </c>
    </row>
    <row r="23" customFormat="false" ht="21.75" hidden="false" customHeight="true" outlineLevel="0" collapsed="false">
      <c r="B23" s="6" t="s">
        <v>35</v>
      </c>
      <c r="C23" s="4" t="s">
        <v>36</v>
      </c>
    </row>
    <row r="24" customFormat="false" ht="21.75" hidden="false" customHeight="true" outlineLevel="0" collapsed="false">
      <c r="B24" s="6" t="s">
        <v>37</v>
      </c>
      <c r="C24" s="4" t="s">
        <v>38</v>
      </c>
    </row>
    <row r="26" customFormat="false" ht="21.75" hidden="false" customHeight="true" outlineLevel="0" collapsed="false">
      <c r="B26" s="5" t="s">
        <v>39</v>
      </c>
      <c r="C26" s="5"/>
    </row>
    <row r="27" customFormat="false" ht="21.75" hidden="false" customHeight="true" outlineLevel="0" collapsed="false">
      <c r="B27" s="3" t="s">
        <v>40</v>
      </c>
      <c r="C27" s="4" t="s">
        <v>41</v>
      </c>
    </row>
    <row r="28" customFormat="false" ht="21.75" hidden="false" customHeight="true" outlineLevel="0" collapsed="false">
      <c r="B28" s="3" t="s">
        <v>42</v>
      </c>
      <c r="C28" s="4" t="s">
        <v>43</v>
      </c>
    </row>
    <row r="29" customFormat="false" ht="21.75" hidden="false" customHeight="true" outlineLevel="0" collapsed="false">
      <c r="B29" s="3" t="s">
        <v>44</v>
      </c>
      <c r="C29" s="4" t="s">
        <v>45</v>
      </c>
    </row>
    <row r="30" customFormat="false" ht="21.75" hidden="false" customHeight="true" outlineLevel="0" collapsed="false">
      <c r="B30" s="3" t="s">
        <v>46</v>
      </c>
      <c r="C30" s="4" t="s">
        <v>47</v>
      </c>
    </row>
    <row r="31" customFormat="false" ht="21.75" hidden="false" customHeight="true" outlineLevel="0" collapsed="false">
      <c r="B31" s="3" t="s">
        <v>48</v>
      </c>
      <c r="C31" s="4" t="s">
        <v>49</v>
      </c>
    </row>
    <row r="32" customFormat="false" ht="21.75" hidden="false" customHeight="true" outlineLevel="0" collapsed="false">
      <c r="B32" s="3" t="s">
        <v>50</v>
      </c>
      <c r="C32" s="4" t="s">
        <v>51</v>
      </c>
    </row>
    <row r="33" customFormat="false" ht="21.75" hidden="false" customHeight="true" outlineLevel="0" collapsed="false">
      <c r="B33" s="3" t="s">
        <v>52</v>
      </c>
      <c r="C33" s="4" t="s">
        <v>53</v>
      </c>
    </row>
    <row r="35" customFormat="false" ht="21.75" hidden="false" customHeight="true" outlineLevel="0" collapsed="false">
      <c r="B35" s="3" t="s">
        <v>54</v>
      </c>
      <c r="C35" s="4" t="s">
        <v>55</v>
      </c>
    </row>
    <row r="36" customFormat="false" ht="21.75" hidden="false" customHeight="true" outlineLevel="0" collapsed="false">
      <c r="B36" s="3" t="s">
        <v>56</v>
      </c>
      <c r="C36" s="4" t="s">
        <v>57</v>
      </c>
    </row>
  </sheetData>
  <mergeCells count="4">
    <mergeCell ref="B2:C2"/>
    <mergeCell ref="B3:C3"/>
    <mergeCell ref="B17:C17"/>
    <mergeCell ref="B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11"/>
    <col collapsed="false" customWidth="true" hidden="false" outlineLevel="0" max="4" min="4" style="0" width="10"/>
    <col collapsed="false" customWidth="true" hidden="false" outlineLevel="0" max="6" min="5" style="0" width="8"/>
    <col collapsed="false" customWidth="true" hidden="false" outlineLevel="0" max="7" min="7" style="0" width="6"/>
    <col collapsed="false" customWidth="true" hidden="false" outlineLevel="0" max="8" min="8" style="0" width="12"/>
    <col collapsed="false" customWidth="true" hidden="false" outlineLevel="0" max="9" min="9" style="0" width="34"/>
    <col collapsed="false" customWidth="true" hidden="false" outlineLevel="0" max="10" min="10" style="0" width="88"/>
    <col collapsed="false" customWidth="true" hidden="false" outlineLevel="0" max="11" min="11" style="0" width="16"/>
    <col collapsed="false" customWidth="true" hidden="false" outlineLevel="0" max="12" min="12" style="0" width="30"/>
    <col collapsed="false" customWidth="true" hidden="false" outlineLevel="0" max="13" min="13" style="0" width="18"/>
    <col collapsed="false" customWidth="true" hidden="false" outlineLevel="0" max="14" min="14" style="0" width="13"/>
    <col collapsed="false" customWidth="true" hidden="false" outlineLevel="0" max="15" min="15" style="0" width="28"/>
    <col collapsed="false" customWidth="true" hidden="false" outlineLevel="0" max="16" min="16" style="0" width="34"/>
  </cols>
  <sheetData>
    <row r="1" customFormat="false" ht="27.75" hidden="false" customHeight="true" outlineLevel="0" collapsed="false">
      <c r="A1" s="7" t="s">
        <v>58</v>
      </c>
      <c r="B1" s="7"/>
      <c r="C1" s="7"/>
      <c r="D1" s="7"/>
      <c r="E1" s="7"/>
      <c r="F1" s="7"/>
      <c r="G1" s="7"/>
      <c r="H1" s="7"/>
      <c r="I1" s="7"/>
      <c r="J1" s="7"/>
      <c r="K1" s="7"/>
      <c r="L1" s="7"/>
      <c r="M1" s="7"/>
      <c r="N1" s="7"/>
      <c r="O1" s="7"/>
      <c r="P1" s="7"/>
    </row>
    <row r="2" customFormat="false" ht="31.5" hidden="false" customHeight="true" outlineLevel="0" collapsed="false">
      <c r="A2" s="8" t="s">
        <v>59</v>
      </c>
      <c r="B2" s="8" t="s">
        <v>60</v>
      </c>
      <c r="C2" s="8" t="s">
        <v>61</v>
      </c>
      <c r="D2" s="8" t="s">
        <v>62</v>
      </c>
      <c r="E2" s="8" t="s">
        <v>63</v>
      </c>
      <c r="F2" s="8" t="s">
        <v>64</v>
      </c>
      <c r="G2" s="8" t="s">
        <v>65</v>
      </c>
      <c r="H2" s="8" t="s">
        <v>66</v>
      </c>
      <c r="I2" s="8" t="s">
        <v>67</v>
      </c>
      <c r="J2" s="8" t="s">
        <v>68</v>
      </c>
      <c r="K2" s="8" t="s">
        <v>69</v>
      </c>
      <c r="L2" s="8" t="s">
        <v>70</v>
      </c>
      <c r="M2" s="8" t="s">
        <v>71</v>
      </c>
      <c r="N2" s="8" t="s">
        <v>72</v>
      </c>
      <c r="O2" s="8" t="s">
        <v>73</v>
      </c>
      <c r="P2" s="8" t="s">
        <v>74</v>
      </c>
    </row>
    <row r="3" customFormat="false" ht="30" hidden="false" customHeight="true" outlineLevel="0" collapsed="false">
      <c r="A3" s="9" t="s">
        <v>75</v>
      </c>
      <c r="B3" s="9"/>
      <c r="C3" s="9"/>
      <c r="D3" s="9"/>
      <c r="E3" s="9"/>
      <c r="F3" s="9"/>
      <c r="G3" s="9"/>
      <c r="H3" s="9"/>
      <c r="I3" s="9"/>
      <c r="J3" s="9"/>
      <c r="K3" s="9"/>
      <c r="L3" s="9"/>
      <c r="M3" s="9"/>
      <c r="N3" s="9"/>
      <c r="O3" s="9"/>
      <c r="P3" s="9"/>
    </row>
    <row r="4" customFormat="false" ht="48" hidden="false" customHeight="true" outlineLevel="0" collapsed="false">
      <c r="A4" s="10" t="n">
        <v>2</v>
      </c>
      <c r="B4" s="10" t="n">
        <v>3</v>
      </c>
      <c r="C4" s="10" t="s">
        <v>76</v>
      </c>
      <c r="D4" s="10" t="s">
        <v>77</v>
      </c>
      <c r="E4" s="10" t="s">
        <v>78</v>
      </c>
      <c r="F4" s="10" t="s">
        <v>79</v>
      </c>
      <c r="G4" s="10" t="n">
        <v>5</v>
      </c>
      <c r="H4" s="11" t="s">
        <v>80</v>
      </c>
      <c r="I4" s="12" t="s">
        <v>81</v>
      </c>
      <c r="J4" s="13" t="s">
        <v>82</v>
      </c>
      <c r="K4" s="10" t="s">
        <v>83</v>
      </c>
      <c r="L4" s="13" t="s">
        <v>84</v>
      </c>
      <c r="M4" s="13" t="s">
        <v>85</v>
      </c>
      <c r="N4" s="13" t="s">
        <v>86</v>
      </c>
      <c r="O4" s="13" t="s">
        <v>87</v>
      </c>
      <c r="P4" s="13" t="s">
        <v>88</v>
      </c>
    </row>
    <row r="5" customFormat="false" ht="48" hidden="false" customHeight="true" outlineLevel="0" collapsed="false">
      <c r="A5" s="10" t="n">
        <v>2</v>
      </c>
      <c r="B5" s="10" t="n">
        <v>3</v>
      </c>
      <c r="C5" s="10" t="s">
        <v>76</v>
      </c>
      <c r="D5" s="10" t="s">
        <v>77</v>
      </c>
      <c r="E5" s="10" t="s">
        <v>79</v>
      </c>
      <c r="F5" s="10" t="s">
        <v>89</v>
      </c>
      <c r="G5" s="10" t="n">
        <v>10</v>
      </c>
      <c r="H5" s="14" t="s">
        <v>90</v>
      </c>
      <c r="I5" s="15" t="s">
        <v>91</v>
      </c>
      <c r="J5" s="13" t="s">
        <v>92</v>
      </c>
      <c r="K5" s="16" t="s">
        <v>25</v>
      </c>
      <c r="L5" s="13" t="s">
        <v>93</v>
      </c>
      <c r="M5" s="13" t="s">
        <v>85</v>
      </c>
      <c r="N5" s="13" t="s">
        <v>8</v>
      </c>
      <c r="O5" s="13" t="s">
        <v>94</v>
      </c>
      <c r="P5" s="13" t="s">
        <v>95</v>
      </c>
    </row>
    <row r="6" customFormat="false" ht="48" hidden="false" customHeight="true" outlineLevel="0" collapsed="false">
      <c r="A6" s="10" t="n">
        <v>2</v>
      </c>
      <c r="B6" s="10" t="n">
        <v>3</v>
      </c>
      <c r="C6" s="10" t="s">
        <v>76</v>
      </c>
      <c r="D6" s="10" t="s">
        <v>77</v>
      </c>
      <c r="E6" s="10" t="s">
        <v>89</v>
      </c>
      <c r="F6" s="10" t="s">
        <v>96</v>
      </c>
      <c r="G6" s="10" t="n">
        <v>25</v>
      </c>
      <c r="H6" s="14" t="s">
        <v>90</v>
      </c>
      <c r="I6" s="15" t="s">
        <v>97</v>
      </c>
      <c r="J6" s="13" t="s">
        <v>98</v>
      </c>
      <c r="K6" s="16" t="s">
        <v>25</v>
      </c>
      <c r="L6" s="13" t="s">
        <v>99</v>
      </c>
      <c r="M6" s="13" t="s">
        <v>100</v>
      </c>
      <c r="N6" s="13" t="s">
        <v>101</v>
      </c>
      <c r="O6" s="13" t="s">
        <v>102</v>
      </c>
      <c r="P6" s="13" t="s">
        <v>103</v>
      </c>
    </row>
    <row r="7" customFormat="false" ht="48" hidden="false" customHeight="true" outlineLevel="0" collapsed="false">
      <c r="A7" s="10" t="n">
        <v>2</v>
      </c>
      <c r="B7" s="10" t="n">
        <v>3</v>
      </c>
      <c r="C7" s="10" t="s">
        <v>76</v>
      </c>
      <c r="D7" s="10" t="s">
        <v>77</v>
      </c>
      <c r="E7" s="10" t="s">
        <v>96</v>
      </c>
      <c r="F7" s="10" t="s">
        <v>104</v>
      </c>
      <c r="G7" s="10" t="n">
        <v>10</v>
      </c>
      <c r="H7" s="14" t="s">
        <v>90</v>
      </c>
      <c r="I7" s="15" t="s">
        <v>105</v>
      </c>
      <c r="J7" s="13" t="s">
        <v>106</v>
      </c>
      <c r="K7" s="16" t="s">
        <v>25</v>
      </c>
      <c r="L7" s="13" t="s">
        <v>107</v>
      </c>
      <c r="M7" s="13" t="s">
        <v>85</v>
      </c>
      <c r="N7" s="13" t="s">
        <v>8</v>
      </c>
      <c r="O7" s="13" t="s">
        <v>108</v>
      </c>
      <c r="P7" s="13" t="s">
        <v>109</v>
      </c>
    </row>
    <row r="8" customFormat="false" ht="48" hidden="false" customHeight="true" outlineLevel="0" collapsed="false">
      <c r="A8" s="10" t="n">
        <v>2</v>
      </c>
      <c r="B8" s="10" t="n">
        <v>3</v>
      </c>
      <c r="C8" s="10" t="s">
        <v>76</v>
      </c>
      <c r="D8" s="10" t="s">
        <v>77</v>
      </c>
      <c r="E8" s="10" t="s">
        <v>104</v>
      </c>
      <c r="F8" s="10" t="s">
        <v>110</v>
      </c>
      <c r="G8" s="10" t="n">
        <v>25</v>
      </c>
      <c r="H8" s="14" t="s">
        <v>90</v>
      </c>
      <c r="I8" s="15" t="s">
        <v>111</v>
      </c>
      <c r="J8" s="13" t="s">
        <v>112</v>
      </c>
      <c r="K8" s="16" t="s">
        <v>25</v>
      </c>
      <c r="L8" s="13" t="s">
        <v>113</v>
      </c>
      <c r="M8" s="13" t="s">
        <v>114</v>
      </c>
      <c r="N8" s="13" t="s">
        <v>101</v>
      </c>
      <c r="O8" s="13" t="s">
        <v>102</v>
      </c>
      <c r="P8" s="13" t="s">
        <v>115</v>
      </c>
    </row>
    <row r="9" customFormat="false" ht="48" hidden="false" customHeight="true" outlineLevel="0" collapsed="false">
      <c r="A9" s="10" t="n">
        <v>2</v>
      </c>
      <c r="B9" s="10" t="n">
        <v>3</v>
      </c>
      <c r="C9" s="10" t="s">
        <v>76</v>
      </c>
      <c r="D9" s="10" t="s">
        <v>77</v>
      </c>
      <c r="E9" s="10" t="s">
        <v>110</v>
      </c>
      <c r="F9" s="10" t="s">
        <v>116</v>
      </c>
      <c r="G9" s="10" t="n">
        <v>5</v>
      </c>
      <c r="H9" s="14" t="s">
        <v>90</v>
      </c>
      <c r="I9" s="15" t="s">
        <v>117</v>
      </c>
      <c r="J9" s="13" t="s">
        <v>118</v>
      </c>
      <c r="K9" s="10" t="s">
        <v>83</v>
      </c>
      <c r="L9" s="13" t="s">
        <v>83</v>
      </c>
      <c r="M9" s="13" t="s">
        <v>83</v>
      </c>
      <c r="N9" s="13" t="s">
        <v>83</v>
      </c>
      <c r="O9" s="13" t="s">
        <v>83</v>
      </c>
      <c r="P9" s="13" t="s">
        <v>83</v>
      </c>
    </row>
    <row r="10" customFormat="false" ht="48" hidden="false" customHeight="true" outlineLevel="0" collapsed="false">
      <c r="A10" s="17" t="n">
        <v>2</v>
      </c>
      <c r="B10" s="17" t="n">
        <v>3</v>
      </c>
      <c r="C10" s="17" t="s">
        <v>76</v>
      </c>
      <c r="D10" s="17" t="s">
        <v>77</v>
      </c>
      <c r="E10" s="17" t="s">
        <v>116</v>
      </c>
      <c r="F10" s="17" t="s">
        <v>119</v>
      </c>
      <c r="G10" s="17" t="n">
        <v>40</v>
      </c>
      <c r="H10" s="18" t="s">
        <v>90</v>
      </c>
      <c r="I10" s="19" t="s">
        <v>120</v>
      </c>
      <c r="J10" s="18" t="s">
        <v>121</v>
      </c>
      <c r="K10" s="20" t="s">
        <v>25</v>
      </c>
      <c r="L10" s="18" t="s">
        <v>122</v>
      </c>
      <c r="M10" s="18" t="s">
        <v>123</v>
      </c>
      <c r="N10" s="18" t="s">
        <v>101</v>
      </c>
      <c r="O10" s="18" t="s">
        <v>124</v>
      </c>
      <c r="P10" s="18" t="s">
        <v>125</v>
      </c>
    </row>
    <row r="11" customFormat="false" ht="48" hidden="false" customHeight="true" outlineLevel="0" collapsed="false">
      <c r="A11" s="10" t="n">
        <v>2</v>
      </c>
      <c r="B11" s="10" t="n">
        <v>3</v>
      </c>
      <c r="C11" s="10" t="s">
        <v>76</v>
      </c>
      <c r="D11" s="10" t="s">
        <v>77</v>
      </c>
      <c r="E11" s="10" t="s">
        <v>119</v>
      </c>
      <c r="F11" s="10" t="s">
        <v>126</v>
      </c>
      <c r="G11" s="10" t="n">
        <v>15</v>
      </c>
      <c r="H11" s="21" t="s">
        <v>127</v>
      </c>
      <c r="I11" s="22" t="s">
        <v>128</v>
      </c>
      <c r="J11" s="13" t="s">
        <v>129</v>
      </c>
      <c r="K11" s="16" t="s">
        <v>25</v>
      </c>
      <c r="L11" s="13" t="s">
        <v>128</v>
      </c>
      <c r="M11" s="13" t="s">
        <v>85</v>
      </c>
      <c r="N11" s="13" t="s">
        <v>8</v>
      </c>
      <c r="O11" s="13" t="s">
        <v>130</v>
      </c>
      <c r="P11" s="13" t="s">
        <v>131</v>
      </c>
    </row>
    <row r="12" customFormat="false" ht="24" hidden="false" customHeight="true" outlineLevel="0" collapsed="false">
      <c r="A12" s="23" t="s">
        <v>132</v>
      </c>
      <c r="B12" s="23"/>
      <c r="C12" s="23"/>
      <c r="D12" s="23"/>
      <c r="E12" s="23"/>
      <c r="F12" s="23"/>
      <c r="G12" s="23" t="n">
        <f aca="false">SUM(G4:G11)</f>
        <v>135</v>
      </c>
      <c r="H12" s="23"/>
      <c r="I12" s="24" t="s">
        <v>133</v>
      </c>
      <c r="J12" s="24" t="s">
        <v>134</v>
      </c>
      <c r="K12" s="23"/>
      <c r="L12" s="23"/>
      <c r="M12" s="23"/>
      <c r="N12" s="23"/>
      <c r="O12" s="23"/>
      <c r="P12" s="23"/>
    </row>
    <row r="13" customFormat="false" ht="30" hidden="false" customHeight="true" outlineLevel="0" collapsed="false">
      <c r="A13" s="9" t="s">
        <v>135</v>
      </c>
      <c r="B13" s="9"/>
      <c r="C13" s="9"/>
      <c r="D13" s="9"/>
      <c r="E13" s="9"/>
      <c r="F13" s="9"/>
      <c r="G13" s="9"/>
      <c r="H13" s="9"/>
      <c r="I13" s="9"/>
      <c r="J13" s="9"/>
      <c r="K13" s="9"/>
      <c r="L13" s="9"/>
      <c r="M13" s="9"/>
      <c r="N13" s="9"/>
      <c r="O13" s="9"/>
      <c r="P13" s="9"/>
    </row>
    <row r="14" customFormat="false" ht="48" hidden="false" customHeight="true" outlineLevel="0" collapsed="false">
      <c r="A14" s="10" t="n">
        <v>2</v>
      </c>
      <c r="B14" s="10" t="n">
        <v>4</v>
      </c>
      <c r="C14" s="10" t="s">
        <v>136</v>
      </c>
      <c r="D14" s="10" t="s">
        <v>137</v>
      </c>
      <c r="E14" s="10" t="s">
        <v>138</v>
      </c>
      <c r="F14" s="10" t="s">
        <v>139</v>
      </c>
      <c r="G14" s="10" t="n">
        <v>5</v>
      </c>
      <c r="H14" s="11" t="s">
        <v>80</v>
      </c>
      <c r="I14" s="12" t="s">
        <v>140</v>
      </c>
      <c r="J14" s="13" t="s">
        <v>141</v>
      </c>
      <c r="K14" s="10" t="s">
        <v>83</v>
      </c>
      <c r="L14" s="13" t="s">
        <v>142</v>
      </c>
      <c r="M14" s="13" t="s">
        <v>100</v>
      </c>
      <c r="N14" s="13" t="s">
        <v>101</v>
      </c>
      <c r="O14" s="13" t="s">
        <v>108</v>
      </c>
      <c r="P14" s="13" t="s">
        <v>143</v>
      </c>
    </row>
    <row r="15" customFormat="false" ht="48" hidden="false" customHeight="true" outlineLevel="0" collapsed="false">
      <c r="A15" s="10" t="n">
        <v>2</v>
      </c>
      <c r="B15" s="10" t="n">
        <v>4</v>
      </c>
      <c r="C15" s="10" t="s">
        <v>136</v>
      </c>
      <c r="D15" s="10" t="s">
        <v>137</v>
      </c>
      <c r="E15" s="10" t="s">
        <v>139</v>
      </c>
      <c r="F15" s="10" t="s">
        <v>144</v>
      </c>
      <c r="G15" s="10" t="n">
        <v>10</v>
      </c>
      <c r="H15" s="14" t="s">
        <v>90</v>
      </c>
      <c r="I15" s="15" t="s">
        <v>145</v>
      </c>
      <c r="J15" s="13" t="s">
        <v>146</v>
      </c>
      <c r="K15" s="16" t="s">
        <v>25</v>
      </c>
      <c r="L15" s="13" t="s">
        <v>147</v>
      </c>
      <c r="M15" s="13" t="s">
        <v>85</v>
      </c>
      <c r="N15" s="13" t="s">
        <v>8</v>
      </c>
      <c r="O15" s="13" t="s">
        <v>87</v>
      </c>
      <c r="P15" s="13" t="s">
        <v>148</v>
      </c>
    </row>
    <row r="16" customFormat="false" ht="48" hidden="false" customHeight="true" outlineLevel="0" collapsed="false">
      <c r="A16" s="10" t="n">
        <v>2</v>
      </c>
      <c r="B16" s="10" t="n">
        <v>4</v>
      </c>
      <c r="C16" s="10" t="s">
        <v>136</v>
      </c>
      <c r="D16" s="10" t="s">
        <v>137</v>
      </c>
      <c r="E16" s="10" t="s">
        <v>144</v>
      </c>
      <c r="F16" s="10" t="s">
        <v>149</v>
      </c>
      <c r="G16" s="10" t="n">
        <v>25</v>
      </c>
      <c r="H16" s="14" t="s">
        <v>90</v>
      </c>
      <c r="I16" s="15" t="s">
        <v>150</v>
      </c>
      <c r="J16" s="13" t="s">
        <v>151</v>
      </c>
      <c r="K16" s="16" t="s">
        <v>25</v>
      </c>
      <c r="L16" s="13" t="s">
        <v>152</v>
      </c>
      <c r="M16" s="13" t="s">
        <v>123</v>
      </c>
      <c r="N16" s="13" t="s">
        <v>101</v>
      </c>
      <c r="O16" s="13" t="s">
        <v>102</v>
      </c>
      <c r="P16" s="13" t="s">
        <v>153</v>
      </c>
    </row>
    <row r="17" customFormat="false" ht="48" hidden="false" customHeight="true" outlineLevel="0" collapsed="false">
      <c r="A17" s="10" t="n">
        <v>2</v>
      </c>
      <c r="B17" s="10" t="n">
        <v>4</v>
      </c>
      <c r="C17" s="10" t="s">
        <v>136</v>
      </c>
      <c r="D17" s="10" t="s">
        <v>137</v>
      </c>
      <c r="E17" s="10" t="s">
        <v>149</v>
      </c>
      <c r="F17" s="10" t="s">
        <v>126</v>
      </c>
      <c r="G17" s="10" t="n">
        <v>5</v>
      </c>
      <c r="H17" s="21" t="s">
        <v>127</v>
      </c>
      <c r="I17" s="22" t="s">
        <v>154</v>
      </c>
      <c r="J17" s="13" t="s">
        <v>155</v>
      </c>
      <c r="K17" s="16" t="s">
        <v>25</v>
      </c>
      <c r="L17" s="13" t="s">
        <v>156</v>
      </c>
      <c r="M17" s="13" t="s">
        <v>85</v>
      </c>
      <c r="N17" s="13" t="s">
        <v>86</v>
      </c>
      <c r="O17" s="13" t="s">
        <v>87</v>
      </c>
      <c r="P17" s="13" t="s">
        <v>157</v>
      </c>
    </row>
    <row r="18" customFormat="false" ht="24" hidden="false" customHeight="true" outlineLevel="0" collapsed="false">
      <c r="A18" s="23" t="s">
        <v>132</v>
      </c>
      <c r="B18" s="23"/>
      <c r="C18" s="23"/>
      <c r="D18" s="23"/>
      <c r="E18" s="23"/>
      <c r="F18" s="23"/>
      <c r="G18" s="23" t="n">
        <f aca="false">SUM(G14:G17)</f>
        <v>45</v>
      </c>
      <c r="H18" s="23"/>
      <c r="I18" s="24" t="s">
        <v>158</v>
      </c>
      <c r="J18" s="24" t="s">
        <v>159</v>
      </c>
      <c r="K18" s="23"/>
      <c r="L18" s="23"/>
      <c r="M18" s="23"/>
      <c r="N18" s="23"/>
      <c r="O18" s="23"/>
      <c r="P18" s="23"/>
    </row>
    <row r="19" customFormat="false" ht="30" hidden="false" customHeight="true" outlineLevel="0" collapsed="false">
      <c r="A19" s="9" t="s">
        <v>160</v>
      </c>
      <c r="B19" s="9"/>
      <c r="C19" s="9"/>
      <c r="D19" s="9"/>
      <c r="E19" s="9"/>
      <c r="F19" s="9"/>
      <c r="G19" s="9"/>
      <c r="H19" s="9"/>
      <c r="I19" s="9"/>
      <c r="J19" s="9"/>
      <c r="K19" s="9"/>
      <c r="L19" s="9"/>
      <c r="M19" s="9"/>
      <c r="N19" s="9"/>
      <c r="O19" s="9"/>
      <c r="P19" s="9"/>
    </row>
    <row r="20" customFormat="false" ht="48" hidden="false" customHeight="true" outlineLevel="0" collapsed="false">
      <c r="A20" s="10" t="n">
        <v>3</v>
      </c>
      <c r="B20" s="10" t="n">
        <v>5</v>
      </c>
      <c r="C20" s="10" t="s">
        <v>161</v>
      </c>
      <c r="D20" s="10" t="s">
        <v>77</v>
      </c>
      <c r="E20" s="10" t="s">
        <v>78</v>
      </c>
      <c r="F20" s="10" t="s">
        <v>79</v>
      </c>
      <c r="G20" s="10" t="n">
        <v>5</v>
      </c>
      <c r="H20" s="11" t="s">
        <v>80</v>
      </c>
      <c r="I20" s="12" t="s">
        <v>162</v>
      </c>
      <c r="J20" s="13" t="s">
        <v>163</v>
      </c>
      <c r="K20" s="10" t="s">
        <v>83</v>
      </c>
      <c r="L20" s="13" t="s">
        <v>162</v>
      </c>
      <c r="M20" s="13" t="s">
        <v>100</v>
      </c>
      <c r="N20" s="13" t="s">
        <v>101</v>
      </c>
      <c r="O20" s="13" t="s">
        <v>108</v>
      </c>
      <c r="P20" s="13" t="s">
        <v>143</v>
      </c>
    </row>
    <row r="21" customFormat="false" ht="48" hidden="false" customHeight="true" outlineLevel="0" collapsed="false">
      <c r="A21" s="10" t="n">
        <v>3</v>
      </c>
      <c r="B21" s="10" t="n">
        <v>5</v>
      </c>
      <c r="C21" s="10" t="s">
        <v>161</v>
      </c>
      <c r="D21" s="10" t="s">
        <v>77</v>
      </c>
      <c r="E21" s="10" t="s">
        <v>79</v>
      </c>
      <c r="F21" s="10" t="s">
        <v>89</v>
      </c>
      <c r="G21" s="10" t="n">
        <v>10</v>
      </c>
      <c r="H21" s="14" t="s">
        <v>90</v>
      </c>
      <c r="I21" s="15" t="s">
        <v>164</v>
      </c>
      <c r="J21" s="13" t="s">
        <v>165</v>
      </c>
      <c r="K21" s="16" t="s">
        <v>25</v>
      </c>
      <c r="L21" s="13" t="s">
        <v>166</v>
      </c>
      <c r="M21" s="13" t="s">
        <v>85</v>
      </c>
      <c r="N21" s="13" t="s">
        <v>8</v>
      </c>
      <c r="O21" s="13" t="s">
        <v>94</v>
      </c>
      <c r="P21" s="13" t="s">
        <v>167</v>
      </c>
    </row>
    <row r="22" customFormat="false" ht="48" hidden="false" customHeight="true" outlineLevel="0" collapsed="false">
      <c r="A22" s="10" t="n">
        <v>3</v>
      </c>
      <c r="B22" s="10" t="n">
        <v>5</v>
      </c>
      <c r="C22" s="10" t="s">
        <v>161</v>
      </c>
      <c r="D22" s="10" t="s">
        <v>77</v>
      </c>
      <c r="E22" s="10" t="s">
        <v>89</v>
      </c>
      <c r="F22" s="10" t="s">
        <v>96</v>
      </c>
      <c r="G22" s="10" t="n">
        <v>25</v>
      </c>
      <c r="H22" s="14" t="s">
        <v>90</v>
      </c>
      <c r="I22" s="15" t="s">
        <v>168</v>
      </c>
      <c r="J22" s="13" t="s">
        <v>169</v>
      </c>
      <c r="K22" s="16" t="s">
        <v>25</v>
      </c>
      <c r="L22" s="13" t="s">
        <v>170</v>
      </c>
      <c r="M22" s="13" t="s">
        <v>100</v>
      </c>
      <c r="N22" s="13" t="s">
        <v>101</v>
      </c>
      <c r="O22" s="13" t="s">
        <v>102</v>
      </c>
      <c r="P22" s="13" t="s">
        <v>171</v>
      </c>
    </row>
    <row r="23" customFormat="false" ht="48" hidden="false" customHeight="true" outlineLevel="0" collapsed="false">
      <c r="A23" s="10" t="n">
        <v>3</v>
      </c>
      <c r="B23" s="10" t="n">
        <v>5</v>
      </c>
      <c r="C23" s="10" t="s">
        <v>161</v>
      </c>
      <c r="D23" s="10" t="s">
        <v>77</v>
      </c>
      <c r="E23" s="10" t="s">
        <v>96</v>
      </c>
      <c r="F23" s="10" t="s">
        <v>104</v>
      </c>
      <c r="G23" s="10" t="n">
        <v>10</v>
      </c>
      <c r="H23" s="14" t="s">
        <v>90</v>
      </c>
      <c r="I23" s="15" t="s">
        <v>172</v>
      </c>
      <c r="J23" s="13" t="s">
        <v>173</v>
      </c>
      <c r="K23" s="16" t="s">
        <v>25</v>
      </c>
      <c r="L23" s="13" t="s">
        <v>174</v>
      </c>
      <c r="M23" s="13" t="s">
        <v>85</v>
      </c>
      <c r="N23" s="13" t="s">
        <v>8</v>
      </c>
      <c r="O23" s="13" t="s">
        <v>87</v>
      </c>
      <c r="P23" s="13" t="s">
        <v>175</v>
      </c>
    </row>
    <row r="24" customFormat="false" ht="48" hidden="false" customHeight="true" outlineLevel="0" collapsed="false">
      <c r="A24" s="10" t="n">
        <v>3</v>
      </c>
      <c r="B24" s="10" t="n">
        <v>5</v>
      </c>
      <c r="C24" s="10" t="s">
        <v>161</v>
      </c>
      <c r="D24" s="10" t="s">
        <v>77</v>
      </c>
      <c r="E24" s="10" t="s">
        <v>104</v>
      </c>
      <c r="F24" s="10" t="s">
        <v>110</v>
      </c>
      <c r="G24" s="10" t="n">
        <v>25</v>
      </c>
      <c r="H24" s="14" t="s">
        <v>90</v>
      </c>
      <c r="I24" s="15" t="s">
        <v>176</v>
      </c>
      <c r="J24" s="13" t="s">
        <v>177</v>
      </c>
      <c r="K24" s="16" t="s">
        <v>25</v>
      </c>
      <c r="L24" s="13" t="s">
        <v>178</v>
      </c>
      <c r="M24" s="13" t="s">
        <v>114</v>
      </c>
      <c r="N24" s="13" t="s">
        <v>101</v>
      </c>
      <c r="O24" s="13" t="s">
        <v>102</v>
      </c>
      <c r="P24" s="13" t="s">
        <v>179</v>
      </c>
    </row>
    <row r="25" customFormat="false" ht="48" hidden="false" customHeight="true" outlineLevel="0" collapsed="false">
      <c r="A25" s="10" t="n">
        <v>3</v>
      </c>
      <c r="B25" s="10" t="n">
        <v>5</v>
      </c>
      <c r="C25" s="10" t="s">
        <v>161</v>
      </c>
      <c r="D25" s="10" t="s">
        <v>77</v>
      </c>
      <c r="E25" s="10" t="s">
        <v>110</v>
      </c>
      <c r="F25" s="10" t="s">
        <v>116</v>
      </c>
      <c r="G25" s="10" t="n">
        <v>5</v>
      </c>
      <c r="H25" s="14" t="s">
        <v>90</v>
      </c>
      <c r="I25" s="15" t="s">
        <v>117</v>
      </c>
      <c r="J25" s="13" t="s">
        <v>180</v>
      </c>
      <c r="K25" s="10" t="s">
        <v>83</v>
      </c>
      <c r="L25" s="13" t="s">
        <v>83</v>
      </c>
      <c r="M25" s="13" t="s">
        <v>83</v>
      </c>
      <c r="N25" s="13" t="s">
        <v>83</v>
      </c>
      <c r="O25" s="13" t="s">
        <v>83</v>
      </c>
      <c r="P25" s="13" t="s">
        <v>83</v>
      </c>
    </row>
    <row r="26" customFormat="false" ht="48" hidden="false" customHeight="true" outlineLevel="0" collapsed="false">
      <c r="A26" s="17" t="n">
        <v>3</v>
      </c>
      <c r="B26" s="17" t="n">
        <v>5</v>
      </c>
      <c r="C26" s="17" t="s">
        <v>161</v>
      </c>
      <c r="D26" s="17" t="s">
        <v>77</v>
      </c>
      <c r="E26" s="17" t="s">
        <v>116</v>
      </c>
      <c r="F26" s="17" t="s">
        <v>119</v>
      </c>
      <c r="G26" s="17" t="n">
        <v>40</v>
      </c>
      <c r="H26" s="18" t="s">
        <v>90</v>
      </c>
      <c r="I26" s="19" t="s">
        <v>181</v>
      </c>
      <c r="J26" s="18" t="s">
        <v>182</v>
      </c>
      <c r="K26" s="20" t="s">
        <v>25</v>
      </c>
      <c r="L26" s="18" t="s">
        <v>183</v>
      </c>
      <c r="M26" s="18" t="s">
        <v>123</v>
      </c>
      <c r="N26" s="18" t="s">
        <v>101</v>
      </c>
      <c r="O26" s="18" t="s">
        <v>184</v>
      </c>
      <c r="P26" s="18" t="s">
        <v>185</v>
      </c>
    </row>
    <row r="27" customFormat="false" ht="48" hidden="false" customHeight="true" outlineLevel="0" collapsed="false">
      <c r="A27" s="10" t="n">
        <v>3</v>
      </c>
      <c r="B27" s="10" t="n">
        <v>5</v>
      </c>
      <c r="C27" s="10" t="s">
        <v>161</v>
      </c>
      <c r="D27" s="10" t="s">
        <v>77</v>
      </c>
      <c r="E27" s="10" t="s">
        <v>119</v>
      </c>
      <c r="F27" s="10" t="s">
        <v>126</v>
      </c>
      <c r="G27" s="10" t="n">
        <v>15</v>
      </c>
      <c r="H27" s="21" t="s">
        <v>127</v>
      </c>
      <c r="I27" s="22" t="s">
        <v>186</v>
      </c>
      <c r="J27" s="13" t="s">
        <v>187</v>
      </c>
      <c r="K27" s="16" t="s">
        <v>25</v>
      </c>
      <c r="L27" s="13" t="s">
        <v>188</v>
      </c>
      <c r="M27" s="13" t="s">
        <v>85</v>
      </c>
      <c r="N27" s="13" t="s">
        <v>86</v>
      </c>
      <c r="O27" s="13" t="s">
        <v>108</v>
      </c>
      <c r="P27" s="13" t="s">
        <v>189</v>
      </c>
    </row>
    <row r="28" customFormat="false" ht="24" hidden="false" customHeight="true" outlineLevel="0" collapsed="false">
      <c r="A28" s="23" t="s">
        <v>132</v>
      </c>
      <c r="B28" s="23"/>
      <c r="C28" s="23"/>
      <c r="D28" s="23"/>
      <c r="E28" s="23"/>
      <c r="F28" s="23"/>
      <c r="G28" s="23" t="n">
        <f aca="false">SUM(G20:G27)</f>
        <v>135</v>
      </c>
      <c r="H28" s="23"/>
      <c r="I28" s="24" t="s">
        <v>190</v>
      </c>
      <c r="J28" s="24" t="s">
        <v>134</v>
      </c>
      <c r="K28" s="23"/>
      <c r="L28" s="23"/>
      <c r="M28" s="23"/>
      <c r="N28" s="23"/>
      <c r="O28" s="23"/>
      <c r="P28" s="23"/>
    </row>
    <row r="29" customFormat="false" ht="30" hidden="false" customHeight="true" outlineLevel="0" collapsed="false">
      <c r="A29" s="9" t="s">
        <v>191</v>
      </c>
      <c r="B29" s="9"/>
      <c r="C29" s="9"/>
      <c r="D29" s="9"/>
      <c r="E29" s="9"/>
      <c r="F29" s="9"/>
      <c r="G29" s="9"/>
      <c r="H29" s="9"/>
      <c r="I29" s="9"/>
      <c r="J29" s="9"/>
      <c r="K29" s="9"/>
      <c r="L29" s="9"/>
      <c r="M29" s="9"/>
      <c r="N29" s="9"/>
      <c r="O29" s="9"/>
      <c r="P29" s="9"/>
    </row>
    <row r="30" customFormat="false" ht="48" hidden="false" customHeight="true" outlineLevel="0" collapsed="false">
      <c r="A30" s="10" t="n">
        <v>3</v>
      </c>
      <c r="B30" s="10" t="n">
        <v>6</v>
      </c>
      <c r="C30" s="10" t="s">
        <v>192</v>
      </c>
      <c r="D30" s="10" t="s">
        <v>137</v>
      </c>
      <c r="E30" s="10" t="s">
        <v>138</v>
      </c>
      <c r="F30" s="10" t="s">
        <v>139</v>
      </c>
      <c r="G30" s="10" t="n">
        <v>5</v>
      </c>
      <c r="H30" s="11" t="s">
        <v>80</v>
      </c>
      <c r="I30" s="12" t="s">
        <v>140</v>
      </c>
      <c r="J30" s="13" t="s">
        <v>193</v>
      </c>
      <c r="K30" s="10" t="s">
        <v>83</v>
      </c>
      <c r="L30" s="13" t="s">
        <v>142</v>
      </c>
      <c r="M30" s="13" t="s">
        <v>100</v>
      </c>
      <c r="N30" s="13" t="s">
        <v>101</v>
      </c>
      <c r="O30" s="13" t="s">
        <v>108</v>
      </c>
      <c r="P30" s="13" t="s">
        <v>143</v>
      </c>
    </row>
    <row r="31" customFormat="false" ht="48" hidden="false" customHeight="true" outlineLevel="0" collapsed="false">
      <c r="A31" s="10" t="n">
        <v>3</v>
      </c>
      <c r="B31" s="10" t="n">
        <v>6</v>
      </c>
      <c r="C31" s="10" t="s">
        <v>192</v>
      </c>
      <c r="D31" s="10" t="s">
        <v>137</v>
      </c>
      <c r="E31" s="10" t="s">
        <v>139</v>
      </c>
      <c r="F31" s="10" t="s">
        <v>144</v>
      </c>
      <c r="G31" s="10" t="n">
        <v>10</v>
      </c>
      <c r="H31" s="14" t="s">
        <v>90</v>
      </c>
      <c r="I31" s="15" t="s">
        <v>194</v>
      </c>
      <c r="J31" s="13" t="s">
        <v>195</v>
      </c>
      <c r="K31" s="16" t="s">
        <v>25</v>
      </c>
      <c r="L31" s="13" t="s">
        <v>196</v>
      </c>
      <c r="M31" s="13" t="s">
        <v>85</v>
      </c>
      <c r="N31" s="13" t="s">
        <v>8</v>
      </c>
      <c r="O31" s="13" t="s">
        <v>87</v>
      </c>
      <c r="P31" s="13" t="s">
        <v>197</v>
      </c>
    </row>
    <row r="32" customFormat="false" ht="48" hidden="false" customHeight="true" outlineLevel="0" collapsed="false">
      <c r="A32" s="10" t="n">
        <v>3</v>
      </c>
      <c r="B32" s="10" t="n">
        <v>6</v>
      </c>
      <c r="C32" s="10" t="s">
        <v>192</v>
      </c>
      <c r="D32" s="10" t="s">
        <v>137</v>
      </c>
      <c r="E32" s="10" t="s">
        <v>144</v>
      </c>
      <c r="F32" s="10" t="s">
        <v>149</v>
      </c>
      <c r="G32" s="10" t="n">
        <v>25</v>
      </c>
      <c r="H32" s="14" t="s">
        <v>90</v>
      </c>
      <c r="I32" s="15" t="s">
        <v>198</v>
      </c>
      <c r="J32" s="13" t="s">
        <v>199</v>
      </c>
      <c r="K32" s="16" t="s">
        <v>25</v>
      </c>
      <c r="L32" s="13" t="s">
        <v>200</v>
      </c>
      <c r="M32" s="13" t="s">
        <v>100</v>
      </c>
      <c r="N32" s="13" t="s">
        <v>101</v>
      </c>
      <c r="O32" s="13" t="s">
        <v>102</v>
      </c>
      <c r="P32" s="13" t="s">
        <v>201</v>
      </c>
    </row>
    <row r="33" customFormat="false" ht="48" hidden="false" customHeight="true" outlineLevel="0" collapsed="false">
      <c r="A33" s="10" t="n">
        <v>3</v>
      </c>
      <c r="B33" s="10" t="n">
        <v>6</v>
      </c>
      <c r="C33" s="10" t="s">
        <v>192</v>
      </c>
      <c r="D33" s="10" t="s">
        <v>137</v>
      </c>
      <c r="E33" s="10" t="s">
        <v>149</v>
      </c>
      <c r="F33" s="10" t="s">
        <v>126</v>
      </c>
      <c r="G33" s="10" t="n">
        <v>5</v>
      </c>
      <c r="H33" s="21" t="s">
        <v>127</v>
      </c>
      <c r="I33" s="22" t="s">
        <v>202</v>
      </c>
      <c r="J33" s="13" t="s">
        <v>203</v>
      </c>
      <c r="K33" s="16" t="s">
        <v>25</v>
      </c>
      <c r="L33" s="13" t="s">
        <v>202</v>
      </c>
      <c r="M33" s="13" t="s">
        <v>100</v>
      </c>
      <c r="N33" s="13" t="s">
        <v>101</v>
      </c>
      <c r="O33" s="13" t="s">
        <v>204</v>
      </c>
      <c r="P33" s="13" t="s">
        <v>205</v>
      </c>
    </row>
    <row r="34" customFormat="false" ht="24" hidden="false" customHeight="true" outlineLevel="0" collapsed="false">
      <c r="A34" s="23" t="s">
        <v>132</v>
      </c>
      <c r="B34" s="23"/>
      <c r="C34" s="23"/>
      <c r="D34" s="23"/>
      <c r="E34" s="23"/>
      <c r="F34" s="23"/>
      <c r="G34" s="23" t="n">
        <f aca="false">SUM(G30:G33)</f>
        <v>45</v>
      </c>
      <c r="H34" s="23"/>
      <c r="I34" s="24" t="s">
        <v>206</v>
      </c>
      <c r="J34" s="24" t="s">
        <v>207</v>
      </c>
      <c r="K34" s="23"/>
      <c r="L34" s="23"/>
      <c r="M34" s="23"/>
      <c r="N34" s="23"/>
      <c r="O34" s="23"/>
      <c r="P34" s="23"/>
    </row>
    <row r="35" customFormat="false" ht="30" hidden="false" customHeight="true" outlineLevel="0" collapsed="false">
      <c r="A35" s="9" t="s">
        <v>208</v>
      </c>
      <c r="B35" s="9"/>
      <c r="C35" s="9"/>
      <c r="D35" s="9"/>
      <c r="E35" s="9"/>
      <c r="F35" s="9"/>
      <c r="G35" s="9"/>
      <c r="H35" s="9"/>
      <c r="I35" s="9"/>
      <c r="J35" s="9"/>
      <c r="K35" s="9"/>
      <c r="L35" s="9"/>
      <c r="M35" s="9"/>
      <c r="N35" s="9"/>
      <c r="O35" s="9"/>
      <c r="P35" s="9"/>
    </row>
    <row r="36" customFormat="false" ht="48" hidden="false" customHeight="true" outlineLevel="0" collapsed="false">
      <c r="A36" s="10" t="n">
        <v>4</v>
      </c>
      <c r="B36" s="10" t="n">
        <v>7</v>
      </c>
      <c r="C36" s="10" t="s">
        <v>209</v>
      </c>
      <c r="D36" s="10" t="s">
        <v>77</v>
      </c>
      <c r="E36" s="10" t="s">
        <v>78</v>
      </c>
      <c r="F36" s="10" t="s">
        <v>79</v>
      </c>
      <c r="G36" s="10" t="n">
        <v>5</v>
      </c>
      <c r="H36" s="11" t="s">
        <v>80</v>
      </c>
      <c r="I36" s="12" t="s">
        <v>162</v>
      </c>
      <c r="J36" s="13" t="s">
        <v>210</v>
      </c>
      <c r="K36" s="10" t="s">
        <v>83</v>
      </c>
      <c r="L36" s="13" t="s">
        <v>211</v>
      </c>
      <c r="M36" s="13" t="s">
        <v>85</v>
      </c>
      <c r="N36" s="13" t="s">
        <v>101</v>
      </c>
      <c r="O36" s="13" t="s">
        <v>108</v>
      </c>
      <c r="P36" s="13" t="s">
        <v>212</v>
      </c>
    </row>
    <row r="37" customFormat="false" ht="48" hidden="false" customHeight="true" outlineLevel="0" collapsed="false">
      <c r="A37" s="10" t="n">
        <v>4</v>
      </c>
      <c r="B37" s="10" t="n">
        <v>7</v>
      </c>
      <c r="C37" s="10" t="s">
        <v>209</v>
      </c>
      <c r="D37" s="10" t="s">
        <v>77</v>
      </c>
      <c r="E37" s="10" t="s">
        <v>79</v>
      </c>
      <c r="F37" s="10" t="s">
        <v>89</v>
      </c>
      <c r="G37" s="10" t="n">
        <v>10</v>
      </c>
      <c r="H37" s="14" t="s">
        <v>90</v>
      </c>
      <c r="I37" s="15" t="s">
        <v>213</v>
      </c>
      <c r="J37" s="13" t="s">
        <v>214</v>
      </c>
      <c r="K37" s="16" t="s">
        <v>25</v>
      </c>
      <c r="L37" s="13" t="s">
        <v>215</v>
      </c>
      <c r="M37" s="13" t="s">
        <v>85</v>
      </c>
      <c r="N37" s="13" t="s">
        <v>8</v>
      </c>
      <c r="O37" s="13" t="s">
        <v>87</v>
      </c>
      <c r="P37" s="13" t="s">
        <v>216</v>
      </c>
    </row>
    <row r="38" customFormat="false" ht="48" hidden="false" customHeight="true" outlineLevel="0" collapsed="false">
      <c r="A38" s="10" t="n">
        <v>4</v>
      </c>
      <c r="B38" s="10" t="n">
        <v>7</v>
      </c>
      <c r="C38" s="10" t="s">
        <v>209</v>
      </c>
      <c r="D38" s="10" t="s">
        <v>77</v>
      </c>
      <c r="E38" s="10" t="s">
        <v>89</v>
      </c>
      <c r="F38" s="10" t="s">
        <v>96</v>
      </c>
      <c r="G38" s="10" t="n">
        <v>25</v>
      </c>
      <c r="H38" s="14" t="s">
        <v>90</v>
      </c>
      <c r="I38" s="15" t="s">
        <v>217</v>
      </c>
      <c r="J38" s="13" t="s">
        <v>218</v>
      </c>
      <c r="K38" s="16" t="s">
        <v>25</v>
      </c>
      <c r="L38" s="13" t="s">
        <v>219</v>
      </c>
      <c r="M38" s="13" t="s">
        <v>100</v>
      </c>
      <c r="N38" s="13" t="s">
        <v>101</v>
      </c>
      <c r="O38" s="13" t="s">
        <v>102</v>
      </c>
      <c r="P38" s="13" t="s">
        <v>220</v>
      </c>
    </row>
    <row r="39" customFormat="false" ht="48" hidden="false" customHeight="true" outlineLevel="0" collapsed="false">
      <c r="A39" s="10" t="n">
        <v>4</v>
      </c>
      <c r="B39" s="10" t="n">
        <v>7</v>
      </c>
      <c r="C39" s="10" t="s">
        <v>209</v>
      </c>
      <c r="D39" s="10" t="s">
        <v>77</v>
      </c>
      <c r="E39" s="10" t="s">
        <v>96</v>
      </c>
      <c r="F39" s="10" t="s">
        <v>104</v>
      </c>
      <c r="G39" s="10" t="n">
        <v>10</v>
      </c>
      <c r="H39" s="14" t="s">
        <v>90</v>
      </c>
      <c r="I39" s="15" t="s">
        <v>221</v>
      </c>
      <c r="J39" s="13" t="s">
        <v>222</v>
      </c>
      <c r="K39" s="16" t="s">
        <v>25</v>
      </c>
      <c r="L39" s="13" t="s">
        <v>223</v>
      </c>
      <c r="M39" s="13" t="s">
        <v>85</v>
      </c>
      <c r="N39" s="13" t="s">
        <v>8</v>
      </c>
      <c r="O39" s="13" t="s">
        <v>108</v>
      </c>
      <c r="P39" s="13" t="s">
        <v>224</v>
      </c>
    </row>
    <row r="40" customFormat="false" ht="48" hidden="false" customHeight="true" outlineLevel="0" collapsed="false">
      <c r="A40" s="10" t="n">
        <v>4</v>
      </c>
      <c r="B40" s="10" t="n">
        <v>7</v>
      </c>
      <c r="C40" s="10" t="s">
        <v>209</v>
      </c>
      <c r="D40" s="10" t="s">
        <v>77</v>
      </c>
      <c r="E40" s="10" t="s">
        <v>104</v>
      </c>
      <c r="F40" s="10" t="s">
        <v>110</v>
      </c>
      <c r="G40" s="10" t="n">
        <v>25</v>
      </c>
      <c r="H40" s="14" t="s">
        <v>90</v>
      </c>
      <c r="I40" s="15" t="s">
        <v>225</v>
      </c>
      <c r="J40" s="13" t="s">
        <v>226</v>
      </c>
      <c r="K40" s="16" t="s">
        <v>25</v>
      </c>
      <c r="L40" s="13" t="s">
        <v>227</v>
      </c>
      <c r="M40" s="13" t="s">
        <v>228</v>
      </c>
      <c r="N40" s="13" t="s">
        <v>101</v>
      </c>
      <c r="O40" s="13" t="s">
        <v>102</v>
      </c>
      <c r="P40" s="13" t="s">
        <v>229</v>
      </c>
    </row>
    <row r="41" customFormat="false" ht="48" hidden="false" customHeight="true" outlineLevel="0" collapsed="false">
      <c r="A41" s="10" t="n">
        <v>4</v>
      </c>
      <c r="B41" s="10" t="n">
        <v>7</v>
      </c>
      <c r="C41" s="10" t="s">
        <v>209</v>
      </c>
      <c r="D41" s="10" t="s">
        <v>77</v>
      </c>
      <c r="E41" s="10" t="s">
        <v>110</v>
      </c>
      <c r="F41" s="10" t="s">
        <v>116</v>
      </c>
      <c r="G41" s="10" t="n">
        <v>5</v>
      </c>
      <c r="H41" s="14" t="s">
        <v>90</v>
      </c>
      <c r="I41" s="15" t="s">
        <v>117</v>
      </c>
      <c r="J41" s="13" t="s">
        <v>180</v>
      </c>
      <c r="K41" s="10" t="s">
        <v>83</v>
      </c>
      <c r="L41" s="13" t="s">
        <v>83</v>
      </c>
      <c r="M41" s="13" t="s">
        <v>83</v>
      </c>
      <c r="N41" s="13" t="s">
        <v>83</v>
      </c>
      <c r="O41" s="13" t="s">
        <v>83</v>
      </c>
      <c r="P41" s="13" t="s">
        <v>83</v>
      </c>
    </row>
    <row r="42" customFormat="false" ht="48" hidden="false" customHeight="true" outlineLevel="0" collapsed="false">
      <c r="A42" s="17" t="n">
        <v>4</v>
      </c>
      <c r="B42" s="17" t="n">
        <v>7</v>
      </c>
      <c r="C42" s="17" t="s">
        <v>209</v>
      </c>
      <c r="D42" s="17" t="s">
        <v>77</v>
      </c>
      <c r="E42" s="17" t="s">
        <v>116</v>
      </c>
      <c r="F42" s="17" t="s">
        <v>119</v>
      </c>
      <c r="G42" s="17" t="n">
        <v>40</v>
      </c>
      <c r="H42" s="18" t="s">
        <v>90</v>
      </c>
      <c r="I42" s="19" t="s">
        <v>230</v>
      </c>
      <c r="J42" s="18" t="s">
        <v>231</v>
      </c>
      <c r="K42" s="20" t="s">
        <v>25</v>
      </c>
      <c r="L42" s="18" t="s">
        <v>183</v>
      </c>
      <c r="M42" s="18" t="s">
        <v>123</v>
      </c>
      <c r="N42" s="18" t="s">
        <v>101</v>
      </c>
      <c r="O42" s="18" t="s">
        <v>184</v>
      </c>
      <c r="P42" s="18" t="s">
        <v>232</v>
      </c>
    </row>
    <row r="43" customFormat="false" ht="48" hidden="false" customHeight="true" outlineLevel="0" collapsed="false">
      <c r="A43" s="10" t="n">
        <v>4</v>
      </c>
      <c r="B43" s="10" t="n">
        <v>7</v>
      </c>
      <c r="C43" s="10" t="s">
        <v>209</v>
      </c>
      <c r="D43" s="10" t="s">
        <v>77</v>
      </c>
      <c r="E43" s="10" t="s">
        <v>119</v>
      </c>
      <c r="F43" s="10" t="s">
        <v>126</v>
      </c>
      <c r="G43" s="10" t="n">
        <v>15</v>
      </c>
      <c r="H43" s="21" t="s">
        <v>127</v>
      </c>
      <c r="I43" s="22" t="s">
        <v>233</v>
      </c>
      <c r="J43" s="13" t="s">
        <v>234</v>
      </c>
      <c r="K43" s="16" t="s">
        <v>25</v>
      </c>
      <c r="L43" s="13" t="s">
        <v>235</v>
      </c>
      <c r="M43" s="13" t="s">
        <v>85</v>
      </c>
      <c r="N43" s="13" t="s">
        <v>86</v>
      </c>
      <c r="O43" s="13" t="s">
        <v>87</v>
      </c>
      <c r="P43" s="13" t="s">
        <v>236</v>
      </c>
    </row>
    <row r="44" customFormat="false" ht="24" hidden="false" customHeight="true" outlineLevel="0" collapsed="false">
      <c r="A44" s="23" t="s">
        <v>132</v>
      </c>
      <c r="B44" s="23"/>
      <c r="C44" s="23"/>
      <c r="D44" s="23"/>
      <c r="E44" s="23"/>
      <c r="F44" s="23"/>
      <c r="G44" s="23" t="n">
        <f aca="false">SUM(G36:G43)</f>
        <v>135</v>
      </c>
      <c r="H44" s="23"/>
      <c r="I44" s="24" t="s">
        <v>237</v>
      </c>
      <c r="J44" s="24" t="s">
        <v>238</v>
      </c>
      <c r="K44" s="23"/>
      <c r="L44" s="23"/>
      <c r="M44" s="23"/>
      <c r="N44" s="23"/>
      <c r="O44" s="23"/>
      <c r="P44" s="23"/>
    </row>
    <row r="45" customFormat="false" ht="30" hidden="false" customHeight="true" outlineLevel="0" collapsed="false">
      <c r="A45" s="9" t="s">
        <v>239</v>
      </c>
      <c r="B45" s="9"/>
      <c r="C45" s="9"/>
      <c r="D45" s="9"/>
      <c r="E45" s="9"/>
      <c r="F45" s="9"/>
      <c r="G45" s="9"/>
      <c r="H45" s="9"/>
      <c r="I45" s="9"/>
      <c r="J45" s="9"/>
      <c r="K45" s="9"/>
      <c r="L45" s="9"/>
      <c r="M45" s="9"/>
      <c r="N45" s="9"/>
      <c r="O45" s="9"/>
      <c r="P45" s="9"/>
    </row>
    <row r="46" customFormat="false" ht="48" hidden="false" customHeight="true" outlineLevel="0" collapsed="false">
      <c r="A46" s="10" t="n">
        <v>4</v>
      </c>
      <c r="B46" s="10" t="n">
        <v>8</v>
      </c>
      <c r="C46" s="10" t="s">
        <v>240</v>
      </c>
      <c r="D46" s="10" t="s">
        <v>137</v>
      </c>
      <c r="E46" s="10" t="s">
        <v>138</v>
      </c>
      <c r="F46" s="10" t="s">
        <v>139</v>
      </c>
      <c r="G46" s="10" t="n">
        <v>5</v>
      </c>
      <c r="H46" s="11" t="s">
        <v>80</v>
      </c>
      <c r="I46" s="12" t="s">
        <v>241</v>
      </c>
      <c r="J46" s="13" t="s">
        <v>242</v>
      </c>
      <c r="K46" s="10" t="s">
        <v>83</v>
      </c>
      <c r="L46" s="13" t="s">
        <v>243</v>
      </c>
      <c r="M46" s="13" t="s">
        <v>85</v>
      </c>
      <c r="N46" s="13" t="s">
        <v>8</v>
      </c>
      <c r="O46" s="13" t="s">
        <v>244</v>
      </c>
      <c r="P46" s="13" t="s">
        <v>245</v>
      </c>
    </row>
    <row r="47" customFormat="false" ht="48" hidden="false" customHeight="true" outlineLevel="0" collapsed="false">
      <c r="A47" s="10" t="n">
        <v>4</v>
      </c>
      <c r="B47" s="10" t="n">
        <v>8</v>
      </c>
      <c r="C47" s="10" t="s">
        <v>240</v>
      </c>
      <c r="D47" s="10" t="s">
        <v>137</v>
      </c>
      <c r="E47" s="10" t="s">
        <v>139</v>
      </c>
      <c r="F47" s="10" t="s">
        <v>246</v>
      </c>
      <c r="G47" s="10" t="n">
        <v>30</v>
      </c>
      <c r="H47" s="14" t="s">
        <v>90</v>
      </c>
      <c r="I47" s="15" t="s">
        <v>247</v>
      </c>
      <c r="J47" s="13" t="s">
        <v>248</v>
      </c>
      <c r="K47" s="16" t="s">
        <v>25</v>
      </c>
      <c r="L47" s="13" t="s">
        <v>249</v>
      </c>
      <c r="M47" s="13" t="s">
        <v>100</v>
      </c>
      <c r="N47" s="13" t="s">
        <v>101</v>
      </c>
      <c r="O47" s="13" t="s">
        <v>250</v>
      </c>
      <c r="P47" s="13" t="s">
        <v>247</v>
      </c>
    </row>
    <row r="48" customFormat="false" ht="48" hidden="false" customHeight="true" outlineLevel="0" collapsed="false">
      <c r="A48" s="10" t="n">
        <v>4</v>
      </c>
      <c r="B48" s="10" t="n">
        <v>8</v>
      </c>
      <c r="C48" s="10" t="s">
        <v>240</v>
      </c>
      <c r="D48" s="10" t="s">
        <v>137</v>
      </c>
      <c r="E48" s="10" t="s">
        <v>246</v>
      </c>
      <c r="F48" s="10" t="s">
        <v>149</v>
      </c>
      <c r="G48" s="10" t="n">
        <v>5</v>
      </c>
      <c r="H48" s="14" t="s">
        <v>90</v>
      </c>
      <c r="I48" s="15" t="s">
        <v>251</v>
      </c>
      <c r="J48" s="13" t="s">
        <v>252</v>
      </c>
      <c r="K48" s="16" t="s">
        <v>25</v>
      </c>
      <c r="L48" s="13" t="s">
        <v>253</v>
      </c>
      <c r="M48" s="13" t="s">
        <v>85</v>
      </c>
      <c r="N48" s="13" t="s">
        <v>86</v>
      </c>
      <c r="O48" s="13" t="s">
        <v>87</v>
      </c>
      <c r="P48" s="13" t="s">
        <v>254</v>
      </c>
    </row>
    <row r="49" customFormat="false" ht="48" hidden="false" customHeight="true" outlineLevel="0" collapsed="false">
      <c r="A49" s="10" t="n">
        <v>4</v>
      </c>
      <c r="B49" s="10" t="n">
        <v>8</v>
      </c>
      <c r="C49" s="10" t="s">
        <v>240</v>
      </c>
      <c r="D49" s="10" t="s">
        <v>137</v>
      </c>
      <c r="E49" s="10" t="s">
        <v>149</v>
      </c>
      <c r="F49" s="10" t="s">
        <v>126</v>
      </c>
      <c r="G49" s="10" t="n">
        <v>5</v>
      </c>
      <c r="H49" s="21" t="s">
        <v>127</v>
      </c>
      <c r="I49" s="22" t="s">
        <v>255</v>
      </c>
      <c r="J49" s="13" t="s">
        <v>256</v>
      </c>
      <c r="K49" s="16" t="s">
        <v>27</v>
      </c>
      <c r="L49" s="13" t="s">
        <v>257</v>
      </c>
      <c r="M49" s="13" t="s">
        <v>85</v>
      </c>
      <c r="N49" s="13" t="s">
        <v>8</v>
      </c>
      <c r="O49" s="13" t="s">
        <v>108</v>
      </c>
      <c r="P49" s="13" t="s">
        <v>131</v>
      </c>
    </row>
    <row r="50" customFormat="false" ht="24" hidden="false" customHeight="true" outlineLevel="0" collapsed="false">
      <c r="A50" s="23" t="s">
        <v>132</v>
      </c>
      <c r="B50" s="23"/>
      <c r="C50" s="23"/>
      <c r="D50" s="23"/>
      <c r="E50" s="23"/>
      <c r="F50" s="23"/>
      <c r="G50" s="23" t="n">
        <f aca="false">SUM(G46:G49)</f>
        <v>45</v>
      </c>
      <c r="H50" s="23"/>
      <c r="I50" s="24" t="s">
        <v>258</v>
      </c>
      <c r="J50" s="24" t="s">
        <v>259</v>
      </c>
      <c r="K50" s="23"/>
      <c r="L50" s="23"/>
      <c r="M50" s="23"/>
      <c r="N50" s="23"/>
      <c r="O50" s="23"/>
      <c r="P50" s="23"/>
    </row>
    <row r="51" customFormat="false" ht="30" hidden="false" customHeight="true" outlineLevel="0" collapsed="false">
      <c r="A51" s="9" t="s">
        <v>260</v>
      </c>
      <c r="B51" s="9"/>
      <c r="C51" s="9"/>
      <c r="D51" s="9"/>
      <c r="E51" s="9"/>
      <c r="F51" s="9"/>
      <c r="G51" s="9"/>
      <c r="H51" s="9"/>
      <c r="I51" s="9"/>
      <c r="J51" s="9"/>
      <c r="K51" s="9"/>
      <c r="L51" s="9"/>
      <c r="M51" s="9"/>
      <c r="N51" s="9"/>
      <c r="O51" s="9"/>
      <c r="P51" s="9"/>
    </row>
    <row r="52" customFormat="false" ht="48" hidden="false" customHeight="true" outlineLevel="0" collapsed="false">
      <c r="A52" s="10" t="n">
        <v>5</v>
      </c>
      <c r="B52" s="10" t="n">
        <v>9</v>
      </c>
      <c r="C52" s="10" t="s">
        <v>261</v>
      </c>
      <c r="D52" s="10" t="s">
        <v>77</v>
      </c>
      <c r="E52" s="10" t="s">
        <v>78</v>
      </c>
      <c r="F52" s="10" t="s">
        <v>79</v>
      </c>
      <c r="G52" s="10" t="n">
        <v>5</v>
      </c>
      <c r="H52" s="11" t="s">
        <v>80</v>
      </c>
      <c r="I52" s="12" t="s">
        <v>140</v>
      </c>
      <c r="J52" s="13" t="s">
        <v>262</v>
      </c>
      <c r="K52" s="10" t="s">
        <v>83</v>
      </c>
      <c r="L52" s="13" t="s">
        <v>263</v>
      </c>
      <c r="M52" s="13" t="s">
        <v>100</v>
      </c>
      <c r="N52" s="13" t="s">
        <v>101</v>
      </c>
      <c r="O52" s="13" t="s">
        <v>108</v>
      </c>
      <c r="P52" s="13" t="s">
        <v>264</v>
      </c>
    </row>
    <row r="53" customFormat="false" ht="48" hidden="false" customHeight="true" outlineLevel="0" collapsed="false">
      <c r="A53" s="10" t="n">
        <v>5</v>
      </c>
      <c r="B53" s="10" t="n">
        <v>9</v>
      </c>
      <c r="C53" s="10" t="s">
        <v>261</v>
      </c>
      <c r="D53" s="10" t="s">
        <v>77</v>
      </c>
      <c r="E53" s="10" t="s">
        <v>79</v>
      </c>
      <c r="F53" s="10" t="s">
        <v>89</v>
      </c>
      <c r="G53" s="10" t="n">
        <v>10</v>
      </c>
      <c r="H53" s="14" t="s">
        <v>90</v>
      </c>
      <c r="I53" s="15" t="s">
        <v>265</v>
      </c>
      <c r="J53" s="13" t="s">
        <v>266</v>
      </c>
      <c r="K53" s="16" t="s">
        <v>25</v>
      </c>
      <c r="L53" s="13" t="s">
        <v>267</v>
      </c>
      <c r="M53" s="13" t="s">
        <v>85</v>
      </c>
      <c r="N53" s="13" t="s">
        <v>8</v>
      </c>
      <c r="O53" s="13" t="s">
        <v>94</v>
      </c>
      <c r="P53" s="13" t="s">
        <v>268</v>
      </c>
    </row>
    <row r="54" customFormat="false" ht="48" hidden="false" customHeight="true" outlineLevel="0" collapsed="false">
      <c r="A54" s="10" t="n">
        <v>5</v>
      </c>
      <c r="B54" s="10" t="n">
        <v>9</v>
      </c>
      <c r="C54" s="10" t="s">
        <v>261</v>
      </c>
      <c r="D54" s="10" t="s">
        <v>77</v>
      </c>
      <c r="E54" s="10" t="s">
        <v>89</v>
      </c>
      <c r="F54" s="10" t="s">
        <v>96</v>
      </c>
      <c r="G54" s="10" t="n">
        <v>25</v>
      </c>
      <c r="H54" s="14" t="s">
        <v>90</v>
      </c>
      <c r="I54" s="15" t="s">
        <v>269</v>
      </c>
      <c r="J54" s="13" t="s">
        <v>270</v>
      </c>
      <c r="K54" s="16" t="s">
        <v>25</v>
      </c>
      <c r="L54" s="13" t="s">
        <v>271</v>
      </c>
      <c r="M54" s="13" t="s">
        <v>100</v>
      </c>
      <c r="N54" s="13" t="s">
        <v>101</v>
      </c>
      <c r="O54" s="13" t="s">
        <v>102</v>
      </c>
      <c r="P54" s="13" t="s">
        <v>272</v>
      </c>
    </row>
    <row r="55" customFormat="false" ht="48" hidden="false" customHeight="true" outlineLevel="0" collapsed="false">
      <c r="A55" s="10" t="n">
        <v>5</v>
      </c>
      <c r="B55" s="10" t="n">
        <v>9</v>
      </c>
      <c r="C55" s="10" t="s">
        <v>261</v>
      </c>
      <c r="D55" s="10" t="s">
        <v>77</v>
      </c>
      <c r="E55" s="10" t="s">
        <v>96</v>
      </c>
      <c r="F55" s="10" t="s">
        <v>104</v>
      </c>
      <c r="G55" s="10" t="n">
        <v>10</v>
      </c>
      <c r="H55" s="14" t="s">
        <v>90</v>
      </c>
      <c r="I55" s="15" t="s">
        <v>273</v>
      </c>
      <c r="J55" s="13" t="s">
        <v>274</v>
      </c>
      <c r="K55" s="16" t="s">
        <v>25</v>
      </c>
      <c r="L55" s="13" t="s">
        <v>147</v>
      </c>
      <c r="M55" s="13" t="s">
        <v>85</v>
      </c>
      <c r="N55" s="13" t="s">
        <v>8</v>
      </c>
      <c r="O55" s="13" t="s">
        <v>108</v>
      </c>
      <c r="P55" s="13" t="s">
        <v>275</v>
      </c>
    </row>
    <row r="56" customFormat="false" ht="48" hidden="false" customHeight="true" outlineLevel="0" collapsed="false">
      <c r="A56" s="10" t="n">
        <v>5</v>
      </c>
      <c r="B56" s="10" t="n">
        <v>9</v>
      </c>
      <c r="C56" s="10" t="s">
        <v>261</v>
      </c>
      <c r="D56" s="10" t="s">
        <v>77</v>
      </c>
      <c r="E56" s="10" t="s">
        <v>104</v>
      </c>
      <c r="F56" s="10" t="s">
        <v>110</v>
      </c>
      <c r="G56" s="10" t="n">
        <v>25</v>
      </c>
      <c r="H56" s="14" t="s">
        <v>90</v>
      </c>
      <c r="I56" s="15" t="s">
        <v>276</v>
      </c>
      <c r="J56" s="13" t="s">
        <v>277</v>
      </c>
      <c r="K56" s="16" t="s">
        <v>25</v>
      </c>
      <c r="L56" s="13" t="s">
        <v>227</v>
      </c>
      <c r="M56" s="13" t="s">
        <v>228</v>
      </c>
      <c r="N56" s="13" t="s">
        <v>101</v>
      </c>
      <c r="O56" s="13" t="s">
        <v>102</v>
      </c>
      <c r="P56" s="13" t="s">
        <v>278</v>
      </c>
    </row>
    <row r="57" customFormat="false" ht="48" hidden="false" customHeight="true" outlineLevel="0" collapsed="false">
      <c r="A57" s="10" t="n">
        <v>5</v>
      </c>
      <c r="B57" s="10" t="n">
        <v>9</v>
      </c>
      <c r="C57" s="10" t="s">
        <v>261</v>
      </c>
      <c r="D57" s="10" t="s">
        <v>77</v>
      </c>
      <c r="E57" s="10" t="s">
        <v>110</v>
      </c>
      <c r="F57" s="10" t="s">
        <v>116</v>
      </c>
      <c r="G57" s="10" t="n">
        <v>5</v>
      </c>
      <c r="H57" s="14" t="s">
        <v>90</v>
      </c>
      <c r="I57" s="15" t="s">
        <v>117</v>
      </c>
      <c r="J57" s="13" t="s">
        <v>180</v>
      </c>
      <c r="K57" s="10" t="s">
        <v>83</v>
      </c>
      <c r="L57" s="13" t="s">
        <v>83</v>
      </c>
      <c r="M57" s="13" t="s">
        <v>83</v>
      </c>
      <c r="N57" s="13" t="s">
        <v>83</v>
      </c>
      <c r="O57" s="13" t="s">
        <v>83</v>
      </c>
      <c r="P57" s="13" t="s">
        <v>83</v>
      </c>
    </row>
    <row r="58" customFormat="false" ht="48" hidden="false" customHeight="true" outlineLevel="0" collapsed="false">
      <c r="A58" s="17" t="n">
        <v>5</v>
      </c>
      <c r="B58" s="17" t="n">
        <v>9</v>
      </c>
      <c r="C58" s="17" t="s">
        <v>261</v>
      </c>
      <c r="D58" s="17" t="s">
        <v>77</v>
      </c>
      <c r="E58" s="17" t="s">
        <v>116</v>
      </c>
      <c r="F58" s="17" t="s">
        <v>119</v>
      </c>
      <c r="G58" s="17" t="n">
        <v>40</v>
      </c>
      <c r="H58" s="18" t="s">
        <v>90</v>
      </c>
      <c r="I58" s="19" t="s">
        <v>279</v>
      </c>
      <c r="J58" s="18" t="s">
        <v>280</v>
      </c>
      <c r="K58" s="20" t="s">
        <v>27</v>
      </c>
      <c r="L58" s="18" t="s">
        <v>183</v>
      </c>
      <c r="M58" s="18" t="s">
        <v>123</v>
      </c>
      <c r="N58" s="18" t="s">
        <v>101</v>
      </c>
      <c r="O58" s="18" t="s">
        <v>184</v>
      </c>
      <c r="P58" s="18" t="s">
        <v>281</v>
      </c>
    </row>
    <row r="59" customFormat="false" ht="48" hidden="false" customHeight="true" outlineLevel="0" collapsed="false">
      <c r="A59" s="10" t="n">
        <v>5</v>
      </c>
      <c r="B59" s="10" t="n">
        <v>9</v>
      </c>
      <c r="C59" s="10" t="s">
        <v>261</v>
      </c>
      <c r="D59" s="10" t="s">
        <v>77</v>
      </c>
      <c r="E59" s="10" t="s">
        <v>119</v>
      </c>
      <c r="F59" s="10" t="s">
        <v>126</v>
      </c>
      <c r="G59" s="10" t="n">
        <v>15</v>
      </c>
      <c r="H59" s="21" t="s">
        <v>127</v>
      </c>
      <c r="I59" s="22" t="s">
        <v>128</v>
      </c>
      <c r="J59" s="13" t="s">
        <v>282</v>
      </c>
      <c r="K59" s="16" t="s">
        <v>25</v>
      </c>
      <c r="L59" s="13" t="s">
        <v>128</v>
      </c>
      <c r="M59" s="13" t="s">
        <v>85</v>
      </c>
      <c r="N59" s="13" t="s">
        <v>8</v>
      </c>
      <c r="O59" s="13" t="s">
        <v>130</v>
      </c>
      <c r="P59" s="13" t="s">
        <v>131</v>
      </c>
    </row>
    <row r="60" customFormat="false" ht="24" hidden="false" customHeight="true" outlineLevel="0" collapsed="false">
      <c r="A60" s="23" t="s">
        <v>132</v>
      </c>
      <c r="B60" s="23"/>
      <c r="C60" s="23"/>
      <c r="D60" s="23"/>
      <c r="E60" s="23"/>
      <c r="F60" s="23"/>
      <c r="G60" s="23" t="n">
        <f aca="false">SUM(G52:G59)</f>
        <v>135</v>
      </c>
      <c r="H60" s="23"/>
      <c r="I60" s="24" t="s">
        <v>283</v>
      </c>
      <c r="J60" s="24" t="s">
        <v>284</v>
      </c>
      <c r="K60" s="23"/>
      <c r="L60" s="23"/>
      <c r="M60" s="23"/>
      <c r="N60" s="23"/>
      <c r="O60" s="23"/>
      <c r="P60" s="23"/>
    </row>
    <row r="61" customFormat="false" ht="30" hidden="false" customHeight="true" outlineLevel="0" collapsed="false">
      <c r="A61" s="9" t="s">
        <v>285</v>
      </c>
      <c r="B61" s="9"/>
      <c r="C61" s="9"/>
      <c r="D61" s="9"/>
      <c r="E61" s="9"/>
      <c r="F61" s="9"/>
      <c r="G61" s="9"/>
      <c r="H61" s="9"/>
      <c r="I61" s="9"/>
      <c r="J61" s="9"/>
      <c r="K61" s="9"/>
      <c r="L61" s="9"/>
      <c r="M61" s="9"/>
      <c r="N61" s="9"/>
      <c r="O61" s="9"/>
      <c r="P61" s="9"/>
    </row>
    <row r="62" customFormat="false" ht="48" hidden="false" customHeight="true" outlineLevel="0" collapsed="false">
      <c r="A62" s="10" t="n">
        <v>5</v>
      </c>
      <c r="B62" s="10" t="n">
        <v>10</v>
      </c>
      <c r="C62" s="10" t="s">
        <v>286</v>
      </c>
      <c r="D62" s="10" t="s">
        <v>137</v>
      </c>
      <c r="E62" s="10" t="s">
        <v>138</v>
      </c>
      <c r="F62" s="10" t="s">
        <v>139</v>
      </c>
      <c r="G62" s="10" t="n">
        <v>5</v>
      </c>
      <c r="H62" s="11" t="s">
        <v>80</v>
      </c>
      <c r="I62" s="12" t="s">
        <v>287</v>
      </c>
      <c r="J62" s="13" t="s">
        <v>288</v>
      </c>
      <c r="K62" s="10" t="s">
        <v>83</v>
      </c>
      <c r="L62" s="13" t="s">
        <v>289</v>
      </c>
      <c r="M62" s="13" t="s">
        <v>85</v>
      </c>
      <c r="N62" s="13" t="s">
        <v>8</v>
      </c>
      <c r="O62" s="13" t="s">
        <v>108</v>
      </c>
      <c r="P62" s="13" t="s">
        <v>290</v>
      </c>
    </row>
    <row r="63" customFormat="false" ht="48" hidden="false" customHeight="true" outlineLevel="0" collapsed="false">
      <c r="A63" s="10" t="n">
        <v>5</v>
      </c>
      <c r="B63" s="10" t="n">
        <v>10</v>
      </c>
      <c r="C63" s="10" t="s">
        <v>286</v>
      </c>
      <c r="D63" s="10" t="s">
        <v>137</v>
      </c>
      <c r="E63" s="10" t="s">
        <v>139</v>
      </c>
      <c r="F63" s="10" t="s">
        <v>246</v>
      </c>
      <c r="G63" s="10" t="n">
        <v>30</v>
      </c>
      <c r="H63" s="14" t="s">
        <v>90</v>
      </c>
      <c r="I63" s="15" t="s">
        <v>291</v>
      </c>
      <c r="J63" s="13" t="s">
        <v>292</v>
      </c>
      <c r="K63" s="16" t="s">
        <v>25</v>
      </c>
      <c r="L63" s="13" t="s">
        <v>293</v>
      </c>
      <c r="M63" s="13" t="s">
        <v>123</v>
      </c>
      <c r="N63" s="13" t="s">
        <v>101</v>
      </c>
      <c r="O63" s="13" t="s">
        <v>102</v>
      </c>
      <c r="P63" s="13" t="s">
        <v>294</v>
      </c>
    </row>
    <row r="64" customFormat="false" ht="48" hidden="false" customHeight="true" outlineLevel="0" collapsed="false">
      <c r="A64" s="10" t="n">
        <v>5</v>
      </c>
      <c r="B64" s="10" t="n">
        <v>10</v>
      </c>
      <c r="C64" s="10" t="s">
        <v>286</v>
      </c>
      <c r="D64" s="10" t="s">
        <v>137</v>
      </c>
      <c r="E64" s="10" t="s">
        <v>246</v>
      </c>
      <c r="F64" s="10" t="s">
        <v>149</v>
      </c>
      <c r="G64" s="10" t="n">
        <v>5</v>
      </c>
      <c r="H64" s="14" t="s">
        <v>90</v>
      </c>
      <c r="I64" s="15" t="s">
        <v>295</v>
      </c>
      <c r="J64" s="13" t="s">
        <v>296</v>
      </c>
      <c r="K64" s="16" t="s">
        <v>25</v>
      </c>
      <c r="L64" s="13" t="s">
        <v>297</v>
      </c>
      <c r="M64" s="13" t="s">
        <v>85</v>
      </c>
      <c r="N64" s="13" t="s">
        <v>86</v>
      </c>
      <c r="O64" s="13" t="s">
        <v>87</v>
      </c>
      <c r="P64" s="13" t="s">
        <v>298</v>
      </c>
    </row>
    <row r="65" customFormat="false" ht="48" hidden="false" customHeight="true" outlineLevel="0" collapsed="false">
      <c r="A65" s="10" t="n">
        <v>5</v>
      </c>
      <c r="B65" s="10" t="n">
        <v>10</v>
      </c>
      <c r="C65" s="10" t="s">
        <v>286</v>
      </c>
      <c r="D65" s="10" t="s">
        <v>137</v>
      </c>
      <c r="E65" s="10" t="s">
        <v>149</v>
      </c>
      <c r="F65" s="10" t="s">
        <v>126</v>
      </c>
      <c r="G65" s="10" t="n">
        <v>5</v>
      </c>
      <c r="H65" s="21" t="s">
        <v>127</v>
      </c>
      <c r="I65" s="22" t="s">
        <v>299</v>
      </c>
      <c r="J65" s="13" t="s">
        <v>300</v>
      </c>
      <c r="K65" s="10" t="s">
        <v>83</v>
      </c>
      <c r="L65" s="13" t="s">
        <v>301</v>
      </c>
      <c r="M65" s="13" t="s">
        <v>85</v>
      </c>
      <c r="N65" s="13" t="s">
        <v>8</v>
      </c>
      <c r="O65" s="13" t="s">
        <v>108</v>
      </c>
      <c r="P65" s="13" t="s">
        <v>302</v>
      </c>
    </row>
    <row r="66" customFormat="false" ht="24" hidden="false" customHeight="true" outlineLevel="0" collapsed="false">
      <c r="A66" s="23" t="s">
        <v>132</v>
      </c>
      <c r="B66" s="23"/>
      <c r="C66" s="23"/>
      <c r="D66" s="23"/>
      <c r="E66" s="23"/>
      <c r="F66" s="23"/>
      <c r="G66" s="23" t="n">
        <f aca="false">SUM(G62:G65)</f>
        <v>45</v>
      </c>
      <c r="H66" s="23"/>
      <c r="I66" s="24" t="s">
        <v>303</v>
      </c>
      <c r="J66" s="24" t="s">
        <v>304</v>
      </c>
      <c r="K66" s="23"/>
      <c r="L66" s="23"/>
      <c r="M66" s="23"/>
      <c r="N66" s="23"/>
      <c r="O66" s="23"/>
      <c r="P66" s="23"/>
    </row>
    <row r="67" customFormat="false" ht="30" hidden="false" customHeight="true" outlineLevel="0" collapsed="false">
      <c r="A67" s="9" t="s">
        <v>305</v>
      </c>
      <c r="B67" s="9"/>
      <c r="C67" s="9"/>
      <c r="D67" s="9"/>
      <c r="E67" s="9"/>
      <c r="F67" s="9"/>
      <c r="G67" s="9"/>
      <c r="H67" s="9"/>
      <c r="I67" s="9"/>
      <c r="J67" s="9"/>
      <c r="K67" s="9"/>
      <c r="L67" s="9"/>
      <c r="M67" s="9"/>
      <c r="N67" s="9"/>
      <c r="O67" s="9"/>
      <c r="P67" s="9"/>
    </row>
    <row r="68" customFormat="false" ht="48" hidden="false" customHeight="true" outlineLevel="0" collapsed="false">
      <c r="A68" s="10" t="n">
        <v>6</v>
      </c>
      <c r="B68" s="10" t="n">
        <v>11</v>
      </c>
      <c r="C68" s="10" t="s">
        <v>306</v>
      </c>
      <c r="D68" s="10" t="s">
        <v>77</v>
      </c>
      <c r="E68" s="10" t="s">
        <v>78</v>
      </c>
      <c r="F68" s="10" t="s">
        <v>79</v>
      </c>
      <c r="G68" s="10" t="n">
        <v>5</v>
      </c>
      <c r="H68" s="11" t="s">
        <v>80</v>
      </c>
      <c r="I68" s="12" t="s">
        <v>307</v>
      </c>
      <c r="J68" s="13" t="s">
        <v>308</v>
      </c>
      <c r="K68" s="10" t="s">
        <v>83</v>
      </c>
      <c r="L68" s="13" t="s">
        <v>309</v>
      </c>
      <c r="M68" s="13" t="s">
        <v>85</v>
      </c>
      <c r="N68" s="13" t="s">
        <v>86</v>
      </c>
      <c r="O68" s="13" t="s">
        <v>87</v>
      </c>
      <c r="P68" s="13" t="s">
        <v>310</v>
      </c>
    </row>
    <row r="69" customFormat="false" ht="48" hidden="false" customHeight="true" outlineLevel="0" collapsed="false">
      <c r="A69" s="10" t="n">
        <v>6</v>
      </c>
      <c r="B69" s="10" t="n">
        <v>11</v>
      </c>
      <c r="C69" s="10" t="s">
        <v>306</v>
      </c>
      <c r="D69" s="10" t="s">
        <v>77</v>
      </c>
      <c r="E69" s="10" t="s">
        <v>79</v>
      </c>
      <c r="F69" s="10" t="s">
        <v>89</v>
      </c>
      <c r="G69" s="10" t="n">
        <v>10</v>
      </c>
      <c r="H69" s="14" t="s">
        <v>90</v>
      </c>
      <c r="I69" s="15" t="s">
        <v>311</v>
      </c>
      <c r="J69" s="13" t="s">
        <v>312</v>
      </c>
      <c r="K69" s="16" t="s">
        <v>25</v>
      </c>
      <c r="L69" s="13" t="s">
        <v>313</v>
      </c>
      <c r="M69" s="13" t="s">
        <v>85</v>
      </c>
      <c r="N69" s="13" t="s">
        <v>8</v>
      </c>
      <c r="O69" s="13" t="s">
        <v>314</v>
      </c>
      <c r="P69" s="13" t="s">
        <v>315</v>
      </c>
    </row>
    <row r="70" customFormat="false" ht="48" hidden="false" customHeight="true" outlineLevel="0" collapsed="false">
      <c r="A70" s="10" t="n">
        <v>6</v>
      </c>
      <c r="B70" s="10" t="n">
        <v>11</v>
      </c>
      <c r="C70" s="10" t="s">
        <v>306</v>
      </c>
      <c r="D70" s="10" t="s">
        <v>77</v>
      </c>
      <c r="E70" s="10" t="s">
        <v>89</v>
      </c>
      <c r="F70" s="10" t="s">
        <v>96</v>
      </c>
      <c r="G70" s="10" t="n">
        <v>25</v>
      </c>
      <c r="H70" s="14" t="s">
        <v>90</v>
      </c>
      <c r="I70" s="15" t="s">
        <v>316</v>
      </c>
      <c r="J70" s="13" t="s">
        <v>317</v>
      </c>
      <c r="K70" s="16" t="s">
        <v>25</v>
      </c>
      <c r="L70" s="13" t="s">
        <v>318</v>
      </c>
      <c r="M70" s="13" t="s">
        <v>100</v>
      </c>
      <c r="N70" s="13" t="s">
        <v>101</v>
      </c>
      <c r="O70" s="13" t="s">
        <v>319</v>
      </c>
      <c r="P70" s="13" t="s">
        <v>320</v>
      </c>
    </row>
    <row r="71" customFormat="false" ht="48" hidden="false" customHeight="true" outlineLevel="0" collapsed="false">
      <c r="A71" s="10" t="n">
        <v>6</v>
      </c>
      <c r="B71" s="10" t="n">
        <v>11</v>
      </c>
      <c r="C71" s="10" t="s">
        <v>306</v>
      </c>
      <c r="D71" s="10" t="s">
        <v>77</v>
      </c>
      <c r="E71" s="10" t="s">
        <v>96</v>
      </c>
      <c r="F71" s="10" t="s">
        <v>104</v>
      </c>
      <c r="G71" s="10" t="n">
        <v>10</v>
      </c>
      <c r="H71" s="14" t="s">
        <v>90</v>
      </c>
      <c r="I71" s="15" t="s">
        <v>321</v>
      </c>
      <c r="J71" s="13" t="s">
        <v>322</v>
      </c>
      <c r="K71" s="16" t="s">
        <v>25</v>
      </c>
      <c r="L71" s="13" t="s">
        <v>323</v>
      </c>
      <c r="M71" s="13" t="s">
        <v>85</v>
      </c>
      <c r="N71" s="13" t="s">
        <v>8</v>
      </c>
      <c r="O71" s="13" t="s">
        <v>108</v>
      </c>
      <c r="P71" s="13" t="s">
        <v>324</v>
      </c>
    </row>
    <row r="72" customFormat="false" ht="48" hidden="false" customHeight="true" outlineLevel="0" collapsed="false">
      <c r="A72" s="10" t="n">
        <v>6</v>
      </c>
      <c r="B72" s="10" t="n">
        <v>11</v>
      </c>
      <c r="C72" s="10" t="s">
        <v>306</v>
      </c>
      <c r="D72" s="10" t="s">
        <v>77</v>
      </c>
      <c r="E72" s="10" t="s">
        <v>104</v>
      </c>
      <c r="F72" s="10" t="s">
        <v>110</v>
      </c>
      <c r="G72" s="10" t="n">
        <v>25</v>
      </c>
      <c r="H72" s="14" t="s">
        <v>90</v>
      </c>
      <c r="I72" s="15" t="s">
        <v>325</v>
      </c>
      <c r="J72" s="13" t="s">
        <v>326</v>
      </c>
      <c r="K72" s="16" t="s">
        <v>25</v>
      </c>
      <c r="L72" s="13" t="s">
        <v>327</v>
      </c>
      <c r="M72" s="13" t="s">
        <v>100</v>
      </c>
      <c r="N72" s="13" t="s">
        <v>101</v>
      </c>
      <c r="O72" s="13" t="s">
        <v>319</v>
      </c>
      <c r="P72" s="13" t="s">
        <v>328</v>
      </c>
    </row>
    <row r="73" customFormat="false" ht="48" hidden="false" customHeight="true" outlineLevel="0" collapsed="false">
      <c r="A73" s="10" t="n">
        <v>6</v>
      </c>
      <c r="B73" s="10" t="n">
        <v>11</v>
      </c>
      <c r="C73" s="10" t="s">
        <v>306</v>
      </c>
      <c r="D73" s="10" t="s">
        <v>77</v>
      </c>
      <c r="E73" s="10" t="s">
        <v>110</v>
      </c>
      <c r="F73" s="10" t="s">
        <v>116</v>
      </c>
      <c r="G73" s="10" t="n">
        <v>5</v>
      </c>
      <c r="H73" s="14" t="s">
        <v>90</v>
      </c>
      <c r="I73" s="15" t="s">
        <v>117</v>
      </c>
      <c r="J73" s="13" t="s">
        <v>329</v>
      </c>
      <c r="K73" s="10" t="s">
        <v>83</v>
      </c>
      <c r="L73" s="13" t="s">
        <v>83</v>
      </c>
      <c r="M73" s="13" t="s">
        <v>83</v>
      </c>
      <c r="N73" s="13" t="s">
        <v>83</v>
      </c>
      <c r="O73" s="13" t="s">
        <v>83</v>
      </c>
      <c r="P73" s="13" t="s">
        <v>83</v>
      </c>
    </row>
    <row r="74" customFormat="false" ht="48" hidden="false" customHeight="true" outlineLevel="0" collapsed="false">
      <c r="A74" s="17" t="n">
        <v>6</v>
      </c>
      <c r="B74" s="17" t="n">
        <v>11</v>
      </c>
      <c r="C74" s="17" t="s">
        <v>306</v>
      </c>
      <c r="D74" s="17" t="s">
        <v>77</v>
      </c>
      <c r="E74" s="17" t="s">
        <v>116</v>
      </c>
      <c r="F74" s="17" t="s">
        <v>119</v>
      </c>
      <c r="G74" s="17" t="n">
        <v>40</v>
      </c>
      <c r="H74" s="18" t="s">
        <v>90</v>
      </c>
      <c r="I74" s="19" t="s">
        <v>330</v>
      </c>
      <c r="J74" s="18" t="s">
        <v>331</v>
      </c>
      <c r="K74" s="20" t="s">
        <v>33</v>
      </c>
      <c r="L74" s="18" t="s">
        <v>183</v>
      </c>
      <c r="M74" s="18" t="s">
        <v>123</v>
      </c>
      <c r="N74" s="18" t="s">
        <v>101</v>
      </c>
      <c r="O74" s="18" t="s">
        <v>332</v>
      </c>
      <c r="P74" s="18" t="s">
        <v>333</v>
      </c>
    </row>
    <row r="75" customFormat="false" ht="48" hidden="false" customHeight="true" outlineLevel="0" collapsed="false">
      <c r="A75" s="10" t="n">
        <v>6</v>
      </c>
      <c r="B75" s="10" t="n">
        <v>11</v>
      </c>
      <c r="C75" s="10" t="s">
        <v>306</v>
      </c>
      <c r="D75" s="10" t="s">
        <v>77</v>
      </c>
      <c r="E75" s="10" t="s">
        <v>119</v>
      </c>
      <c r="F75" s="10" t="s">
        <v>126</v>
      </c>
      <c r="G75" s="10" t="n">
        <v>15</v>
      </c>
      <c r="H75" s="21" t="s">
        <v>127</v>
      </c>
      <c r="I75" s="22" t="s">
        <v>128</v>
      </c>
      <c r="J75" s="13" t="s">
        <v>334</v>
      </c>
      <c r="K75" s="16" t="s">
        <v>25</v>
      </c>
      <c r="L75" s="13" t="s">
        <v>128</v>
      </c>
      <c r="M75" s="13" t="s">
        <v>85</v>
      </c>
      <c r="N75" s="13" t="s">
        <v>8</v>
      </c>
      <c r="O75" s="13" t="s">
        <v>335</v>
      </c>
      <c r="P75" s="13" t="s">
        <v>131</v>
      </c>
    </row>
    <row r="76" customFormat="false" ht="24" hidden="false" customHeight="true" outlineLevel="0" collapsed="false">
      <c r="A76" s="23" t="s">
        <v>132</v>
      </c>
      <c r="B76" s="23"/>
      <c r="C76" s="23"/>
      <c r="D76" s="23"/>
      <c r="E76" s="23"/>
      <c r="F76" s="23"/>
      <c r="G76" s="23" t="n">
        <f aca="false">SUM(G68:G75)</f>
        <v>135</v>
      </c>
      <c r="H76" s="23"/>
      <c r="I76" s="24" t="s">
        <v>336</v>
      </c>
      <c r="J76" s="24" t="s">
        <v>337</v>
      </c>
      <c r="K76" s="23"/>
      <c r="L76" s="23"/>
      <c r="M76" s="23"/>
      <c r="N76" s="23"/>
      <c r="O76" s="23"/>
      <c r="P76" s="23"/>
    </row>
    <row r="77" customFormat="false" ht="30" hidden="false" customHeight="true" outlineLevel="0" collapsed="false">
      <c r="A77" s="9" t="s">
        <v>338</v>
      </c>
      <c r="B77" s="9"/>
      <c r="C77" s="9"/>
      <c r="D77" s="9"/>
      <c r="E77" s="9"/>
      <c r="F77" s="9"/>
      <c r="G77" s="9"/>
      <c r="H77" s="9"/>
      <c r="I77" s="9"/>
      <c r="J77" s="9"/>
      <c r="K77" s="9"/>
      <c r="L77" s="9"/>
      <c r="M77" s="9"/>
      <c r="N77" s="9"/>
      <c r="O77" s="9"/>
      <c r="P77" s="9"/>
    </row>
    <row r="78" customFormat="false" ht="48" hidden="false" customHeight="true" outlineLevel="0" collapsed="false">
      <c r="A78" s="10" t="n">
        <v>6</v>
      </c>
      <c r="B78" s="10" t="n">
        <v>12</v>
      </c>
      <c r="C78" s="10" t="s">
        <v>339</v>
      </c>
      <c r="D78" s="10" t="s">
        <v>137</v>
      </c>
      <c r="E78" s="10" t="s">
        <v>138</v>
      </c>
      <c r="F78" s="10" t="s">
        <v>139</v>
      </c>
      <c r="G78" s="10" t="n">
        <v>5</v>
      </c>
      <c r="H78" s="11" t="s">
        <v>80</v>
      </c>
      <c r="I78" s="12" t="s">
        <v>287</v>
      </c>
      <c r="J78" s="13" t="s">
        <v>340</v>
      </c>
      <c r="K78" s="10" t="s">
        <v>83</v>
      </c>
      <c r="L78" s="13" t="s">
        <v>289</v>
      </c>
      <c r="M78" s="13" t="s">
        <v>85</v>
      </c>
      <c r="N78" s="13" t="s">
        <v>8</v>
      </c>
      <c r="O78" s="13" t="s">
        <v>319</v>
      </c>
      <c r="P78" s="13" t="s">
        <v>290</v>
      </c>
    </row>
    <row r="79" customFormat="false" ht="48" hidden="false" customHeight="true" outlineLevel="0" collapsed="false">
      <c r="A79" s="10" t="n">
        <v>6</v>
      </c>
      <c r="B79" s="10" t="n">
        <v>12</v>
      </c>
      <c r="C79" s="10" t="s">
        <v>339</v>
      </c>
      <c r="D79" s="10" t="s">
        <v>137</v>
      </c>
      <c r="E79" s="10" t="s">
        <v>139</v>
      </c>
      <c r="F79" s="10" t="s">
        <v>246</v>
      </c>
      <c r="G79" s="10" t="n">
        <v>30</v>
      </c>
      <c r="H79" s="14" t="s">
        <v>90</v>
      </c>
      <c r="I79" s="15" t="s">
        <v>341</v>
      </c>
      <c r="J79" s="13" t="s">
        <v>342</v>
      </c>
      <c r="K79" s="16" t="s">
        <v>25</v>
      </c>
      <c r="L79" s="13" t="s">
        <v>343</v>
      </c>
      <c r="M79" s="13" t="s">
        <v>228</v>
      </c>
      <c r="N79" s="13" t="s">
        <v>101</v>
      </c>
      <c r="O79" s="13" t="s">
        <v>319</v>
      </c>
      <c r="P79" s="13" t="s">
        <v>344</v>
      </c>
    </row>
    <row r="80" customFormat="false" ht="48" hidden="false" customHeight="true" outlineLevel="0" collapsed="false">
      <c r="A80" s="10" t="n">
        <v>6</v>
      </c>
      <c r="B80" s="10" t="n">
        <v>12</v>
      </c>
      <c r="C80" s="10" t="s">
        <v>339</v>
      </c>
      <c r="D80" s="10" t="s">
        <v>137</v>
      </c>
      <c r="E80" s="10" t="s">
        <v>246</v>
      </c>
      <c r="F80" s="10" t="s">
        <v>149</v>
      </c>
      <c r="G80" s="10" t="n">
        <v>5</v>
      </c>
      <c r="H80" s="14" t="s">
        <v>90</v>
      </c>
      <c r="I80" s="15" t="s">
        <v>295</v>
      </c>
      <c r="J80" s="13" t="s">
        <v>345</v>
      </c>
      <c r="K80" s="16" t="s">
        <v>25</v>
      </c>
      <c r="L80" s="13" t="s">
        <v>346</v>
      </c>
      <c r="M80" s="13" t="s">
        <v>85</v>
      </c>
      <c r="N80" s="13" t="s">
        <v>86</v>
      </c>
      <c r="O80" s="13" t="s">
        <v>87</v>
      </c>
      <c r="P80" s="13" t="s">
        <v>347</v>
      </c>
    </row>
    <row r="81" customFormat="false" ht="48" hidden="false" customHeight="true" outlineLevel="0" collapsed="false">
      <c r="A81" s="10" t="n">
        <v>6</v>
      </c>
      <c r="B81" s="10" t="n">
        <v>12</v>
      </c>
      <c r="C81" s="10" t="s">
        <v>339</v>
      </c>
      <c r="D81" s="10" t="s">
        <v>137</v>
      </c>
      <c r="E81" s="10" t="s">
        <v>149</v>
      </c>
      <c r="F81" s="10" t="s">
        <v>126</v>
      </c>
      <c r="G81" s="10" t="n">
        <v>5</v>
      </c>
      <c r="H81" s="21" t="s">
        <v>127</v>
      </c>
      <c r="I81" s="22" t="s">
        <v>348</v>
      </c>
      <c r="J81" s="13" t="s">
        <v>349</v>
      </c>
      <c r="K81" s="10" t="s">
        <v>83</v>
      </c>
      <c r="L81" s="13" t="s">
        <v>301</v>
      </c>
      <c r="M81" s="13" t="s">
        <v>85</v>
      </c>
      <c r="N81" s="13" t="s">
        <v>8</v>
      </c>
      <c r="O81" s="13" t="s">
        <v>108</v>
      </c>
      <c r="P81" s="13" t="s">
        <v>302</v>
      </c>
    </row>
    <row r="82" customFormat="false" ht="24" hidden="false" customHeight="true" outlineLevel="0" collapsed="false">
      <c r="A82" s="23" t="s">
        <v>132</v>
      </c>
      <c r="B82" s="23"/>
      <c r="C82" s="23"/>
      <c r="D82" s="23"/>
      <c r="E82" s="23"/>
      <c r="F82" s="23"/>
      <c r="G82" s="23" t="n">
        <f aca="false">SUM(G78:G81)</f>
        <v>45</v>
      </c>
      <c r="H82" s="23"/>
      <c r="I82" s="24" t="s">
        <v>350</v>
      </c>
      <c r="J82" s="24" t="s">
        <v>337</v>
      </c>
      <c r="K82" s="23"/>
      <c r="L82" s="23"/>
      <c r="M82" s="23"/>
      <c r="N82" s="23"/>
      <c r="O82" s="23"/>
      <c r="P82" s="23"/>
    </row>
    <row r="83" customFormat="false" ht="30" hidden="false" customHeight="true" outlineLevel="0" collapsed="false">
      <c r="A83" s="9" t="s">
        <v>351</v>
      </c>
      <c r="B83" s="9"/>
      <c r="C83" s="9"/>
      <c r="D83" s="9"/>
      <c r="E83" s="9"/>
      <c r="F83" s="9"/>
      <c r="G83" s="9"/>
      <c r="H83" s="9"/>
      <c r="I83" s="9"/>
      <c r="J83" s="9"/>
      <c r="K83" s="9"/>
      <c r="L83" s="9"/>
      <c r="M83" s="9"/>
      <c r="N83" s="9"/>
      <c r="O83" s="9"/>
      <c r="P83" s="9"/>
    </row>
    <row r="84" customFormat="false" ht="48" hidden="false" customHeight="true" outlineLevel="0" collapsed="false">
      <c r="A84" s="10" t="n">
        <v>7</v>
      </c>
      <c r="B84" s="10" t="n">
        <v>13</v>
      </c>
      <c r="C84" s="10" t="s">
        <v>352</v>
      </c>
      <c r="D84" s="10" t="s">
        <v>77</v>
      </c>
      <c r="E84" s="10" t="s">
        <v>78</v>
      </c>
      <c r="F84" s="10" t="s">
        <v>79</v>
      </c>
      <c r="G84" s="10" t="n">
        <v>5</v>
      </c>
      <c r="H84" s="11" t="s">
        <v>80</v>
      </c>
      <c r="I84" s="12" t="s">
        <v>353</v>
      </c>
      <c r="J84" s="13" t="s">
        <v>354</v>
      </c>
      <c r="K84" s="10" t="s">
        <v>83</v>
      </c>
      <c r="L84" s="13" t="s">
        <v>355</v>
      </c>
      <c r="M84" s="13" t="s">
        <v>85</v>
      </c>
      <c r="N84" s="13" t="s">
        <v>8</v>
      </c>
      <c r="O84" s="13" t="s">
        <v>108</v>
      </c>
      <c r="P84" s="13" t="s">
        <v>356</v>
      </c>
    </row>
    <row r="85" customFormat="false" ht="48" hidden="false" customHeight="true" outlineLevel="0" collapsed="false">
      <c r="A85" s="10" t="n">
        <v>7</v>
      </c>
      <c r="B85" s="10" t="n">
        <v>13</v>
      </c>
      <c r="C85" s="10" t="s">
        <v>352</v>
      </c>
      <c r="D85" s="10" t="s">
        <v>77</v>
      </c>
      <c r="E85" s="10" t="s">
        <v>79</v>
      </c>
      <c r="F85" s="10" t="s">
        <v>89</v>
      </c>
      <c r="G85" s="10" t="n">
        <v>10</v>
      </c>
      <c r="H85" s="14" t="s">
        <v>90</v>
      </c>
      <c r="I85" s="15" t="s">
        <v>357</v>
      </c>
      <c r="J85" s="13" t="s">
        <v>358</v>
      </c>
      <c r="K85" s="16" t="s">
        <v>35</v>
      </c>
      <c r="L85" s="13" t="s">
        <v>359</v>
      </c>
      <c r="M85" s="13" t="s">
        <v>85</v>
      </c>
      <c r="N85" s="13" t="s">
        <v>8</v>
      </c>
      <c r="O85" s="13" t="s">
        <v>314</v>
      </c>
      <c r="P85" s="13" t="s">
        <v>360</v>
      </c>
    </row>
    <row r="86" customFormat="false" ht="48" hidden="false" customHeight="true" outlineLevel="0" collapsed="false">
      <c r="A86" s="10" t="n">
        <v>7</v>
      </c>
      <c r="B86" s="10" t="n">
        <v>13</v>
      </c>
      <c r="C86" s="10" t="s">
        <v>352</v>
      </c>
      <c r="D86" s="10" t="s">
        <v>77</v>
      </c>
      <c r="E86" s="10" t="s">
        <v>89</v>
      </c>
      <c r="F86" s="10" t="s">
        <v>96</v>
      </c>
      <c r="G86" s="10" t="n">
        <v>25</v>
      </c>
      <c r="H86" s="14" t="s">
        <v>90</v>
      </c>
      <c r="I86" s="15" t="s">
        <v>361</v>
      </c>
      <c r="J86" s="13" t="s">
        <v>362</v>
      </c>
      <c r="K86" s="16" t="s">
        <v>35</v>
      </c>
      <c r="L86" s="13" t="s">
        <v>363</v>
      </c>
      <c r="M86" s="13" t="s">
        <v>100</v>
      </c>
      <c r="N86" s="13" t="s">
        <v>101</v>
      </c>
      <c r="O86" s="13" t="s">
        <v>364</v>
      </c>
      <c r="P86" s="13" t="s">
        <v>365</v>
      </c>
    </row>
    <row r="87" customFormat="false" ht="48" hidden="false" customHeight="true" outlineLevel="0" collapsed="false">
      <c r="A87" s="10" t="n">
        <v>7</v>
      </c>
      <c r="B87" s="10" t="n">
        <v>13</v>
      </c>
      <c r="C87" s="10" t="s">
        <v>352</v>
      </c>
      <c r="D87" s="10" t="s">
        <v>77</v>
      </c>
      <c r="E87" s="10" t="s">
        <v>96</v>
      </c>
      <c r="F87" s="10" t="s">
        <v>104</v>
      </c>
      <c r="G87" s="10" t="n">
        <v>10</v>
      </c>
      <c r="H87" s="14" t="s">
        <v>90</v>
      </c>
      <c r="I87" s="15" t="s">
        <v>366</v>
      </c>
      <c r="J87" s="13" t="s">
        <v>367</v>
      </c>
      <c r="K87" s="16" t="s">
        <v>35</v>
      </c>
      <c r="L87" s="13" t="s">
        <v>368</v>
      </c>
      <c r="M87" s="13" t="s">
        <v>85</v>
      </c>
      <c r="N87" s="13" t="s">
        <v>8</v>
      </c>
      <c r="O87" s="13" t="s">
        <v>108</v>
      </c>
      <c r="P87" s="13" t="s">
        <v>369</v>
      </c>
    </row>
    <row r="88" customFormat="false" ht="48" hidden="false" customHeight="true" outlineLevel="0" collapsed="false">
      <c r="A88" s="10" t="n">
        <v>7</v>
      </c>
      <c r="B88" s="10" t="n">
        <v>13</v>
      </c>
      <c r="C88" s="10" t="s">
        <v>352</v>
      </c>
      <c r="D88" s="10" t="s">
        <v>77</v>
      </c>
      <c r="E88" s="10" t="s">
        <v>104</v>
      </c>
      <c r="F88" s="10" t="s">
        <v>110</v>
      </c>
      <c r="G88" s="10" t="n">
        <v>25</v>
      </c>
      <c r="H88" s="14" t="s">
        <v>90</v>
      </c>
      <c r="I88" s="15" t="s">
        <v>370</v>
      </c>
      <c r="J88" s="13" t="s">
        <v>371</v>
      </c>
      <c r="K88" s="16" t="s">
        <v>35</v>
      </c>
      <c r="L88" s="13" t="s">
        <v>372</v>
      </c>
      <c r="M88" s="13" t="s">
        <v>123</v>
      </c>
      <c r="N88" s="13" t="s">
        <v>101</v>
      </c>
      <c r="O88" s="13" t="s">
        <v>373</v>
      </c>
      <c r="P88" s="13" t="s">
        <v>374</v>
      </c>
    </row>
    <row r="89" customFormat="false" ht="48" hidden="false" customHeight="true" outlineLevel="0" collapsed="false">
      <c r="A89" s="10" t="n">
        <v>7</v>
      </c>
      <c r="B89" s="10" t="n">
        <v>13</v>
      </c>
      <c r="C89" s="10" t="s">
        <v>352</v>
      </c>
      <c r="D89" s="10" t="s">
        <v>77</v>
      </c>
      <c r="E89" s="10" t="s">
        <v>110</v>
      </c>
      <c r="F89" s="10" t="s">
        <v>116</v>
      </c>
      <c r="G89" s="10" t="n">
        <v>5</v>
      </c>
      <c r="H89" s="14" t="s">
        <v>90</v>
      </c>
      <c r="I89" s="15" t="s">
        <v>117</v>
      </c>
      <c r="J89" s="13" t="s">
        <v>375</v>
      </c>
      <c r="K89" s="10" t="s">
        <v>83</v>
      </c>
      <c r="L89" s="13" t="s">
        <v>83</v>
      </c>
      <c r="M89" s="13" t="s">
        <v>83</v>
      </c>
      <c r="N89" s="13" t="s">
        <v>83</v>
      </c>
      <c r="O89" s="13" t="s">
        <v>83</v>
      </c>
      <c r="P89" s="13" t="s">
        <v>83</v>
      </c>
    </row>
    <row r="90" customFormat="false" ht="48" hidden="false" customHeight="true" outlineLevel="0" collapsed="false">
      <c r="A90" s="17" t="n">
        <v>7</v>
      </c>
      <c r="B90" s="17" t="n">
        <v>13</v>
      </c>
      <c r="C90" s="17" t="s">
        <v>352</v>
      </c>
      <c r="D90" s="17" t="s">
        <v>77</v>
      </c>
      <c r="E90" s="17" t="s">
        <v>116</v>
      </c>
      <c r="F90" s="17" t="s">
        <v>119</v>
      </c>
      <c r="G90" s="17" t="n">
        <v>40</v>
      </c>
      <c r="H90" s="18" t="s">
        <v>90</v>
      </c>
      <c r="I90" s="19" t="s">
        <v>376</v>
      </c>
      <c r="J90" s="18" t="s">
        <v>377</v>
      </c>
      <c r="K90" s="20" t="s">
        <v>33</v>
      </c>
      <c r="L90" s="18" t="s">
        <v>183</v>
      </c>
      <c r="M90" s="18" t="s">
        <v>123</v>
      </c>
      <c r="N90" s="18" t="s">
        <v>101</v>
      </c>
      <c r="O90" s="18" t="s">
        <v>378</v>
      </c>
      <c r="P90" s="18" t="s">
        <v>379</v>
      </c>
    </row>
    <row r="91" customFormat="false" ht="48" hidden="false" customHeight="true" outlineLevel="0" collapsed="false">
      <c r="A91" s="10" t="n">
        <v>7</v>
      </c>
      <c r="B91" s="10" t="n">
        <v>13</v>
      </c>
      <c r="C91" s="10" t="s">
        <v>352</v>
      </c>
      <c r="D91" s="10" t="s">
        <v>77</v>
      </c>
      <c r="E91" s="10" t="s">
        <v>119</v>
      </c>
      <c r="F91" s="10" t="s">
        <v>126</v>
      </c>
      <c r="G91" s="10" t="n">
        <v>15</v>
      </c>
      <c r="H91" s="21" t="s">
        <v>127</v>
      </c>
      <c r="I91" s="22" t="s">
        <v>380</v>
      </c>
      <c r="J91" s="13" t="s">
        <v>381</v>
      </c>
      <c r="K91" s="10" t="s">
        <v>83</v>
      </c>
      <c r="L91" s="13" t="s">
        <v>235</v>
      </c>
      <c r="M91" s="13" t="s">
        <v>85</v>
      </c>
      <c r="N91" s="13" t="s">
        <v>86</v>
      </c>
      <c r="O91" s="13" t="s">
        <v>87</v>
      </c>
      <c r="P91" s="13" t="s">
        <v>236</v>
      </c>
    </row>
    <row r="92" customFormat="false" ht="24" hidden="false" customHeight="true" outlineLevel="0" collapsed="false">
      <c r="A92" s="23" t="s">
        <v>132</v>
      </c>
      <c r="B92" s="23"/>
      <c r="C92" s="23"/>
      <c r="D92" s="23"/>
      <c r="E92" s="23"/>
      <c r="F92" s="23"/>
      <c r="G92" s="23" t="n">
        <f aca="false">SUM(G84:G91)</f>
        <v>135</v>
      </c>
      <c r="H92" s="23"/>
      <c r="I92" s="24" t="s">
        <v>382</v>
      </c>
      <c r="J92" s="24" t="s">
        <v>383</v>
      </c>
      <c r="K92" s="23"/>
      <c r="L92" s="23"/>
      <c r="M92" s="23"/>
      <c r="N92" s="23"/>
      <c r="O92" s="23"/>
      <c r="P92" s="23"/>
    </row>
    <row r="93" customFormat="false" ht="30" hidden="false" customHeight="true" outlineLevel="0" collapsed="false">
      <c r="A93" s="9" t="s">
        <v>384</v>
      </c>
      <c r="B93" s="9"/>
      <c r="C93" s="9"/>
      <c r="D93" s="9"/>
      <c r="E93" s="9"/>
      <c r="F93" s="9"/>
      <c r="G93" s="9"/>
      <c r="H93" s="9"/>
      <c r="I93" s="9"/>
      <c r="J93" s="9"/>
      <c r="K93" s="9"/>
      <c r="L93" s="9"/>
      <c r="M93" s="9"/>
      <c r="N93" s="9"/>
      <c r="O93" s="9"/>
      <c r="P93" s="9"/>
    </row>
    <row r="94" customFormat="false" ht="48" hidden="false" customHeight="true" outlineLevel="0" collapsed="false">
      <c r="A94" s="10" t="n">
        <v>7</v>
      </c>
      <c r="B94" s="10" t="n">
        <v>14</v>
      </c>
      <c r="C94" s="10" t="s">
        <v>385</v>
      </c>
      <c r="D94" s="10" t="s">
        <v>137</v>
      </c>
      <c r="E94" s="10" t="s">
        <v>138</v>
      </c>
      <c r="F94" s="10" t="s">
        <v>139</v>
      </c>
      <c r="G94" s="10" t="n">
        <v>5</v>
      </c>
      <c r="H94" s="11" t="s">
        <v>80</v>
      </c>
      <c r="I94" s="12" t="s">
        <v>241</v>
      </c>
      <c r="J94" s="13" t="s">
        <v>386</v>
      </c>
      <c r="K94" s="10" t="s">
        <v>83</v>
      </c>
      <c r="L94" s="13" t="s">
        <v>243</v>
      </c>
      <c r="M94" s="13" t="s">
        <v>85</v>
      </c>
      <c r="N94" s="13" t="s">
        <v>8</v>
      </c>
      <c r="O94" s="13" t="s">
        <v>244</v>
      </c>
      <c r="P94" s="13" t="s">
        <v>245</v>
      </c>
    </row>
    <row r="95" customFormat="false" ht="48" hidden="false" customHeight="true" outlineLevel="0" collapsed="false">
      <c r="A95" s="25" t="n">
        <v>7</v>
      </c>
      <c r="B95" s="25" t="n">
        <v>14</v>
      </c>
      <c r="C95" s="25" t="s">
        <v>385</v>
      </c>
      <c r="D95" s="25" t="s">
        <v>137</v>
      </c>
      <c r="E95" s="25" t="s">
        <v>139</v>
      </c>
      <c r="F95" s="25" t="s">
        <v>149</v>
      </c>
      <c r="G95" s="25" t="n">
        <v>35</v>
      </c>
      <c r="H95" s="26" t="s">
        <v>90</v>
      </c>
      <c r="I95" s="27" t="s">
        <v>387</v>
      </c>
      <c r="J95" s="26" t="s">
        <v>388</v>
      </c>
      <c r="K95" s="25" t="s">
        <v>83</v>
      </c>
      <c r="L95" s="26" t="s">
        <v>249</v>
      </c>
      <c r="M95" s="26" t="s">
        <v>100</v>
      </c>
      <c r="N95" s="26" t="s">
        <v>101</v>
      </c>
      <c r="O95" s="26" t="s">
        <v>250</v>
      </c>
      <c r="P95" s="26" t="s">
        <v>389</v>
      </c>
    </row>
    <row r="96" customFormat="false" ht="48" hidden="false" customHeight="true" outlineLevel="0" collapsed="false">
      <c r="A96" s="10" t="n">
        <v>7</v>
      </c>
      <c r="B96" s="10" t="n">
        <v>14</v>
      </c>
      <c r="C96" s="10" t="s">
        <v>385</v>
      </c>
      <c r="D96" s="10" t="s">
        <v>137</v>
      </c>
      <c r="E96" s="10" t="s">
        <v>149</v>
      </c>
      <c r="F96" s="10" t="s">
        <v>126</v>
      </c>
      <c r="G96" s="10" t="n">
        <v>5</v>
      </c>
      <c r="H96" s="21" t="s">
        <v>127</v>
      </c>
      <c r="I96" s="22" t="s">
        <v>390</v>
      </c>
      <c r="J96" s="13" t="s">
        <v>391</v>
      </c>
      <c r="K96" s="10" t="s">
        <v>83</v>
      </c>
      <c r="L96" s="13" t="s">
        <v>127</v>
      </c>
      <c r="M96" s="13" t="s">
        <v>85</v>
      </c>
      <c r="N96" s="13" t="s">
        <v>8</v>
      </c>
      <c r="O96" s="13" t="s">
        <v>83</v>
      </c>
      <c r="P96" s="13" t="s">
        <v>392</v>
      </c>
    </row>
    <row r="97" customFormat="false" ht="24" hidden="false" customHeight="true" outlineLevel="0" collapsed="false">
      <c r="A97" s="23" t="s">
        <v>132</v>
      </c>
      <c r="B97" s="23"/>
      <c r="C97" s="23"/>
      <c r="D97" s="23"/>
      <c r="E97" s="23"/>
      <c r="F97" s="23"/>
      <c r="G97" s="23" t="n">
        <f aca="false">SUM(G94:G96)</f>
        <v>45</v>
      </c>
      <c r="H97" s="23"/>
      <c r="I97" s="24" t="s">
        <v>393</v>
      </c>
      <c r="J97" s="24" t="s">
        <v>394</v>
      </c>
      <c r="K97" s="23"/>
      <c r="L97" s="23"/>
      <c r="M97" s="23"/>
      <c r="N97" s="23"/>
      <c r="O97" s="23"/>
      <c r="P97" s="23"/>
    </row>
    <row r="98" customFormat="false" ht="30" hidden="false" customHeight="true" outlineLevel="0" collapsed="false">
      <c r="A98" s="9" t="s">
        <v>395</v>
      </c>
      <c r="B98" s="9"/>
      <c r="C98" s="9"/>
      <c r="D98" s="9"/>
      <c r="E98" s="9"/>
      <c r="F98" s="9"/>
      <c r="G98" s="9"/>
      <c r="H98" s="9"/>
      <c r="I98" s="9"/>
      <c r="J98" s="9"/>
      <c r="K98" s="9"/>
      <c r="L98" s="9"/>
      <c r="M98" s="9"/>
      <c r="N98" s="9"/>
      <c r="O98" s="9"/>
      <c r="P98" s="9"/>
    </row>
    <row r="99" customFormat="false" ht="48" hidden="false" customHeight="true" outlineLevel="0" collapsed="false">
      <c r="A99" s="10" t="n">
        <v>8</v>
      </c>
      <c r="B99" s="10" t="n">
        <v>15</v>
      </c>
      <c r="C99" s="10" t="s">
        <v>396</v>
      </c>
      <c r="D99" s="10" t="s">
        <v>77</v>
      </c>
      <c r="E99" s="10" t="s">
        <v>78</v>
      </c>
      <c r="F99" s="10" t="s">
        <v>79</v>
      </c>
      <c r="G99" s="10" t="n">
        <v>5</v>
      </c>
      <c r="H99" s="11" t="s">
        <v>80</v>
      </c>
      <c r="I99" s="12" t="s">
        <v>140</v>
      </c>
      <c r="J99" s="13" t="s">
        <v>397</v>
      </c>
      <c r="K99" s="10" t="s">
        <v>83</v>
      </c>
      <c r="L99" s="13" t="s">
        <v>398</v>
      </c>
      <c r="M99" s="13" t="s">
        <v>100</v>
      </c>
      <c r="N99" s="13" t="s">
        <v>101</v>
      </c>
      <c r="O99" s="13" t="s">
        <v>108</v>
      </c>
      <c r="P99" s="13" t="s">
        <v>143</v>
      </c>
    </row>
    <row r="100" customFormat="false" ht="48" hidden="false" customHeight="true" outlineLevel="0" collapsed="false">
      <c r="A100" s="10" t="n">
        <v>8</v>
      </c>
      <c r="B100" s="10" t="n">
        <v>15</v>
      </c>
      <c r="C100" s="10" t="s">
        <v>396</v>
      </c>
      <c r="D100" s="10" t="s">
        <v>77</v>
      </c>
      <c r="E100" s="10" t="s">
        <v>79</v>
      </c>
      <c r="F100" s="10" t="s">
        <v>89</v>
      </c>
      <c r="G100" s="10" t="n">
        <v>10</v>
      </c>
      <c r="H100" s="14" t="s">
        <v>90</v>
      </c>
      <c r="I100" s="15" t="s">
        <v>399</v>
      </c>
      <c r="J100" s="13" t="s">
        <v>400</v>
      </c>
      <c r="K100" s="16" t="s">
        <v>25</v>
      </c>
      <c r="L100" s="13" t="s">
        <v>401</v>
      </c>
      <c r="M100" s="13" t="s">
        <v>85</v>
      </c>
      <c r="N100" s="13" t="s">
        <v>8</v>
      </c>
      <c r="O100" s="13" t="s">
        <v>314</v>
      </c>
      <c r="P100" s="13" t="s">
        <v>402</v>
      </c>
    </row>
    <row r="101" customFormat="false" ht="48" hidden="false" customHeight="true" outlineLevel="0" collapsed="false">
      <c r="A101" s="10" t="n">
        <v>8</v>
      </c>
      <c r="B101" s="10" t="n">
        <v>15</v>
      </c>
      <c r="C101" s="10" t="s">
        <v>396</v>
      </c>
      <c r="D101" s="10" t="s">
        <v>77</v>
      </c>
      <c r="E101" s="10" t="s">
        <v>89</v>
      </c>
      <c r="F101" s="10" t="s">
        <v>96</v>
      </c>
      <c r="G101" s="10" t="n">
        <v>25</v>
      </c>
      <c r="H101" s="14" t="s">
        <v>90</v>
      </c>
      <c r="I101" s="15" t="s">
        <v>403</v>
      </c>
      <c r="J101" s="13" t="s">
        <v>404</v>
      </c>
      <c r="K101" s="16" t="s">
        <v>25</v>
      </c>
      <c r="L101" s="13" t="s">
        <v>405</v>
      </c>
      <c r="M101" s="13" t="s">
        <v>100</v>
      </c>
      <c r="N101" s="13" t="s">
        <v>101</v>
      </c>
      <c r="O101" s="13" t="s">
        <v>364</v>
      </c>
      <c r="P101" s="13" t="s">
        <v>406</v>
      </c>
    </row>
    <row r="102" customFormat="false" ht="48" hidden="false" customHeight="true" outlineLevel="0" collapsed="false">
      <c r="A102" s="10" t="n">
        <v>8</v>
      </c>
      <c r="B102" s="10" t="n">
        <v>15</v>
      </c>
      <c r="C102" s="10" t="s">
        <v>396</v>
      </c>
      <c r="D102" s="10" t="s">
        <v>77</v>
      </c>
      <c r="E102" s="10" t="s">
        <v>96</v>
      </c>
      <c r="F102" s="10" t="s">
        <v>104</v>
      </c>
      <c r="G102" s="10" t="n">
        <v>10</v>
      </c>
      <c r="H102" s="14" t="s">
        <v>90</v>
      </c>
      <c r="I102" s="15" t="s">
        <v>407</v>
      </c>
      <c r="J102" s="13" t="s">
        <v>408</v>
      </c>
      <c r="K102" s="16" t="s">
        <v>25</v>
      </c>
      <c r="L102" s="13" t="s">
        <v>196</v>
      </c>
      <c r="M102" s="13" t="s">
        <v>85</v>
      </c>
      <c r="N102" s="13" t="s">
        <v>8</v>
      </c>
      <c r="O102" s="13" t="s">
        <v>87</v>
      </c>
      <c r="P102" s="13" t="s">
        <v>409</v>
      </c>
    </row>
    <row r="103" customFormat="false" ht="48" hidden="false" customHeight="true" outlineLevel="0" collapsed="false">
      <c r="A103" s="10" t="n">
        <v>8</v>
      </c>
      <c r="B103" s="10" t="n">
        <v>15</v>
      </c>
      <c r="C103" s="10" t="s">
        <v>396</v>
      </c>
      <c r="D103" s="10" t="s">
        <v>77</v>
      </c>
      <c r="E103" s="10" t="s">
        <v>104</v>
      </c>
      <c r="F103" s="10" t="s">
        <v>110</v>
      </c>
      <c r="G103" s="10" t="n">
        <v>25</v>
      </c>
      <c r="H103" s="14" t="s">
        <v>90</v>
      </c>
      <c r="I103" s="15" t="s">
        <v>410</v>
      </c>
      <c r="J103" s="13" t="s">
        <v>411</v>
      </c>
      <c r="K103" s="16" t="s">
        <v>25</v>
      </c>
      <c r="L103" s="13" t="s">
        <v>227</v>
      </c>
      <c r="M103" s="13" t="s">
        <v>228</v>
      </c>
      <c r="N103" s="13" t="s">
        <v>101</v>
      </c>
      <c r="O103" s="13" t="s">
        <v>364</v>
      </c>
      <c r="P103" s="13" t="s">
        <v>412</v>
      </c>
    </row>
    <row r="104" customFormat="false" ht="48" hidden="false" customHeight="true" outlineLevel="0" collapsed="false">
      <c r="A104" s="10" t="n">
        <v>8</v>
      </c>
      <c r="B104" s="10" t="n">
        <v>15</v>
      </c>
      <c r="C104" s="10" t="s">
        <v>396</v>
      </c>
      <c r="D104" s="10" t="s">
        <v>77</v>
      </c>
      <c r="E104" s="10" t="s">
        <v>110</v>
      </c>
      <c r="F104" s="10" t="s">
        <v>116</v>
      </c>
      <c r="G104" s="10" t="n">
        <v>5</v>
      </c>
      <c r="H104" s="14" t="s">
        <v>90</v>
      </c>
      <c r="I104" s="15" t="s">
        <v>117</v>
      </c>
      <c r="J104" s="13" t="s">
        <v>180</v>
      </c>
      <c r="K104" s="10" t="s">
        <v>83</v>
      </c>
      <c r="L104" s="13" t="s">
        <v>83</v>
      </c>
      <c r="M104" s="13" t="s">
        <v>83</v>
      </c>
      <c r="N104" s="13" t="s">
        <v>83</v>
      </c>
      <c r="O104" s="13" t="s">
        <v>83</v>
      </c>
      <c r="P104" s="13" t="s">
        <v>83</v>
      </c>
    </row>
    <row r="105" customFormat="false" ht="48" hidden="false" customHeight="true" outlineLevel="0" collapsed="false">
      <c r="A105" s="17" t="n">
        <v>8</v>
      </c>
      <c r="B105" s="17" t="n">
        <v>15</v>
      </c>
      <c r="C105" s="17" t="s">
        <v>396</v>
      </c>
      <c r="D105" s="17" t="s">
        <v>77</v>
      </c>
      <c r="E105" s="17" t="s">
        <v>116</v>
      </c>
      <c r="F105" s="17" t="s">
        <v>119</v>
      </c>
      <c r="G105" s="17" t="n">
        <v>40</v>
      </c>
      <c r="H105" s="18" t="s">
        <v>90</v>
      </c>
      <c r="I105" s="19" t="s">
        <v>413</v>
      </c>
      <c r="J105" s="18" t="s">
        <v>414</v>
      </c>
      <c r="K105" s="20" t="s">
        <v>35</v>
      </c>
      <c r="L105" s="18" t="s">
        <v>183</v>
      </c>
      <c r="M105" s="18" t="s">
        <v>123</v>
      </c>
      <c r="N105" s="18" t="s">
        <v>101</v>
      </c>
      <c r="O105" s="18" t="s">
        <v>378</v>
      </c>
      <c r="P105" s="18" t="s">
        <v>415</v>
      </c>
    </row>
    <row r="106" customFormat="false" ht="48" hidden="false" customHeight="true" outlineLevel="0" collapsed="false">
      <c r="A106" s="10" t="n">
        <v>8</v>
      </c>
      <c r="B106" s="10" t="n">
        <v>15</v>
      </c>
      <c r="C106" s="10" t="s">
        <v>396</v>
      </c>
      <c r="D106" s="10" t="s">
        <v>77</v>
      </c>
      <c r="E106" s="10" t="s">
        <v>119</v>
      </c>
      <c r="F106" s="10" t="s">
        <v>126</v>
      </c>
      <c r="G106" s="10" t="n">
        <v>15</v>
      </c>
      <c r="H106" s="21" t="s">
        <v>127</v>
      </c>
      <c r="I106" s="22" t="s">
        <v>416</v>
      </c>
      <c r="J106" s="13" t="s">
        <v>417</v>
      </c>
      <c r="K106" s="10" t="s">
        <v>83</v>
      </c>
      <c r="L106" s="13" t="s">
        <v>418</v>
      </c>
      <c r="M106" s="13" t="s">
        <v>85</v>
      </c>
      <c r="N106" s="13" t="s">
        <v>8</v>
      </c>
      <c r="O106" s="13" t="s">
        <v>419</v>
      </c>
      <c r="P106" s="13" t="s">
        <v>420</v>
      </c>
    </row>
    <row r="107" customFormat="false" ht="24" hidden="false" customHeight="true" outlineLevel="0" collapsed="false">
      <c r="A107" s="23" t="s">
        <v>132</v>
      </c>
      <c r="B107" s="23"/>
      <c r="C107" s="23"/>
      <c r="D107" s="23"/>
      <c r="E107" s="23"/>
      <c r="F107" s="23"/>
      <c r="G107" s="23" t="n">
        <f aca="false">SUM(G99:G106)</f>
        <v>135</v>
      </c>
      <c r="H107" s="23"/>
      <c r="I107" s="24" t="s">
        <v>421</v>
      </c>
      <c r="J107" s="24" t="s">
        <v>207</v>
      </c>
      <c r="K107" s="23"/>
      <c r="L107" s="23"/>
      <c r="M107" s="23"/>
      <c r="N107" s="23"/>
      <c r="O107" s="23"/>
      <c r="P107" s="23"/>
    </row>
    <row r="108" customFormat="false" ht="30" hidden="false" customHeight="true" outlineLevel="0" collapsed="false">
      <c r="A108" s="9" t="s">
        <v>422</v>
      </c>
      <c r="B108" s="9"/>
      <c r="C108" s="9"/>
      <c r="D108" s="9"/>
      <c r="E108" s="9"/>
      <c r="F108" s="9"/>
      <c r="G108" s="9"/>
      <c r="H108" s="9"/>
      <c r="I108" s="9"/>
      <c r="J108" s="9"/>
      <c r="K108" s="9"/>
      <c r="L108" s="9"/>
      <c r="M108" s="9"/>
      <c r="N108" s="9"/>
      <c r="O108" s="9"/>
      <c r="P108" s="9"/>
    </row>
    <row r="109" customFormat="false" ht="48" hidden="false" customHeight="true" outlineLevel="0" collapsed="false">
      <c r="A109" s="10" t="n">
        <v>8</v>
      </c>
      <c r="B109" s="10" t="n">
        <v>16</v>
      </c>
      <c r="C109" s="10" t="s">
        <v>423</v>
      </c>
      <c r="D109" s="10" t="s">
        <v>137</v>
      </c>
      <c r="E109" s="10" t="s">
        <v>138</v>
      </c>
      <c r="F109" s="10" t="s">
        <v>139</v>
      </c>
      <c r="G109" s="10" t="n">
        <v>5</v>
      </c>
      <c r="H109" s="11" t="s">
        <v>80</v>
      </c>
      <c r="I109" s="12" t="s">
        <v>424</v>
      </c>
      <c r="J109" s="13" t="s">
        <v>425</v>
      </c>
      <c r="K109" s="16" t="s">
        <v>33</v>
      </c>
      <c r="L109" s="13" t="s">
        <v>426</v>
      </c>
      <c r="M109" s="13" t="s">
        <v>85</v>
      </c>
      <c r="N109" s="13" t="s">
        <v>8</v>
      </c>
      <c r="O109" s="13" t="s">
        <v>108</v>
      </c>
      <c r="P109" s="13" t="s">
        <v>427</v>
      </c>
    </row>
    <row r="110" customFormat="false" ht="48" hidden="false" customHeight="true" outlineLevel="0" collapsed="false">
      <c r="A110" s="10" t="n">
        <v>8</v>
      </c>
      <c r="B110" s="10" t="n">
        <v>16</v>
      </c>
      <c r="C110" s="10" t="s">
        <v>423</v>
      </c>
      <c r="D110" s="10" t="s">
        <v>137</v>
      </c>
      <c r="E110" s="10" t="s">
        <v>139</v>
      </c>
      <c r="F110" s="10" t="s">
        <v>144</v>
      </c>
      <c r="G110" s="10" t="n">
        <v>10</v>
      </c>
      <c r="H110" s="14" t="s">
        <v>90</v>
      </c>
      <c r="I110" s="15" t="s">
        <v>428</v>
      </c>
      <c r="J110" s="13" t="s">
        <v>429</v>
      </c>
      <c r="K110" s="16" t="s">
        <v>33</v>
      </c>
      <c r="L110" s="13" t="s">
        <v>430</v>
      </c>
      <c r="M110" s="13" t="s">
        <v>85</v>
      </c>
      <c r="N110" s="13" t="s">
        <v>8</v>
      </c>
      <c r="O110" s="13" t="s">
        <v>87</v>
      </c>
      <c r="P110" s="13" t="s">
        <v>431</v>
      </c>
    </row>
    <row r="111" customFormat="false" ht="48" hidden="false" customHeight="true" outlineLevel="0" collapsed="false">
      <c r="A111" s="10" t="n">
        <v>8</v>
      </c>
      <c r="B111" s="10" t="n">
        <v>16</v>
      </c>
      <c r="C111" s="10" t="s">
        <v>423</v>
      </c>
      <c r="D111" s="10" t="s">
        <v>137</v>
      </c>
      <c r="E111" s="10" t="s">
        <v>144</v>
      </c>
      <c r="F111" s="10" t="s">
        <v>149</v>
      </c>
      <c r="G111" s="10" t="n">
        <v>25</v>
      </c>
      <c r="H111" s="14" t="s">
        <v>90</v>
      </c>
      <c r="I111" s="15" t="s">
        <v>432</v>
      </c>
      <c r="J111" s="13" t="s">
        <v>433</v>
      </c>
      <c r="K111" s="16" t="s">
        <v>33</v>
      </c>
      <c r="L111" s="13" t="s">
        <v>178</v>
      </c>
      <c r="M111" s="13" t="s">
        <v>100</v>
      </c>
      <c r="N111" s="13" t="s">
        <v>101</v>
      </c>
      <c r="O111" s="13" t="s">
        <v>332</v>
      </c>
      <c r="P111" s="13" t="s">
        <v>434</v>
      </c>
    </row>
    <row r="112" customFormat="false" ht="48" hidden="false" customHeight="true" outlineLevel="0" collapsed="false">
      <c r="A112" s="10" t="n">
        <v>8</v>
      </c>
      <c r="B112" s="10" t="n">
        <v>16</v>
      </c>
      <c r="C112" s="10" t="s">
        <v>423</v>
      </c>
      <c r="D112" s="10" t="s">
        <v>137</v>
      </c>
      <c r="E112" s="10" t="s">
        <v>149</v>
      </c>
      <c r="F112" s="10" t="s">
        <v>126</v>
      </c>
      <c r="G112" s="10" t="n">
        <v>5</v>
      </c>
      <c r="H112" s="21" t="s">
        <v>127</v>
      </c>
      <c r="I112" s="22" t="s">
        <v>435</v>
      </c>
      <c r="J112" s="13" t="s">
        <v>436</v>
      </c>
      <c r="K112" s="16" t="s">
        <v>33</v>
      </c>
      <c r="L112" s="13" t="s">
        <v>128</v>
      </c>
      <c r="M112" s="13" t="s">
        <v>85</v>
      </c>
      <c r="N112" s="13" t="s">
        <v>86</v>
      </c>
      <c r="O112" s="13" t="s">
        <v>87</v>
      </c>
      <c r="P112" s="13" t="s">
        <v>131</v>
      </c>
    </row>
    <row r="113" customFormat="false" ht="24" hidden="false" customHeight="true" outlineLevel="0" collapsed="false">
      <c r="A113" s="23" t="s">
        <v>132</v>
      </c>
      <c r="B113" s="23"/>
      <c r="C113" s="23"/>
      <c r="D113" s="23"/>
      <c r="E113" s="23"/>
      <c r="F113" s="23"/>
      <c r="G113" s="23" t="n">
        <f aca="false">SUM(G109:G112)</f>
        <v>45</v>
      </c>
      <c r="H113" s="23"/>
      <c r="I113" s="24" t="s">
        <v>437</v>
      </c>
      <c r="J113" s="24" t="s">
        <v>438</v>
      </c>
      <c r="K113" s="23"/>
      <c r="L113" s="23"/>
      <c r="M113" s="23"/>
      <c r="N113" s="23"/>
      <c r="O113" s="23"/>
      <c r="P113" s="23"/>
    </row>
    <row r="114" customFormat="false" ht="30" hidden="false" customHeight="true" outlineLevel="0" collapsed="false">
      <c r="A114" s="9" t="s">
        <v>439</v>
      </c>
      <c r="B114" s="9"/>
      <c r="C114" s="9"/>
      <c r="D114" s="9"/>
      <c r="E114" s="9"/>
      <c r="F114" s="9"/>
      <c r="G114" s="9"/>
      <c r="H114" s="9"/>
      <c r="I114" s="9"/>
      <c r="J114" s="9"/>
      <c r="K114" s="9"/>
      <c r="L114" s="9"/>
      <c r="M114" s="9"/>
      <c r="N114" s="9"/>
      <c r="O114" s="9"/>
      <c r="P114" s="9"/>
    </row>
    <row r="115" customFormat="false" ht="48" hidden="false" customHeight="true" outlineLevel="0" collapsed="false">
      <c r="A115" s="10" t="n">
        <v>9</v>
      </c>
      <c r="B115" s="10" t="n">
        <v>17</v>
      </c>
      <c r="C115" s="10" t="s">
        <v>440</v>
      </c>
      <c r="D115" s="10" t="s">
        <v>77</v>
      </c>
      <c r="E115" s="10" t="s">
        <v>78</v>
      </c>
      <c r="F115" s="10" t="s">
        <v>79</v>
      </c>
      <c r="G115" s="10" t="n">
        <v>5</v>
      </c>
      <c r="H115" s="11" t="s">
        <v>80</v>
      </c>
      <c r="I115" s="12" t="s">
        <v>441</v>
      </c>
      <c r="J115" s="13" t="s">
        <v>442</v>
      </c>
      <c r="K115" s="10" t="s">
        <v>83</v>
      </c>
      <c r="L115" s="13" t="s">
        <v>441</v>
      </c>
      <c r="M115" s="13" t="s">
        <v>100</v>
      </c>
      <c r="N115" s="13" t="s">
        <v>101</v>
      </c>
      <c r="O115" s="13" t="s">
        <v>108</v>
      </c>
      <c r="P115" s="13" t="s">
        <v>264</v>
      </c>
    </row>
    <row r="116" customFormat="false" ht="48" hidden="false" customHeight="true" outlineLevel="0" collapsed="false">
      <c r="A116" s="10" t="n">
        <v>9</v>
      </c>
      <c r="B116" s="10" t="n">
        <v>17</v>
      </c>
      <c r="C116" s="10" t="s">
        <v>440</v>
      </c>
      <c r="D116" s="10" t="s">
        <v>77</v>
      </c>
      <c r="E116" s="10" t="s">
        <v>79</v>
      </c>
      <c r="F116" s="10" t="s">
        <v>89</v>
      </c>
      <c r="G116" s="10" t="n">
        <v>10</v>
      </c>
      <c r="H116" s="14" t="s">
        <v>90</v>
      </c>
      <c r="I116" s="15" t="s">
        <v>443</v>
      </c>
      <c r="J116" s="13" t="s">
        <v>444</v>
      </c>
      <c r="K116" s="16" t="s">
        <v>25</v>
      </c>
      <c r="L116" s="13" t="s">
        <v>445</v>
      </c>
      <c r="M116" s="13" t="s">
        <v>85</v>
      </c>
      <c r="N116" s="13" t="s">
        <v>8</v>
      </c>
      <c r="O116" s="13" t="s">
        <v>87</v>
      </c>
      <c r="P116" s="13" t="s">
        <v>446</v>
      </c>
    </row>
    <row r="117" customFormat="false" ht="48" hidden="false" customHeight="true" outlineLevel="0" collapsed="false">
      <c r="A117" s="10" t="n">
        <v>9</v>
      </c>
      <c r="B117" s="10" t="n">
        <v>17</v>
      </c>
      <c r="C117" s="10" t="s">
        <v>440</v>
      </c>
      <c r="D117" s="10" t="s">
        <v>77</v>
      </c>
      <c r="E117" s="10" t="s">
        <v>89</v>
      </c>
      <c r="F117" s="10" t="s">
        <v>96</v>
      </c>
      <c r="G117" s="10" t="n">
        <v>25</v>
      </c>
      <c r="H117" s="14" t="s">
        <v>90</v>
      </c>
      <c r="I117" s="15" t="s">
        <v>447</v>
      </c>
      <c r="J117" s="13" t="s">
        <v>448</v>
      </c>
      <c r="K117" s="16" t="s">
        <v>25</v>
      </c>
      <c r="L117" s="13" t="s">
        <v>449</v>
      </c>
      <c r="M117" s="13" t="s">
        <v>100</v>
      </c>
      <c r="N117" s="13" t="s">
        <v>101</v>
      </c>
      <c r="O117" s="13" t="s">
        <v>102</v>
      </c>
      <c r="P117" s="13" t="s">
        <v>450</v>
      </c>
    </row>
    <row r="118" customFormat="false" ht="48" hidden="false" customHeight="true" outlineLevel="0" collapsed="false">
      <c r="A118" s="10" t="n">
        <v>9</v>
      </c>
      <c r="B118" s="10" t="n">
        <v>17</v>
      </c>
      <c r="C118" s="10" t="s">
        <v>440</v>
      </c>
      <c r="D118" s="10" t="s">
        <v>77</v>
      </c>
      <c r="E118" s="10" t="s">
        <v>96</v>
      </c>
      <c r="F118" s="10" t="s">
        <v>104</v>
      </c>
      <c r="G118" s="10" t="n">
        <v>10</v>
      </c>
      <c r="H118" s="14" t="s">
        <v>90</v>
      </c>
      <c r="I118" s="15" t="s">
        <v>451</v>
      </c>
      <c r="J118" s="13" t="s">
        <v>452</v>
      </c>
      <c r="K118" s="16" t="s">
        <v>25</v>
      </c>
      <c r="L118" s="13" t="s">
        <v>453</v>
      </c>
      <c r="M118" s="13" t="s">
        <v>85</v>
      </c>
      <c r="N118" s="13" t="s">
        <v>8</v>
      </c>
      <c r="O118" s="13" t="s">
        <v>108</v>
      </c>
      <c r="P118" s="13" t="s">
        <v>454</v>
      </c>
    </row>
    <row r="119" customFormat="false" ht="48" hidden="false" customHeight="true" outlineLevel="0" collapsed="false">
      <c r="A119" s="10" t="n">
        <v>9</v>
      </c>
      <c r="B119" s="10" t="n">
        <v>17</v>
      </c>
      <c r="C119" s="10" t="s">
        <v>440</v>
      </c>
      <c r="D119" s="10" t="s">
        <v>77</v>
      </c>
      <c r="E119" s="10" t="s">
        <v>104</v>
      </c>
      <c r="F119" s="10" t="s">
        <v>110</v>
      </c>
      <c r="G119" s="10" t="n">
        <v>25</v>
      </c>
      <c r="H119" s="14" t="s">
        <v>90</v>
      </c>
      <c r="I119" s="15" t="s">
        <v>455</v>
      </c>
      <c r="J119" s="13" t="s">
        <v>456</v>
      </c>
      <c r="K119" s="16" t="s">
        <v>25</v>
      </c>
      <c r="L119" s="13" t="s">
        <v>457</v>
      </c>
      <c r="M119" s="13" t="s">
        <v>228</v>
      </c>
      <c r="N119" s="13" t="s">
        <v>101</v>
      </c>
      <c r="O119" s="13" t="s">
        <v>102</v>
      </c>
      <c r="P119" s="13" t="s">
        <v>458</v>
      </c>
    </row>
    <row r="120" customFormat="false" ht="48" hidden="false" customHeight="true" outlineLevel="0" collapsed="false">
      <c r="A120" s="10" t="n">
        <v>9</v>
      </c>
      <c r="B120" s="10" t="n">
        <v>17</v>
      </c>
      <c r="C120" s="10" t="s">
        <v>440</v>
      </c>
      <c r="D120" s="10" t="s">
        <v>77</v>
      </c>
      <c r="E120" s="10" t="s">
        <v>110</v>
      </c>
      <c r="F120" s="10" t="s">
        <v>116</v>
      </c>
      <c r="G120" s="10" t="n">
        <v>5</v>
      </c>
      <c r="H120" s="14" t="s">
        <v>90</v>
      </c>
      <c r="I120" s="15" t="s">
        <v>117</v>
      </c>
      <c r="J120" s="13" t="s">
        <v>180</v>
      </c>
      <c r="K120" s="10" t="s">
        <v>83</v>
      </c>
      <c r="L120" s="13" t="s">
        <v>83</v>
      </c>
      <c r="M120" s="13" t="s">
        <v>83</v>
      </c>
      <c r="N120" s="13" t="s">
        <v>83</v>
      </c>
      <c r="O120" s="13" t="s">
        <v>83</v>
      </c>
      <c r="P120" s="13" t="s">
        <v>83</v>
      </c>
    </row>
    <row r="121" customFormat="false" ht="48" hidden="false" customHeight="true" outlineLevel="0" collapsed="false">
      <c r="A121" s="17" t="n">
        <v>9</v>
      </c>
      <c r="B121" s="17" t="n">
        <v>17</v>
      </c>
      <c r="C121" s="17" t="s">
        <v>440</v>
      </c>
      <c r="D121" s="17" t="s">
        <v>77</v>
      </c>
      <c r="E121" s="17" t="s">
        <v>116</v>
      </c>
      <c r="F121" s="17" t="s">
        <v>119</v>
      </c>
      <c r="G121" s="17" t="n">
        <v>40</v>
      </c>
      <c r="H121" s="18" t="s">
        <v>90</v>
      </c>
      <c r="I121" s="19" t="s">
        <v>459</v>
      </c>
      <c r="J121" s="18" t="s">
        <v>460</v>
      </c>
      <c r="K121" s="20" t="s">
        <v>33</v>
      </c>
      <c r="L121" s="18" t="s">
        <v>183</v>
      </c>
      <c r="M121" s="18" t="s">
        <v>123</v>
      </c>
      <c r="N121" s="18" t="s">
        <v>101</v>
      </c>
      <c r="O121" s="18" t="s">
        <v>461</v>
      </c>
      <c r="P121" s="18" t="s">
        <v>462</v>
      </c>
    </row>
    <row r="122" customFormat="false" ht="48" hidden="false" customHeight="true" outlineLevel="0" collapsed="false">
      <c r="A122" s="10" t="n">
        <v>9</v>
      </c>
      <c r="B122" s="10" t="n">
        <v>17</v>
      </c>
      <c r="C122" s="10" t="s">
        <v>440</v>
      </c>
      <c r="D122" s="10" t="s">
        <v>77</v>
      </c>
      <c r="E122" s="10" t="s">
        <v>119</v>
      </c>
      <c r="F122" s="10" t="s">
        <v>126</v>
      </c>
      <c r="G122" s="10" t="n">
        <v>15</v>
      </c>
      <c r="H122" s="21" t="s">
        <v>127</v>
      </c>
      <c r="I122" s="22" t="s">
        <v>463</v>
      </c>
      <c r="J122" s="13" t="s">
        <v>464</v>
      </c>
      <c r="K122" s="16" t="s">
        <v>33</v>
      </c>
      <c r="L122" s="13" t="s">
        <v>465</v>
      </c>
      <c r="M122" s="13" t="s">
        <v>85</v>
      </c>
      <c r="N122" s="13" t="s">
        <v>8</v>
      </c>
      <c r="O122" s="13" t="s">
        <v>87</v>
      </c>
      <c r="P122" s="13" t="s">
        <v>466</v>
      </c>
    </row>
    <row r="123" customFormat="false" ht="24" hidden="false" customHeight="true" outlineLevel="0" collapsed="false">
      <c r="A123" s="23" t="s">
        <v>132</v>
      </c>
      <c r="B123" s="23"/>
      <c r="C123" s="23"/>
      <c r="D123" s="23"/>
      <c r="E123" s="23"/>
      <c r="F123" s="23"/>
      <c r="G123" s="23" t="n">
        <f aca="false">SUM(G115:G122)</f>
        <v>135</v>
      </c>
      <c r="H123" s="23"/>
      <c r="I123" s="24" t="s">
        <v>467</v>
      </c>
      <c r="J123" s="24" t="s">
        <v>468</v>
      </c>
      <c r="K123" s="23"/>
      <c r="L123" s="23"/>
      <c r="M123" s="23"/>
      <c r="N123" s="23"/>
      <c r="O123" s="23"/>
      <c r="P123" s="23"/>
    </row>
    <row r="124" customFormat="false" ht="30" hidden="false" customHeight="true" outlineLevel="0" collapsed="false">
      <c r="A124" s="9" t="s">
        <v>469</v>
      </c>
      <c r="B124" s="9"/>
      <c r="C124" s="9"/>
      <c r="D124" s="9"/>
      <c r="E124" s="9"/>
      <c r="F124" s="9"/>
      <c r="G124" s="9"/>
      <c r="H124" s="9"/>
      <c r="I124" s="9"/>
      <c r="J124" s="9"/>
      <c r="K124" s="9"/>
      <c r="L124" s="9"/>
      <c r="M124" s="9"/>
      <c r="N124" s="9"/>
      <c r="O124" s="9"/>
      <c r="P124" s="9"/>
    </row>
    <row r="125" customFormat="false" ht="48" hidden="false" customHeight="true" outlineLevel="0" collapsed="false">
      <c r="A125" s="10" t="n">
        <v>9</v>
      </c>
      <c r="B125" s="10" t="n">
        <v>18</v>
      </c>
      <c r="C125" s="10" t="s">
        <v>470</v>
      </c>
      <c r="D125" s="10" t="s">
        <v>137</v>
      </c>
      <c r="E125" s="10" t="s">
        <v>138</v>
      </c>
      <c r="F125" s="10" t="s">
        <v>139</v>
      </c>
      <c r="G125" s="10" t="n">
        <v>5</v>
      </c>
      <c r="H125" s="11" t="s">
        <v>80</v>
      </c>
      <c r="I125" s="12" t="s">
        <v>287</v>
      </c>
      <c r="J125" s="13" t="s">
        <v>471</v>
      </c>
      <c r="K125" s="10" t="s">
        <v>83</v>
      </c>
      <c r="L125" s="13" t="s">
        <v>289</v>
      </c>
      <c r="M125" s="13" t="s">
        <v>85</v>
      </c>
      <c r="N125" s="13" t="s">
        <v>8</v>
      </c>
      <c r="O125" s="13" t="s">
        <v>108</v>
      </c>
      <c r="P125" s="13" t="s">
        <v>290</v>
      </c>
    </row>
    <row r="126" customFormat="false" ht="48" hidden="false" customHeight="true" outlineLevel="0" collapsed="false">
      <c r="A126" s="10" t="n">
        <v>9</v>
      </c>
      <c r="B126" s="10" t="n">
        <v>18</v>
      </c>
      <c r="C126" s="10" t="s">
        <v>470</v>
      </c>
      <c r="D126" s="10" t="s">
        <v>137</v>
      </c>
      <c r="E126" s="10" t="s">
        <v>139</v>
      </c>
      <c r="F126" s="10" t="s">
        <v>246</v>
      </c>
      <c r="G126" s="10" t="n">
        <v>30</v>
      </c>
      <c r="H126" s="14" t="s">
        <v>90</v>
      </c>
      <c r="I126" s="15" t="s">
        <v>472</v>
      </c>
      <c r="J126" s="13" t="s">
        <v>473</v>
      </c>
      <c r="K126" s="16" t="s">
        <v>25</v>
      </c>
      <c r="L126" s="13" t="s">
        <v>474</v>
      </c>
      <c r="M126" s="13" t="s">
        <v>123</v>
      </c>
      <c r="N126" s="13" t="s">
        <v>101</v>
      </c>
      <c r="O126" s="13" t="s">
        <v>102</v>
      </c>
      <c r="P126" s="13" t="s">
        <v>475</v>
      </c>
    </row>
    <row r="127" customFormat="false" ht="48" hidden="false" customHeight="true" outlineLevel="0" collapsed="false">
      <c r="A127" s="10" t="n">
        <v>9</v>
      </c>
      <c r="B127" s="10" t="n">
        <v>18</v>
      </c>
      <c r="C127" s="10" t="s">
        <v>470</v>
      </c>
      <c r="D127" s="10" t="s">
        <v>137</v>
      </c>
      <c r="E127" s="10" t="s">
        <v>246</v>
      </c>
      <c r="F127" s="10" t="s">
        <v>149</v>
      </c>
      <c r="G127" s="10" t="n">
        <v>5</v>
      </c>
      <c r="H127" s="14" t="s">
        <v>90</v>
      </c>
      <c r="I127" s="15" t="s">
        <v>295</v>
      </c>
      <c r="J127" s="13" t="s">
        <v>476</v>
      </c>
      <c r="K127" s="16" t="s">
        <v>25</v>
      </c>
      <c r="L127" s="13" t="s">
        <v>297</v>
      </c>
      <c r="M127" s="13" t="s">
        <v>85</v>
      </c>
      <c r="N127" s="13" t="s">
        <v>86</v>
      </c>
      <c r="O127" s="13" t="s">
        <v>87</v>
      </c>
      <c r="P127" s="13" t="s">
        <v>477</v>
      </c>
    </row>
    <row r="128" customFormat="false" ht="48" hidden="false" customHeight="true" outlineLevel="0" collapsed="false">
      <c r="A128" s="10" t="n">
        <v>9</v>
      </c>
      <c r="B128" s="10" t="n">
        <v>18</v>
      </c>
      <c r="C128" s="10" t="s">
        <v>470</v>
      </c>
      <c r="D128" s="10" t="s">
        <v>137</v>
      </c>
      <c r="E128" s="10" t="s">
        <v>149</v>
      </c>
      <c r="F128" s="10" t="s">
        <v>126</v>
      </c>
      <c r="G128" s="10" t="n">
        <v>5</v>
      </c>
      <c r="H128" s="21" t="s">
        <v>127</v>
      </c>
      <c r="I128" s="22" t="s">
        <v>478</v>
      </c>
      <c r="J128" s="13" t="s">
        <v>479</v>
      </c>
      <c r="K128" s="10" t="s">
        <v>83</v>
      </c>
      <c r="L128" s="13" t="s">
        <v>480</v>
      </c>
      <c r="M128" s="13" t="s">
        <v>85</v>
      </c>
      <c r="N128" s="13" t="s">
        <v>8</v>
      </c>
      <c r="O128" s="13" t="s">
        <v>108</v>
      </c>
      <c r="P128" s="13" t="s">
        <v>481</v>
      </c>
    </row>
    <row r="129" customFormat="false" ht="24" hidden="false" customHeight="true" outlineLevel="0" collapsed="false">
      <c r="A129" s="23" t="s">
        <v>132</v>
      </c>
      <c r="B129" s="23"/>
      <c r="C129" s="23"/>
      <c r="D129" s="23"/>
      <c r="E129" s="23"/>
      <c r="F129" s="23"/>
      <c r="G129" s="23" t="n">
        <f aca="false">SUM(G125:G128)</f>
        <v>45</v>
      </c>
      <c r="H129" s="23"/>
      <c r="I129" s="24" t="s">
        <v>482</v>
      </c>
      <c r="J129" s="24" t="s">
        <v>483</v>
      </c>
      <c r="K129" s="23"/>
      <c r="L129" s="23"/>
      <c r="M129" s="23"/>
      <c r="N129" s="23"/>
      <c r="O129" s="23"/>
      <c r="P129" s="23"/>
    </row>
    <row r="130" customFormat="false" ht="30" hidden="false" customHeight="true" outlineLevel="0" collapsed="false">
      <c r="A130" s="9" t="s">
        <v>484</v>
      </c>
      <c r="B130" s="9"/>
      <c r="C130" s="9"/>
      <c r="D130" s="9"/>
      <c r="E130" s="9"/>
      <c r="F130" s="9"/>
      <c r="G130" s="9"/>
      <c r="H130" s="9"/>
      <c r="I130" s="9"/>
      <c r="J130" s="9"/>
      <c r="K130" s="9"/>
      <c r="L130" s="9"/>
      <c r="M130" s="9"/>
      <c r="N130" s="9"/>
      <c r="O130" s="9"/>
      <c r="P130" s="9"/>
    </row>
    <row r="131" customFormat="false" ht="48" hidden="false" customHeight="true" outlineLevel="0" collapsed="false">
      <c r="A131" s="10" t="n">
        <v>10</v>
      </c>
      <c r="B131" s="10" t="n">
        <v>19</v>
      </c>
      <c r="C131" s="10" t="s">
        <v>485</v>
      </c>
      <c r="D131" s="10" t="s">
        <v>77</v>
      </c>
      <c r="E131" s="10" t="s">
        <v>78</v>
      </c>
      <c r="F131" s="10" t="s">
        <v>79</v>
      </c>
      <c r="G131" s="10" t="n">
        <v>5</v>
      </c>
      <c r="H131" s="11" t="s">
        <v>80</v>
      </c>
      <c r="I131" s="12" t="s">
        <v>140</v>
      </c>
      <c r="J131" s="13" t="s">
        <v>486</v>
      </c>
      <c r="K131" s="10" t="s">
        <v>83</v>
      </c>
      <c r="L131" s="13" t="s">
        <v>487</v>
      </c>
      <c r="M131" s="13" t="s">
        <v>100</v>
      </c>
      <c r="N131" s="13" t="s">
        <v>101</v>
      </c>
      <c r="O131" s="13" t="s">
        <v>108</v>
      </c>
      <c r="P131" s="13" t="s">
        <v>488</v>
      </c>
    </row>
    <row r="132" customFormat="false" ht="48" hidden="false" customHeight="true" outlineLevel="0" collapsed="false">
      <c r="A132" s="10" t="n">
        <v>10</v>
      </c>
      <c r="B132" s="10" t="n">
        <v>19</v>
      </c>
      <c r="C132" s="10" t="s">
        <v>485</v>
      </c>
      <c r="D132" s="10" t="s">
        <v>77</v>
      </c>
      <c r="E132" s="10" t="s">
        <v>79</v>
      </c>
      <c r="F132" s="10" t="s">
        <v>89</v>
      </c>
      <c r="G132" s="10" t="n">
        <v>10</v>
      </c>
      <c r="H132" s="14" t="s">
        <v>90</v>
      </c>
      <c r="I132" s="15" t="s">
        <v>489</v>
      </c>
      <c r="J132" s="13" t="s">
        <v>490</v>
      </c>
      <c r="K132" s="16" t="s">
        <v>27</v>
      </c>
      <c r="L132" s="13" t="s">
        <v>491</v>
      </c>
      <c r="M132" s="13" t="s">
        <v>85</v>
      </c>
      <c r="N132" s="13" t="s">
        <v>8</v>
      </c>
      <c r="O132" s="13" t="s">
        <v>314</v>
      </c>
      <c r="P132" s="13" t="s">
        <v>492</v>
      </c>
    </row>
    <row r="133" customFormat="false" ht="48" hidden="false" customHeight="true" outlineLevel="0" collapsed="false">
      <c r="A133" s="10" t="n">
        <v>10</v>
      </c>
      <c r="B133" s="10" t="n">
        <v>19</v>
      </c>
      <c r="C133" s="10" t="s">
        <v>485</v>
      </c>
      <c r="D133" s="10" t="s">
        <v>77</v>
      </c>
      <c r="E133" s="10" t="s">
        <v>89</v>
      </c>
      <c r="F133" s="10" t="s">
        <v>96</v>
      </c>
      <c r="G133" s="10" t="n">
        <v>25</v>
      </c>
      <c r="H133" s="14" t="s">
        <v>90</v>
      </c>
      <c r="I133" s="15" t="s">
        <v>493</v>
      </c>
      <c r="J133" s="13" t="s">
        <v>494</v>
      </c>
      <c r="K133" s="16" t="s">
        <v>27</v>
      </c>
      <c r="L133" s="13" t="s">
        <v>495</v>
      </c>
      <c r="M133" s="13" t="s">
        <v>100</v>
      </c>
      <c r="N133" s="13" t="s">
        <v>101</v>
      </c>
      <c r="O133" s="13" t="s">
        <v>319</v>
      </c>
      <c r="P133" s="13" t="s">
        <v>496</v>
      </c>
    </row>
    <row r="134" customFormat="false" ht="48" hidden="false" customHeight="true" outlineLevel="0" collapsed="false">
      <c r="A134" s="10" t="n">
        <v>10</v>
      </c>
      <c r="B134" s="10" t="n">
        <v>19</v>
      </c>
      <c r="C134" s="10" t="s">
        <v>485</v>
      </c>
      <c r="D134" s="10" t="s">
        <v>77</v>
      </c>
      <c r="E134" s="10" t="s">
        <v>96</v>
      </c>
      <c r="F134" s="10" t="s">
        <v>104</v>
      </c>
      <c r="G134" s="10" t="n">
        <v>10</v>
      </c>
      <c r="H134" s="14" t="s">
        <v>90</v>
      </c>
      <c r="I134" s="15" t="s">
        <v>497</v>
      </c>
      <c r="J134" s="13" t="s">
        <v>498</v>
      </c>
      <c r="K134" s="16" t="s">
        <v>27</v>
      </c>
      <c r="L134" s="13" t="s">
        <v>499</v>
      </c>
      <c r="M134" s="13" t="s">
        <v>85</v>
      </c>
      <c r="N134" s="13" t="s">
        <v>8</v>
      </c>
      <c r="O134" s="13" t="s">
        <v>108</v>
      </c>
      <c r="P134" s="13" t="s">
        <v>500</v>
      </c>
    </row>
    <row r="135" customFormat="false" ht="48" hidden="false" customHeight="true" outlineLevel="0" collapsed="false">
      <c r="A135" s="10" t="n">
        <v>10</v>
      </c>
      <c r="B135" s="10" t="n">
        <v>19</v>
      </c>
      <c r="C135" s="10" t="s">
        <v>485</v>
      </c>
      <c r="D135" s="10" t="s">
        <v>77</v>
      </c>
      <c r="E135" s="10" t="s">
        <v>104</v>
      </c>
      <c r="F135" s="10" t="s">
        <v>110</v>
      </c>
      <c r="G135" s="10" t="n">
        <v>25</v>
      </c>
      <c r="H135" s="14" t="s">
        <v>90</v>
      </c>
      <c r="I135" s="15" t="s">
        <v>501</v>
      </c>
      <c r="J135" s="13" t="s">
        <v>502</v>
      </c>
      <c r="K135" s="16" t="s">
        <v>27</v>
      </c>
      <c r="L135" s="13" t="s">
        <v>503</v>
      </c>
      <c r="M135" s="13" t="s">
        <v>228</v>
      </c>
      <c r="N135" s="13" t="s">
        <v>101</v>
      </c>
      <c r="O135" s="13" t="s">
        <v>378</v>
      </c>
      <c r="P135" s="13" t="s">
        <v>504</v>
      </c>
    </row>
    <row r="136" customFormat="false" ht="48" hidden="false" customHeight="true" outlineLevel="0" collapsed="false">
      <c r="A136" s="10" t="n">
        <v>10</v>
      </c>
      <c r="B136" s="10" t="n">
        <v>19</v>
      </c>
      <c r="C136" s="10" t="s">
        <v>485</v>
      </c>
      <c r="D136" s="10" t="s">
        <v>77</v>
      </c>
      <c r="E136" s="10" t="s">
        <v>110</v>
      </c>
      <c r="F136" s="10" t="s">
        <v>116</v>
      </c>
      <c r="G136" s="10" t="n">
        <v>5</v>
      </c>
      <c r="H136" s="14" t="s">
        <v>90</v>
      </c>
      <c r="I136" s="15" t="s">
        <v>117</v>
      </c>
      <c r="J136" s="13" t="s">
        <v>180</v>
      </c>
      <c r="K136" s="10" t="s">
        <v>83</v>
      </c>
      <c r="L136" s="13" t="s">
        <v>83</v>
      </c>
      <c r="M136" s="13" t="s">
        <v>83</v>
      </c>
      <c r="N136" s="13" t="s">
        <v>83</v>
      </c>
      <c r="O136" s="13" t="s">
        <v>83</v>
      </c>
      <c r="P136" s="13" t="s">
        <v>83</v>
      </c>
    </row>
    <row r="137" customFormat="false" ht="48" hidden="false" customHeight="true" outlineLevel="0" collapsed="false">
      <c r="A137" s="17" t="n">
        <v>10</v>
      </c>
      <c r="B137" s="17" t="n">
        <v>19</v>
      </c>
      <c r="C137" s="17" t="s">
        <v>485</v>
      </c>
      <c r="D137" s="17" t="s">
        <v>77</v>
      </c>
      <c r="E137" s="17" t="s">
        <v>116</v>
      </c>
      <c r="F137" s="17" t="s">
        <v>119</v>
      </c>
      <c r="G137" s="17" t="n">
        <v>40</v>
      </c>
      <c r="H137" s="18" t="s">
        <v>90</v>
      </c>
      <c r="I137" s="19" t="s">
        <v>505</v>
      </c>
      <c r="J137" s="18" t="s">
        <v>506</v>
      </c>
      <c r="K137" s="20" t="s">
        <v>27</v>
      </c>
      <c r="L137" s="18" t="s">
        <v>183</v>
      </c>
      <c r="M137" s="18" t="s">
        <v>123</v>
      </c>
      <c r="N137" s="18" t="s">
        <v>101</v>
      </c>
      <c r="O137" s="18" t="s">
        <v>378</v>
      </c>
      <c r="P137" s="18" t="s">
        <v>507</v>
      </c>
    </row>
    <row r="138" customFormat="false" ht="48" hidden="false" customHeight="true" outlineLevel="0" collapsed="false">
      <c r="A138" s="10" t="n">
        <v>10</v>
      </c>
      <c r="B138" s="10" t="n">
        <v>19</v>
      </c>
      <c r="C138" s="10" t="s">
        <v>485</v>
      </c>
      <c r="D138" s="10" t="s">
        <v>77</v>
      </c>
      <c r="E138" s="10" t="s">
        <v>119</v>
      </c>
      <c r="F138" s="10" t="s">
        <v>126</v>
      </c>
      <c r="G138" s="10" t="n">
        <v>15</v>
      </c>
      <c r="H138" s="21" t="s">
        <v>127</v>
      </c>
      <c r="I138" s="22" t="s">
        <v>128</v>
      </c>
      <c r="J138" s="13" t="s">
        <v>508</v>
      </c>
      <c r="K138" s="16" t="s">
        <v>27</v>
      </c>
      <c r="L138" s="13" t="s">
        <v>128</v>
      </c>
      <c r="M138" s="13" t="s">
        <v>85</v>
      </c>
      <c r="N138" s="13" t="s">
        <v>8</v>
      </c>
      <c r="O138" s="13" t="s">
        <v>335</v>
      </c>
      <c r="P138" s="13" t="s">
        <v>131</v>
      </c>
    </row>
    <row r="139" customFormat="false" ht="24" hidden="false" customHeight="true" outlineLevel="0" collapsed="false">
      <c r="A139" s="23" t="s">
        <v>132</v>
      </c>
      <c r="B139" s="23"/>
      <c r="C139" s="23"/>
      <c r="D139" s="23"/>
      <c r="E139" s="23"/>
      <c r="F139" s="23"/>
      <c r="G139" s="23" t="n">
        <f aca="false">SUM(G131:G138)</f>
        <v>135</v>
      </c>
      <c r="H139" s="23"/>
      <c r="I139" s="24" t="s">
        <v>509</v>
      </c>
      <c r="J139" s="24" t="s">
        <v>510</v>
      </c>
      <c r="K139" s="23"/>
      <c r="L139" s="23"/>
      <c r="M139" s="23"/>
      <c r="N139" s="23"/>
      <c r="O139" s="23"/>
      <c r="P139" s="23"/>
    </row>
    <row r="140" customFormat="false" ht="30" hidden="false" customHeight="true" outlineLevel="0" collapsed="false">
      <c r="A140" s="9" t="s">
        <v>511</v>
      </c>
      <c r="B140" s="9"/>
      <c r="C140" s="9"/>
      <c r="D140" s="9"/>
      <c r="E140" s="9"/>
      <c r="F140" s="9"/>
      <c r="G140" s="9"/>
      <c r="H140" s="9"/>
      <c r="I140" s="9"/>
      <c r="J140" s="9"/>
      <c r="K140" s="9"/>
      <c r="L140" s="9"/>
      <c r="M140" s="9"/>
      <c r="N140" s="9"/>
      <c r="O140" s="9"/>
      <c r="P140" s="9"/>
    </row>
    <row r="141" customFormat="false" ht="48" hidden="false" customHeight="true" outlineLevel="0" collapsed="false">
      <c r="A141" s="10" t="n">
        <v>10</v>
      </c>
      <c r="B141" s="10" t="n">
        <v>20</v>
      </c>
      <c r="C141" s="10" t="s">
        <v>512</v>
      </c>
      <c r="D141" s="10" t="s">
        <v>137</v>
      </c>
      <c r="E141" s="10" t="s">
        <v>138</v>
      </c>
      <c r="F141" s="10" t="s">
        <v>139</v>
      </c>
      <c r="G141" s="10" t="n">
        <v>5</v>
      </c>
      <c r="H141" s="11" t="s">
        <v>80</v>
      </c>
      <c r="I141" s="12" t="s">
        <v>424</v>
      </c>
      <c r="J141" s="13" t="s">
        <v>513</v>
      </c>
      <c r="K141" s="16" t="s">
        <v>27</v>
      </c>
      <c r="L141" s="13" t="s">
        <v>514</v>
      </c>
      <c r="M141" s="13" t="s">
        <v>85</v>
      </c>
      <c r="N141" s="13" t="s">
        <v>8</v>
      </c>
      <c r="O141" s="13" t="s">
        <v>108</v>
      </c>
      <c r="P141" s="13" t="s">
        <v>515</v>
      </c>
    </row>
    <row r="142" customFormat="false" ht="48" hidden="false" customHeight="true" outlineLevel="0" collapsed="false">
      <c r="A142" s="10" t="n">
        <v>10</v>
      </c>
      <c r="B142" s="10" t="n">
        <v>20</v>
      </c>
      <c r="C142" s="10" t="s">
        <v>512</v>
      </c>
      <c r="D142" s="10" t="s">
        <v>137</v>
      </c>
      <c r="E142" s="10" t="s">
        <v>139</v>
      </c>
      <c r="F142" s="10" t="s">
        <v>144</v>
      </c>
      <c r="G142" s="10" t="n">
        <v>10</v>
      </c>
      <c r="H142" s="14" t="s">
        <v>90</v>
      </c>
      <c r="I142" s="15" t="s">
        <v>516</v>
      </c>
      <c r="J142" s="13" t="s">
        <v>517</v>
      </c>
      <c r="K142" s="16" t="s">
        <v>27</v>
      </c>
      <c r="L142" s="13" t="s">
        <v>518</v>
      </c>
      <c r="M142" s="13" t="s">
        <v>85</v>
      </c>
      <c r="N142" s="13" t="s">
        <v>8</v>
      </c>
      <c r="O142" s="13" t="s">
        <v>87</v>
      </c>
      <c r="P142" s="13" t="s">
        <v>519</v>
      </c>
    </row>
    <row r="143" customFormat="false" ht="48" hidden="false" customHeight="true" outlineLevel="0" collapsed="false">
      <c r="A143" s="10" t="n">
        <v>10</v>
      </c>
      <c r="B143" s="10" t="n">
        <v>20</v>
      </c>
      <c r="C143" s="10" t="s">
        <v>512</v>
      </c>
      <c r="D143" s="10" t="s">
        <v>137</v>
      </c>
      <c r="E143" s="10" t="s">
        <v>144</v>
      </c>
      <c r="F143" s="10" t="s">
        <v>149</v>
      </c>
      <c r="G143" s="10" t="n">
        <v>25</v>
      </c>
      <c r="H143" s="14" t="s">
        <v>90</v>
      </c>
      <c r="I143" s="15" t="s">
        <v>520</v>
      </c>
      <c r="J143" s="13" t="s">
        <v>521</v>
      </c>
      <c r="K143" s="16" t="s">
        <v>27</v>
      </c>
      <c r="L143" s="13" t="s">
        <v>405</v>
      </c>
      <c r="M143" s="13" t="s">
        <v>100</v>
      </c>
      <c r="N143" s="13" t="s">
        <v>101</v>
      </c>
      <c r="O143" s="13" t="s">
        <v>319</v>
      </c>
      <c r="P143" s="13" t="s">
        <v>522</v>
      </c>
    </row>
    <row r="144" customFormat="false" ht="48" hidden="false" customHeight="true" outlineLevel="0" collapsed="false">
      <c r="A144" s="10" t="n">
        <v>10</v>
      </c>
      <c r="B144" s="10" t="n">
        <v>20</v>
      </c>
      <c r="C144" s="10" t="s">
        <v>512</v>
      </c>
      <c r="D144" s="10" t="s">
        <v>137</v>
      </c>
      <c r="E144" s="10" t="s">
        <v>149</v>
      </c>
      <c r="F144" s="10" t="s">
        <v>126</v>
      </c>
      <c r="G144" s="10" t="n">
        <v>5</v>
      </c>
      <c r="H144" s="21" t="s">
        <v>127</v>
      </c>
      <c r="I144" s="22" t="s">
        <v>435</v>
      </c>
      <c r="J144" s="13" t="s">
        <v>523</v>
      </c>
      <c r="K144" s="16" t="s">
        <v>27</v>
      </c>
      <c r="L144" s="13" t="s">
        <v>524</v>
      </c>
      <c r="M144" s="13" t="s">
        <v>85</v>
      </c>
      <c r="N144" s="13" t="s">
        <v>86</v>
      </c>
      <c r="O144" s="13" t="s">
        <v>319</v>
      </c>
      <c r="P144" s="13" t="s">
        <v>131</v>
      </c>
    </row>
    <row r="145" customFormat="false" ht="24" hidden="false" customHeight="true" outlineLevel="0" collapsed="false">
      <c r="A145" s="23" t="s">
        <v>132</v>
      </c>
      <c r="B145" s="23"/>
      <c r="C145" s="23"/>
      <c r="D145" s="23"/>
      <c r="E145" s="23"/>
      <c r="F145" s="23"/>
      <c r="G145" s="23" t="n">
        <f aca="false">SUM(G141:G144)</f>
        <v>45</v>
      </c>
      <c r="H145" s="23"/>
      <c r="I145" s="24" t="s">
        <v>525</v>
      </c>
      <c r="J145" s="24" t="s">
        <v>526</v>
      </c>
      <c r="K145" s="23"/>
      <c r="L145" s="23"/>
      <c r="M145" s="23"/>
      <c r="N145" s="23"/>
      <c r="O145" s="23"/>
      <c r="P145" s="23"/>
    </row>
    <row r="146" customFormat="false" ht="30" hidden="false" customHeight="true" outlineLevel="0" collapsed="false">
      <c r="A146" s="9" t="s">
        <v>527</v>
      </c>
      <c r="B146" s="9"/>
      <c r="C146" s="9"/>
      <c r="D146" s="9"/>
      <c r="E146" s="9"/>
      <c r="F146" s="9"/>
      <c r="G146" s="9"/>
      <c r="H146" s="9"/>
      <c r="I146" s="9"/>
      <c r="J146" s="9"/>
      <c r="K146" s="9"/>
      <c r="L146" s="9"/>
      <c r="M146" s="9"/>
      <c r="N146" s="9"/>
      <c r="O146" s="9"/>
      <c r="P146" s="9"/>
    </row>
    <row r="147" customFormat="false" ht="48" hidden="false" customHeight="true" outlineLevel="0" collapsed="false">
      <c r="A147" s="10" t="n">
        <v>11</v>
      </c>
      <c r="B147" s="10" t="n">
        <v>21</v>
      </c>
      <c r="C147" s="10" t="s">
        <v>528</v>
      </c>
      <c r="D147" s="10" t="s">
        <v>77</v>
      </c>
      <c r="E147" s="10" t="s">
        <v>78</v>
      </c>
      <c r="F147" s="10" t="s">
        <v>79</v>
      </c>
      <c r="G147" s="10" t="n">
        <v>5</v>
      </c>
      <c r="H147" s="11" t="s">
        <v>80</v>
      </c>
      <c r="I147" s="12" t="s">
        <v>529</v>
      </c>
      <c r="J147" s="13" t="s">
        <v>530</v>
      </c>
      <c r="K147" s="16" t="s">
        <v>27</v>
      </c>
      <c r="L147" s="13" t="s">
        <v>289</v>
      </c>
      <c r="M147" s="13" t="s">
        <v>85</v>
      </c>
      <c r="N147" s="13" t="s">
        <v>8</v>
      </c>
      <c r="O147" s="13" t="s">
        <v>108</v>
      </c>
      <c r="P147" s="13" t="s">
        <v>290</v>
      </c>
    </row>
    <row r="148" customFormat="false" ht="48" hidden="false" customHeight="true" outlineLevel="0" collapsed="false">
      <c r="A148" s="10" t="n">
        <v>11</v>
      </c>
      <c r="B148" s="10" t="n">
        <v>21</v>
      </c>
      <c r="C148" s="10" t="s">
        <v>528</v>
      </c>
      <c r="D148" s="10" t="s">
        <v>77</v>
      </c>
      <c r="E148" s="10" t="s">
        <v>79</v>
      </c>
      <c r="F148" s="10" t="s">
        <v>89</v>
      </c>
      <c r="G148" s="10" t="n">
        <v>10</v>
      </c>
      <c r="H148" s="14" t="s">
        <v>90</v>
      </c>
      <c r="I148" s="15" t="s">
        <v>531</v>
      </c>
      <c r="J148" s="13" t="s">
        <v>532</v>
      </c>
      <c r="K148" s="16" t="s">
        <v>27</v>
      </c>
      <c r="L148" s="13" t="s">
        <v>533</v>
      </c>
      <c r="M148" s="13" t="s">
        <v>85</v>
      </c>
      <c r="N148" s="13" t="s">
        <v>8</v>
      </c>
      <c r="O148" s="13" t="s">
        <v>94</v>
      </c>
      <c r="P148" s="13" t="s">
        <v>534</v>
      </c>
    </row>
    <row r="149" customFormat="false" ht="48" hidden="false" customHeight="true" outlineLevel="0" collapsed="false">
      <c r="A149" s="10" t="n">
        <v>11</v>
      </c>
      <c r="B149" s="10" t="n">
        <v>21</v>
      </c>
      <c r="C149" s="10" t="s">
        <v>528</v>
      </c>
      <c r="D149" s="10" t="s">
        <v>77</v>
      </c>
      <c r="E149" s="10" t="s">
        <v>89</v>
      </c>
      <c r="F149" s="10" t="s">
        <v>96</v>
      </c>
      <c r="G149" s="10" t="n">
        <v>25</v>
      </c>
      <c r="H149" s="14" t="s">
        <v>90</v>
      </c>
      <c r="I149" s="15" t="s">
        <v>535</v>
      </c>
      <c r="J149" s="13" t="s">
        <v>536</v>
      </c>
      <c r="K149" s="16" t="s">
        <v>27</v>
      </c>
      <c r="L149" s="13" t="s">
        <v>537</v>
      </c>
      <c r="M149" s="13" t="s">
        <v>100</v>
      </c>
      <c r="N149" s="13" t="s">
        <v>101</v>
      </c>
      <c r="O149" s="13" t="s">
        <v>319</v>
      </c>
      <c r="P149" s="13" t="s">
        <v>538</v>
      </c>
    </row>
    <row r="150" customFormat="false" ht="48" hidden="false" customHeight="true" outlineLevel="0" collapsed="false">
      <c r="A150" s="10" t="n">
        <v>11</v>
      </c>
      <c r="B150" s="10" t="n">
        <v>21</v>
      </c>
      <c r="C150" s="10" t="s">
        <v>528</v>
      </c>
      <c r="D150" s="10" t="s">
        <v>77</v>
      </c>
      <c r="E150" s="10" t="s">
        <v>96</v>
      </c>
      <c r="F150" s="10" t="s">
        <v>104</v>
      </c>
      <c r="G150" s="10" t="n">
        <v>10</v>
      </c>
      <c r="H150" s="14" t="s">
        <v>90</v>
      </c>
      <c r="I150" s="15" t="s">
        <v>539</v>
      </c>
      <c r="J150" s="13" t="s">
        <v>540</v>
      </c>
      <c r="K150" s="16" t="s">
        <v>27</v>
      </c>
      <c r="L150" s="13" t="s">
        <v>541</v>
      </c>
      <c r="M150" s="13" t="s">
        <v>85</v>
      </c>
      <c r="N150" s="13" t="s">
        <v>8</v>
      </c>
      <c r="O150" s="13" t="s">
        <v>108</v>
      </c>
      <c r="P150" s="13" t="s">
        <v>542</v>
      </c>
    </row>
    <row r="151" customFormat="false" ht="48" hidden="false" customHeight="true" outlineLevel="0" collapsed="false">
      <c r="A151" s="10" t="n">
        <v>11</v>
      </c>
      <c r="B151" s="10" t="n">
        <v>21</v>
      </c>
      <c r="C151" s="10" t="s">
        <v>528</v>
      </c>
      <c r="D151" s="10" t="s">
        <v>77</v>
      </c>
      <c r="E151" s="10" t="s">
        <v>104</v>
      </c>
      <c r="F151" s="10" t="s">
        <v>543</v>
      </c>
      <c r="G151" s="10" t="n">
        <v>5</v>
      </c>
      <c r="H151" s="14" t="s">
        <v>90</v>
      </c>
      <c r="I151" s="15" t="s">
        <v>117</v>
      </c>
      <c r="J151" s="13" t="s">
        <v>544</v>
      </c>
      <c r="K151" s="10" t="s">
        <v>83</v>
      </c>
      <c r="L151" s="13" t="s">
        <v>83</v>
      </c>
      <c r="M151" s="13" t="s">
        <v>83</v>
      </c>
      <c r="N151" s="13" t="s">
        <v>83</v>
      </c>
      <c r="O151" s="13" t="s">
        <v>83</v>
      </c>
      <c r="P151" s="13" t="s">
        <v>83</v>
      </c>
    </row>
    <row r="152" customFormat="false" ht="48" hidden="false" customHeight="true" outlineLevel="0" collapsed="false">
      <c r="A152" s="17" t="n">
        <v>11</v>
      </c>
      <c r="B152" s="17" t="n">
        <v>21</v>
      </c>
      <c r="C152" s="17" t="s">
        <v>528</v>
      </c>
      <c r="D152" s="17" t="s">
        <v>77</v>
      </c>
      <c r="E152" s="17" t="s">
        <v>543</v>
      </c>
      <c r="F152" s="17" t="s">
        <v>119</v>
      </c>
      <c r="G152" s="17" t="n">
        <v>65</v>
      </c>
      <c r="H152" s="18" t="s">
        <v>90</v>
      </c>
      <c r="I152" s="19" t="s">
        <v>545</v>
      </c>
      <c r="J152" s="18" t="s">
        <v>546</v>
      </c>
      <c r="K152" s="20" t="s">
        <v>27</v>
      </c>
      <c r="L152" s="18" t="s">
        <v>547</v>
      </c>
      <c r="M152" s="18" t="s">
        <v>123</v>
      </c>
      <c r="N152" s="18" t="s">
        <v>101</v>
      </c>
      <c r="O152" s="18" t="s">
        <v>378</v>
      </c>
      <c r="P152" s="18" t="s">
        <v>548</v>
      </c>
    </row>
    <row r="153" customFormat="false" ht="48" hidden="false" customHeight="true" outlineLevel="0" collapsed="false">
      <c r="A153" s="10" t="n">
        <v>11</v>
      </c>
      <c r="B153" s="10" t="n">
        <v>21</v>
      </c>
      <c r="C153" s="10" t="s">
        <v>528</v>
      </c>
      <c r="D153" s="10" t="s">
        <v>77</v>
      </c>
      <c r="E153" s="10" t="s">
        <v>119</v>
      </c>
      <c r="F153" s="10" t="s">
        <v>126</v>
      </c>
      <c r="G153" s="10" t="n">
        <v>15</v>
      </c>
      <c r="H153" s="21" t="s">
        <v>127</v>
      </c>
      <c r="I153" s="22" t="s">
        <v>549</v>
      </c>
      <c r="J153" s="13" t="s">
        <v>550</v>
      </c>
      <c r="K153" s="16" t="s">
        <v>27</v>
      </c>
      <c r="L153" s="13" t="s">
        <v>551</v>
      </c>
      <c r="M153" s="13" t="s">
        <v>123</v>
      </c>
      <c r="N153" s="13" t="s">
        <v>101</v>
      </c>
      <c r="O153" s="13" t="s">
        <v>552</v>
      </c>
      <c r="P153" s="13" t="s">
        <v>553</v>
      </c>
    </row>
    <row r="154" customFormat="false" ht="24" hidden="false" customHeight="true" outlineLevel="0" collapsed="false">
      <c r="A154" s="23" t="s">
        <v>132</v>
      </c>
      <c r="B154" s="23"/>
      <c r="C154" s="23"/>
      <c r="D154" s="23"/>
      <c r="E154" s="23"/>
      <c r="F154" s="23"/>
      <c r="G154" s="23" t="n">
        <f aca="false">SUM(G147:G153)</f>
        <v>135</v>
      </c>
      <c r="H154" s="23"/>
      <c r="I154" s="24" t="s">
        <v>554</v>
      </c>
      <c r="J154" s="24" t="s">
        <v>526</v>
      </c>
      <c r="K154" s="23"/>
      <c r="L154" s="23"/>
      <c r="M154" s="23"/>
      <c r="N154" s="23"/>
      <c r="O154" s="23"/>
      <c r="P154" s="23"/>
    </row>
    <row r="155" customFormat="false" ht="30" hidden="false" customHeight="true" outlineLevel="0" collapsed="false">
      <c r="A155" s="9" t="s">
        <v>555</v>
      </c>
      <c r="B155" s="9"/>
      <c r="C155" s="9"/>
      <c r="D155" s="9"/>
      <c r="E155" s="9"/>
      <c r="F155" s="9"/>
      <c r="G155" s="9"/>
      <c r="H155" s="9"/>
      <c r="I155" s="9"/>
      <c r="J155" s="9"/>
      <c r="K155" s="9"/>
      <c r="L155" s="9"/>
      <c r="M155" s="9"/>
      <c r="N155" s="9"/>
      <c r="O155" s="9"/>
      <c r="P155" s="9"/>
    </row>
    <row r="156" customFormat="false" ht="48" hidden="false" customHeight="true" outlineLevel="0" collapsed="false">
      <c r="A156" s="10" t="n">
        <v>11</v>
      </c>
      <c r="B156" s="10" t="n">
        <v>22</v>
      </c>
      <c r="C156" s="10" t="s">
        <v>556</v>
      </c>
      <c r="D156" s="10" t="s">
        <v>137</v>
      </c>
      <c r="E156" s="10" t="s">
        <v>138</v>
      </c>
      <c r="F156" s="10" t="s">
        <v>139</v>
      </c>
      <c r="G156" s="10" t="n">
        <v>5</v>
      </c>
      <c r="H156" s="11" t="s">
        <v>80</v>
      </c>
      <c r="I156" s="12" t="s">
        <v>140</v>
      </c>
      <c r="J156" s="13" t="s">
        <v>557</v>
      </c>
      <c r="K156" s="16" t="s">
        <v>35</v>
      </c>
      <c r="L156" s="13" t="s">
        <v>558</v>
      </c>
      <c r="M156" s="13" t="s">
        <v>100</v>
      </c>
      <c r="N156" s="13" t="s">
        <v>101</v>
      </c>
      <c r="O156" s="13" t="s">
        <v>108</v>
      </c>
      <c r="P156" s="13" t="s">
        <v>143</v>
      </c>
    </row>
    <row r="157" customFormat="false" ht="48" hidden="false" customHeight="true" outlineLevel="0" collapsed="false">
      <c r="A157" s="10" t="n">
        <v>11</v>
      </c>
      <c r="B157" s="10" t="n">
        <v>22</v>
      </c>
      <c r="C157" s="10" t="s">
        <v>556</v>
      </c>
      <c r="D157" s="10" t="s">
        <v>137</v>
      </c>
      <c r="E157" s="10" t="s">
        <v>139</v>
      </c>
      <c r="F157" s="10" t="s">
        <v>144</v>
      </c>
      <c r="G157" s="10" t="n">
        <v>10</v>
      </c>
      <c r="H157" s="14" t="s">
        <v>90</v>
      </c>
      <c r="I157" s="15" t="s">
        <v>559</v>
      </c>
      <c r="J157" s="13" t="s">
        <v>560</v>
      </c>
      <c r="K157" s="16" t="s">
        <v>35</v>
      </c>
      <c r="L157" s="13" t="s">
        <v>147</v>
      </c>
      <c r="M157" s="13" t="s">
        <v>85</v>
      </c>
      <c r="N157" s="13" t="s">
        <v>8</v>
      </c>
      <c r="O157" s="13" t="s">
        <v>87</v>
      </c>
      <c r="P157" s="13" t="s">
        <v>561</v>
      </c>
    </row>
    <row r="158" customFormat="false" ht="48" hidden="false" customHeight="true" outlineLevel="0" collapsed="false">
      <c r="A158" s="10" t="n">
        <v>11</v>
      </c>
      <c r="B158" s="10" t="n">
        <v>22</v>
      </c>
      <c r="C158" s="10" t="s">
        <v>556</v>
      </c>
      <c r="D158" s="10" t="s">
        <v>137</v>
      </c>
      <c r="E158" s="10" t="s">
        <v>144</v>
      </c>
      <c r="F158" s="10" t="s">
        <v>149</v>
      </c>
      <c r="G158" s="10" t="n">
        <v>25</v>
      </c>
      <c r="H158" s="14" t="s">
        <v>90</v>
      </c>
      <c r="I158" s="15" t="s">
        <v>562</v>
      </c>
      <c r="J158" s="13" t="s">
        <v>563</v>
      </c>
      <c r="K158" s="16" t="s">
        <v>35</v>
      </c>
      <c r="L158" s="13" t="s">
        <v>564</v>
      </c>
      <c r="M158" s="13" t="s">
        <v>123</v>
      </c>
      <c r="N158" s="13" t="s">
        <v>101</v>
      </c>
      <c r="O158" s="13" t="s">
        <v>102</v>
      </c>
      <c r="P158" s="13" t="s">
        <v>565</v>
      </c>
    </row>
    <row r="159" customFormat="false" ht="48" hidden="false" customHeight="true" outlineLevel="0" collapsed="false">
      <c r="A159" s="10" t="n">
        <v>11</v>
      </c>
      <c r="B159" s="10" t="n">
        <v>22</v>
      </c>
      <c r="C159" s="10" t="s">
        <v>556</v>
      </c>
      <c r="D159" s="10" t="s">
        <v>137</v>
      </c>
      <c r="E159" s="10" t="s">
        <v>149</v>
      </c>
      <c r="F159" s="10" t="s">
        <v>126</v>
      </c>
      <c r="G159" s="10" t="n">
        <v>5</v>
      </c>
      <c r="H159" s="21" t="s">
        <v>127</v>
      </c>
      <c r="I159" s="22" t="s">
        <v>154</v>
      </c>
      <c r="J159" s="13" t="s">
        <v>566</v>
      </c>
      <c r="K159" s="16" t="s">
        <v>29</v>
      </c>
      <c r="L159" s="13" t="s">
        <v>156</v>
      </c>
      <c r="M159" s="13" t="s">
        <v>85</v>
      </c>
      <c r="N159" s="13" t="s">
        <v>8</v>
      </c>
      <c r="O159" s="13" t="s">
        <v>108</v>
      </c>
      <c r="P159" s="13" t="s">
        <v>567</v>
      </c>
    </row>
    <row r="160" customFormat="false" ht="24" hidden="false" customHeight="true" outlineLevel="0" collapsed="false">
      <c r="A160" s="23" t="s">
        <v>132</v>
      </c>
      <c r="B160" s="23"/>
      <c r="C160" s="23"/>
      <c r="D160" s="23"/>
      <c r="E160" s="23"/>
      <c r="F160" s="23"/>
      <c r="G160" s="23" t="n">
        <f aca="false">SUM(G156:G159)</f>
        <v>45</v>
      </c>
      <c r="H160" s="23"/>
      <c r="I160" s="24" t="s">
        <v>568</v>
      </c>
      <c r="J160" s="24" t="s">
        <v>569</v>
      </c>
      <c r="K160" s="23"/>
      <c r="L160" s="23"/>
      <c r="M160" s="23"/>
      <c r="N160" s="23"/>
      <c r="O160" s="23"/>
      <c r="P160" s="23"/>
    </row>
    <row r="161" customFormat="false" ht="30" hidden="false" customHeight="true" outlineLevel="0" collapsed="false">
      <c r="A161" s="9" t="s">
        <v>570</v>
      </c>
      <c r="B161" s="9"/>
      <c r="C161" s="9"/>
      <c r="D161" s="9"/>
      <c r="E161" s="9"/>
      <c r="F161" s="9"/>
      <c r="G161" s="9"/>
      <c r="H161" s="9"/>
      <c r="I161" s="9"/>
      <c r="J161" s="9"/>
      <c r="K161" s="9"/>
      <c r="L161" s="9"/>
      <c r="M161" s="9"/>
      <c r="N161" s="9"/>
      <c r="O161" s="9"/>
      <c r="P161" s="9"/>
    </row>
    <row r="162" customFormat="false" ht="48" hidden="false" customHeight="true" outlineLevel="0" collapsed="false">
      <c r="A162" s="10" t="n">
        <v>12</v>
      </c>
      <c r="B162" s="10" t="n">
        <v>23</v>
      </c>
      <c r="C162" s="10" t="s">
        <v>571</v>
      </c>
      <c r="D162" s="10" t="s">
        <v>77</v>
      </c>
      <c r="E162" s="10" t="s">
        <v>78</v>
      </c>
      <c r="F162" s="10" t="s">
        <v>79</v>
      </c>
      <c r="G162" s="10" t="n">
        <v>5</v>
      </c>
      <c r="H162" s="11" t="s">
        <v>80</v>
      </c>
      <c r="I162" s="12" t="s">
        <v>140</v>
      </c>
      <c r="J162" s="13" t="s">
        <v>572</v>
      </c>
      <c r="K162" s="16" t="s">
        <v>29</v>
      </c>
      <c r="L162" s="13" t="s">
        <v>573</v>
      </c>
      <c r="M162" s="13" t="s">
        <v>85</v>
      </c>
      <c r="N162" s="13" t="s">
        <v>101</v>
      </c>
      <c r="O162" s="13" t="s">
        <v>87</v>
      </c>
      <c r="P162" s="13" t="s">
        <v>574</v>
      </c>
    </row>
    <row r="163" customFormat="false" ht="48" hidden="false" customHeight="true" outlineLevel="0" collapsed="false">
      <c r="A163" s="10" t="n">
        <v>12</v>
      </c>
      <c r="B163" s="10" t="n">
        <v>23</v>
      </c>
      <c r="C163" s="10" t="s">
        <v>571</v>
      </c>
      <c r="D163" s="10" t="s">
        <v>77</v>
      </c>
      <c r="E163" s="10" t="s">
        <v>79</v>
      </c>
      <c r="F163" s="10" t="s">
        <v>89</v>
      </c>
      <c r="G163" s="10" t="n">
        <v>10</v>
      </c>
      <c r="H163" s="14" t="s">
        <v>90</v>
      </c>
      <c r="I163" s="15" t="s">
        <v>575</v>
      </c>
      <c r="J163" s="13" t="s">
        <v>576</v>
      </c>
      <c r="K163" s="16" t="s">
        <v>29</v>
      </c>
      <c r="L163" s="13" t="s">
        <v>577</v>
      </c>
      <c r="M163" s="13" t="s">
        <v>85</v>
      </c>
      <c r="N163" s="13" t="s">
        <v>8</v>
      </c>
      <c r="O163" s="13" t="s">
        <v>94</v>
      </c>
      <c r="P163" s="13" t="s">
        <v>578</v>
      </c>
    </row>
    <row r="164" customFormat="false" ht="48" hidden="false" customHeight="true" outlineLevel="0" collapsed="false">
      <c r="A164" s="10" t="n">
        <v>12</v>
      </c>
      <c r="B164" s="10" t="n">
        <v>23</v>
      </c>
      <c r="C164" s="10" t="s">
        <v>571</v>
      </c>
      <c r="D164" s="10" t="s">
        <v>77</v>
      </c>
      <c r="E164" s="10" t="s">
        <v>89</v>
      </c>
      <c r="F164" s="10" t="s">
        <v>96</v>
      </c>
      <c r="G164" s="10" t="n">
        <v>25</v>
      </c>
      <c r="H164" s="14" t="s">
        <v>90</v>
      </c>
      <c r="I164" s="15" t="s">
        <v>579</v>
      </c>
      <c r="J164" s="13" t="s">
        <v>580</v>
      </c>
      <c r="K164" s="16" t="s">
        <v>29</v>
      </c>
      <c r="L164" s="13" t="s">
        <v>581</v>
      </c>
      <c r="M164" s="13" t="s">
        <v>100</v>
      </c>
      <c r="N164" s="13" t="s">
        <v>101</v>
      </c>
      <c r="O164" s="13" t="s">
        <v>378</v>
      </c>
      <c r="P164" s="13" t="s">
        <v>582</v>
      </c>
    </row>
    <row r="165" customFormat="false" ht="48" hidden="false" customHeight="true" outlineLevel="0" collapsed="false">
      <c r="A165" s="10" t="n">
        <v>12</v>
      </c>
      <c r="B165" s="10" t="n">
        <v>23</v>
      </c>
      <c r="C165" s="10" t="s">
        <v>571</v>
      </c>
      <c r="D165" s="10" t="s">
        <v>77</v>
      </c>
      <c r="E165" s="10" t="s">
        <v>96</v>
      </c>
      <c r="F165" s="10" t="s">
        <v>104</v>
      </c>
      <c r="G165" s="10" t="n">
        <v>10</v>
      </c>
      <c r="H165" s="14" t="s">
        <v>90</v>
      </c>
      <c r="I165" s="15" t="s">
        <v>583</v>
      </c>
      <c r="J165" s="13" t="s">
        <v>584</v>
      </c>
      <c r="K165" s="16" t="s">
        <v>29</v>
      </c>
      <c r="L165" s="13" t="s">
        <v>585</v>
      </c>
      <c r="M165" s="13" t="s">
        <v>85</v>
      </c>
      <c r="N165" s="13" t="s">
        <v>8</v>
      </c>
      <c r="O165" s="13" t="s">
        <v>87</v>
      </c>
      <c r="P165" s="13" t="s">
        <v>586</v>
      </c>
    </row>
    <row r="166" customFormat="false" ht="48" hidden="false" customHeight="true" outlineLevel="0" collapsed="false">
      <c r="A166" s="10" t="n">
        <v>12</v>
      </c>
      <c r="B166" s="10" t="n">
        <v>23</v>
      </c>
      <c r="C166" s="10" t="s">
        <v>571</v>
      </c>
      <c r="D166" s="10" t="s">
        <v>77</v>
      </c>
      <c r="E166" s="10" t="s">
        <v>104</v>
      </c>
      <c r="F166" s="10" t="s">
        <v>110</v>
      </c>
      <c r="G166" s="10" t="n">
        <v>25</v>
      </c>
      <c r="H166" s="14" t="s">
        <v>90</v>
      </c>
      <c r="I166" s="15" t="s">
        <v>587</v>
      </c>
      <c r="J166" s="13" t="s">
        <v>588</v>
      </c>
      <c r="K166" s="16" t="s">
        <v>29</v>
      </c>
      <c r="L166" s="13" t="s">
        <v>589</v>
      </c>
      <c r="M166" s="13" t="s">
        <v>114</v>
      </c>
      <c r="N166" s="13" t="s">
        <v>101</v>
      </c>
      <c r="O166" s="13" t="s">
        <v>319</v>
      </c>
      <c r="P166" s="13" t="s">
        <v>590</v>
      </c>
    </row>
    <row r="167" customFormat="false" ht="48" hidden="false" customHeight="true" outlineLevel="0" collapsed="false">
      <c r="A167" s="10" t="n">
        <v>12</v>
      </c>
      <c r="B167" s="10" t="n">
        <v>23</v>
      </c>
      <c r="C167" s="10" t="s">
        <v>571</v>
      </c>
      <c r="D167" s="10" t="s">
        <v>77</v>
      </c>
      <c r="E167" s="10" t="s">
        <v>110</v>
      </c>
      <c r="F167" s="10" t="s">
        <v>116</v>
      </c>
      <c r="G167" s="10" t="n">
        <v>5</v>
      </c>
      <c r="H167" s="14" t="s">
        <v>90</v>
      </c>
      <c r="I167" s="15" t="s">
        <v>117</v>
      </c>
      <c r="J167" s="13" t="s">
        <v>180</v>
      </c>
      <c r="K167" s="10" t="s">
        <v>83</v>
      </c>
      <c r="L167" s="13" t="s">
        <v>83</v>
      </c>
      <c r="M167" s="13" t="s">
        <v>83</v>
      </c>
      <c r="N167" s="13" t="s">
        <v>83</v>
      </c>
      <c r="O167" s="13" t="s">
        <v>83</v>
      </c>
      <c r="P167" s="13" t="s">
        <v>83</v>
      </c>
    </row>
    <row r="168" customFormat="false" ht="48" hidden="false" customHeight="true" outlineLevel="0" collapsed="false">
      <c r="A168" s="17" t="n">
        <v>12</v>
      </c>
      <c r="B168" s="17" t="n">
        <v>23</v>
      </c>
      <c r="C168" s="17" t="s">
        <v>571</v>
      </c>
      <c r="D168" s="17" t="s">
        <v>77</v>
      </c>
      <c r="E168" s="17" t="s">
        <v>116</v>
      </c>
      <c r="F168" s="17" t="s">
        <v>119</v>
      </c>
      <c r="G168" s="17" t="n">
        <v>40</v>
      </c>
      <c r="H168" s="18" t="s">
        <v>90</v>
      </c>
      <c r="I168" s="19" t="s">
        <v>591</v>
      </c>
      <c r="J168" s="18" t="s">
        <v>592</v>
      </c>
      <c r="K168" s="20" t="s">
        <v>29</v>
      </c>
      <c r="L168" s="18" t="s">
        <v>183</v>
      </c>
      <c r="M168" s="18" t="s">
        <v>123</v>
      </c>
      <c r="N168" s="18" t="s">
        <v>101</v>
      </c>
      <c r="O168" s="18" t="s">
        <v>378</v>
      </c>
      <c r="P168" s="18" t="s">
        <v>593</v>
      </c>
    </row>
    <row r="169" customFormat="false" ht="48" hidden="false" customHeight="true" outlineLevel="0" collapsed="false">
      <c r="A169" s="10" t="n">
        <v>12</v>
      </c>
      <c r="B169" s="10" t="n">
        <v>23</v>
      </c>
      <c r="C169" s="10" t="s">
        <v>571</v>
      </c>
      <c r="D169" s="10" t="s">
        <v>77</v>
      </c>
      <c r="E169" s="10" t="s">
        <v>119</v>
      </c>
      <c r="F169" s="10" t="s">
        <v>126</v>
      </c>
      <c r="G169" s="10" t="n">
        <v>15</v>
      </c>
      <c r="H169" s="21" t="s">
        <v>127</v>
      </c>
      <c r="I169" s="22" t="s">
        <v>156</v>
      </c>
      <c r="J169" s="13" t="s">
        <v>594</v>
      </c>
      <c r="K169" s="16" t="s">
        <v>29</v>
      </c>
      <c r="L169" s="13" t="s">
        <v>156</v>
      </c>
      <c r="M169" s="13" t="s">
        <v>85</v>
      </c>
      <c r="N169" s="13" t="s">
        <v>8</v>
      </c>
      <c r="O169" s="13" t="s">
        <v>87</v>
      </c>
      <c r="P169" s="13" t="s">
        <v>595</v>
      </c>
    </row>
    <row r="170" customFormat="false" ht="24" hidden="false" customHeight="true" outlineLevel="0" collapsed="false">
      <c r="A170" s="23" t="s">
        <v>132</v>
      </c>
      <c r="B170" s="23"/>
      <c r="C170" s="23"/>
      <c r="D170" s="23"/>
      <c r="E170" s="23"/>
      <c r="F170" s="23"/>
      <c r="G170" s="23" t="n">
        <f aca="false">SUM(G162:G169)</f>
        <v>135</v>
      </c>
      <c r="H170" s="23"/>
      <c r="I170" s="24" t="s">
        <v>596</v>
      </c>
      <c r="J170" s="24" t="s">
        <v>597</v>
      </c>
      <c r="K170" s="23"/>
      <c r="L170" s="23"/>
      <c r="M170" s="23"/>
      <c r="N170" s="23"/>
      <c r="O170" s="23"/>
      <c r="P170" s="23"/>
    </row>
    <row r="171" customFormat="false" ht="30" hidden="false" customHeight="true" outlineLevel="0" collapsed="false">
      <c r="A171" s="9" t="s">
        <v>598</v>
      </c>
      <c r="B171" s="9"/>
      <c r="C171" s="9"/>
      <c r="D171" s="9"/>
      <c r="E171" s="9"/>
      <c r="F171" s="9"/>
      <c r="G171" s="9"/>
      <c r="H171" s="9"/>
      <c r="I171" s="9"/>
      <c r="J171" s="9"/>
      <c r="K171" s="9"/>
      <c r="L171" s="9"/>
      <c r="M171" s="9"/>
      <c r="N171" s="9"/>
      <c r="O171" s="9"/>
      <c r="P171" s="9"/>
    </row>
    <row r="172" customFormat="false" ht="48" hidden="false" customHeight="true" outlineLevel="0" collapsed="false">
      <c r="A172" s="10" t="n">
        <v>12</v>
      </c>
      <c r="B172" s="10" t="n">
        <v>24</v>
      </c>
      <c r="C172" s="10" t="s">
        <v>599</v>
      </c>
      <c r="D172" s="10" t="s">
        <v>137</v>
      </c>
      <c r="E172" s="10" t="s">
        <v>138</v>
      </c>
      <c r="F172" s="10" t="s">
        <v>139</v>
      </c>
      <c r="G172" s="10" t="n">
        <v>5</v>
      </c>
      <c r="H172" s="11" t="s">
        <v>80</v>
      </c>
      <c r="I172" s="12" t="s">
        <v>424</v>
      </c>
      <c r="J172" s="13" t="s">
        <v>600</v>
      </c>
      <c r="K172" s="16" t="s">
        <v>29</v>
      </c>
      <c r="L172" s="13" t="s">
        <v>289</v>
      </c>
      <c r="M172" s="13" t="s">
        <v>85</v>
      </c>
      <c r="N172" s="13" t="s">
        <v>8</v>
      </c>
      <c r="O172" s="13" t="s">
        <v>108</v>
      </c>
      <c r="P172" s="13" t="s">
        <v>290</v>
      </c>
    </row>
    <row r="173" customFormat="false" ht="48" hidden="false" customHeight="true" outlineLevel="0" collapsed="false">
      <c r="A173" s="10" t="n">
        <v>12</v>
      </c>
      <c r="B173" s="10" t="n">
        <v>24</v>
      </c>
      <c r="C173" s="10" t="s">
        <v>599</v>
      </c>
      <c r="D173" s="10" t="s">
        <v>137</v>
      </c>
      <c r="E173" s="10" t="s">
        <v>139</v>
      </c>
      <c r="F173" s="10" t="s">
        <v>144</v>
      </c>
      <c r="G173" s="10" t="n">
        <v>10</v>
      </c>
      <c r="H173" s="14" t="s">
        <v>90</v>
      </c>
      <c r="I173" s="15" t="s">
        <v>601</v>
      </c>
      <c r="J173" s="13" t="s">
        <v>602</v>
      </c>
      <c r="K173" s="16" t="s">
        <v>29</v>
      </c>
      <c r="L173" s="13" t="s">
        <v>499</v>
      </c>
      <c r="M173" s="13" t="s">
        <v>85</v>
      </c>
      <c r="N173" s="13" t="s">
        <v>8</v>
      </c>
      <c r="O173" s="13" t="s">
        <v>87</v>
      </c>
      <c r="P173" s="13" t="s">
        <v>603</v>
      </c>
    </row>
    <row r="174" customFormat="false" ht="48" hidden="false" customHeight="true" outlineLevel="0" collapsed="false">
      <c r="A174" s="10" t="n">
        <v>12</v>
      </c>
      <c r="B174" s="10" t="n">
        <v>24</v>
      </c>
      <c r="C174" s="10" t="s">
        <v>599</v>
      </c>
      <c r="D174" s="10" t="s">
        <v>137</v>
      </c>
      <c r="E174" s="10" t="s">
        <v>144</v>
      </c>
      <c r="F174" s="10" t="s">
        <v>149</v>
      </c>
      <c r="G174" s="10" t="n">
        <v>25</v>
      </c>
      <c r="H174" s="14" t="s">
        <v>90</v>
      </c>
      <c r="I174" s="15" t="s">
        <v>604</v>
      </c>
      <c r="J174" s="13" t="s">
        <v>605</v>
      </c>
      <c r="K174" s="16" t="s">
        <v>29</v>
      </c>
      <c r="L174" s="13" t="s">
        <v>606</v>
      </c>
      <c r="M174" s="13" t="s">
        <v>100</v>
      </c>
      <c r="N174" s="13" t="s">
        <v>101</v>
      </c>
      <c r="O174" s="13" t="s">
        <v>250</v>
      </c>
      <c r="P174" s="13" t="s">
        <v>604</v>
      </c>
    </row>
    <row r="175" customFormat="false" ht="48" hidden="false" customHeight="true" outlineLevel="0" collapsed="false">
      <c r="A175" s="10" t="n">
        <v>12</v>
      </c>
      <c r="B175" s="10" t="n">
        <v>24</v>
      </c>
      <c r="C175" s="10" t="s">
        <v>599</v>
      </c>
      <c r="D175" s="10" t="s">
        <v>137</v>
      </c>
      <c r="E175" s="10" t="s">
        <v>149</v>
      </c>
      <c r="F175" s="10" t="s">
        <v>126</v>
      </c>
      <c r="G175" s="10" t="n">
        <v>5</v>
      </c>
      <c r="H175" s="21" t="s">
        <v>127</v>
      </c>
      <c r="I175" s="22" t="s">
        <v>255</v>
      </c>
      <c r="J175" s="13" t="s">
        <v>607</v>
      </c>
      <c r="K175" s="16" t="s">
        <v>29</v>
      </c>
      <c r="L175" s="13" t="s">
        <v>257</v>
      </c>
      <c r="M175" s="13" t="s">
        <v>85</v>
      </c>
      <c r="N175" s="13" t="s">
        <v>8</v>
      </c>
      <c r="O175" s="13" t="s">
        <v>335</v>
      </c>
      <c r="P175" s="13" t="s">
        <v>131</v>
      </c>
    </row>
    <row r="176" customFormat="false" ht="24" hidden="false" customHeight="true" outlineLevel="0" collapsed="false">
      <c r="A176" s="23" t="s">
        <v>132</v>
      </c>
      <c r="B176" s="23"/>
      <c r="C176" s="23"/>
      <c r="D176" s="23"/>
      <c r="E176" s="23"/>
      <c r="F176" s="23"/>
      <c r="G176" s="23" t="n">
        <f aca="false">SUM(G172:G175)</f>
        <v>45</v>
      </c>
      <c r="H176" s="23"/>
      <c r="I176" s="24" t="s">
        <v>608</v>
      </c>
      <c r="J176" s="24" t="s">
        <v>259</v>
      </c>
      <c r="K176" s="23"/>
      <c r="L176" s="23"/>
      <c r="M176" s="23"/>
      <c r="N176" s="23"/>
      <c r="O176" s="23"/>
      <c r="P176" s="23"/>
    </row>
    <row r="177" customFormat="false" ht="30" hidden="false" customHeight="true" outlineLevel="0" collapsed="false">
      <c r="A177" s="9" t="s">
        <v>609</v>
      </c>
      <c r="B177" s="9"/>
      <c r="C177" s="9"/>
      <c r="D177" s="9"/>
      <c r="E177" s="9"/>
      <c r="F177" s="9"/>
      <c r="G177" s="9"/>
      <c r="H177" s="9"/>
      <c r="I177" s="9"/>
      <c r="J177" s="9"/>
      <c r="K177" s="9"/>
      <c r="L177" s="9"/>
      <c r="M177" s="9"/>
      <c r="N177" s="9"/>
      <c r="O177" s="9"/>
      <c r="P177" s="9"/>
    </row>
    <row r="178" customFormat="false" ht="48" hidden="false" customHeight="true" outlineLevel="0" collapsed="false">
      <c r="A178" s="10" t="n">
        <v>13</v>
      </c>
      <c r="B178" s="10" t="n">
        <v>25</v>
      </c>
      <c r="C178" s="10" t="s">
        <v>610</v>
      </c>
      <c r="D178" s="10" t="s">
        <v>77</v>
      </c>
      <c r="E178" s="10" t="s">
        <v>78</v>
      </c>
      <c r="F178" s="10" t="s">
        <v>79</v>
      </c>
      <c r="G178" s="10" t="n">
        <v>5</v>
      </c>
      <c r="H178" s="11" t="s">
        <v>80</v>
      </c>
      <c r="I178" s="12" t="s">
        <v>162</v>
      </c>
      <c r="J178" s="13" t="s">
        <v>611</v>
      </c>
      <c r="K178" s="16" t="s">
        <v>29</v>
      </c>
      <c r="L178" s="13" t="s">
        <v>612</v>
      </c>
      <c r="M178" s="13" t="s">
        <v>100</v>
      </c>
      <c r="N178" s="13" t="s">
        <v>101</v>
      </c>
      <c r="O178" s="13" t="s">
        <v>108</v>
      </c>
      <c r="P178" s="13" t="s">
        <v>143</v>
      </c>
    </row>
    <row r="179" customFormat="false" ht="48" hidden="false" customHeight="true" outlineLevel="0" collapsed="false">
      <c r="A179" s="10" t="n">
        <v>13</v>
      </c>
      <c r="B179" s="10" t="n">
        <v>25</v>
      </c>
      <c r="C179" s="10" t="s">
        <v>610</v>
      </c>
      <c r="D179" s="10" t="s">
        <v>77</v>
      </c>
      <c r="E179" s="10" t="s">
        <v>79</v>
      </c>
      <c r="F179" s="10" t="s">
        <v>89</v>
      </c>
      <c r="G179" s="10" t="n">
        <v>10</v>
      </c>
      <c r="H179" s="14" t="s">
        <v>90</v>
      </c>
      <c r="I179" s="15" t="s">
        <v>613</v>
      </c>
      <c r="J179" s="13" t="s">
        <v>614</v>
      </c>
      <c r="K179" s="16" t="s">
        <v>29</v>
      </c>
      <c r="L179" s="13" t="s">
        <v>215</v>
      </c>
      <c r="M179" s="13" t="s">
        <v>85</v>
      </c>
      <c r="N179" s="13" t="s">
        <v>8</v>
      </c>
      <c r="O179" s="13" t="s">
        <v>314</v>
      </c>
      <c r="P179" s="13" t="s">
        <v>615</v>
      </c>
    </row>
    <row r="180" customFormat="false" ht="48" hidden="false" customHeight="true" outlineLevel="0" collapsed="false">
      <c r="A180" s="10" t="n">
        <v>13</v>
      </c>
      <c r="B180" s="10" t="n">
        <v>25</v>
      </c>
      <c r="C180" s="10" t="s">
        <v>610</v>
      </c>
      <c r="D180" s="10" t="s">
        <v>77</v>
      </c>
      <c r="E180" s="10" t="s">
        <v>89</v>
      </c>
      <c r="F180" s="10" t="s">
        <v>96</v>
      </c>
      <c r="G180" s="10" t="n">
        <v>25</v>
      </c>
      <c r="H180" s="14" t="s">
        <v>90</v>
      </c>
      <c r="I180" s="15" t="s">
        <v>616</v>
      </c>
      <c r="J180" s="13" t="s">
        <v>617</v>
      </c>
      <c r="K180" s="16" t="s">
        <v>29</v>
      </c>
      <c r="L180" s="13" t="s">
        <v>589</v>
      </c>
      <c r="M180" s="13" t="s">
        <v>100</v>
      </c>
      <c r="N180" s="13" t="s">
        <v>101</v>
      </c>
      <c r="O180" s="13" t="s">
        <v>364</v>
      </c>
      <c r="P180" s="13" t="s">
        <v>618</v>
      </c>
    </row>
    <row r="181" customFormat="false" ht="48" hidden="false" customHeight="true" outlineLevel="0" collapsed="false">
      <c r="A181" s="10" t="n">
        <v>13</v>
      </c>
      <c r="B181" s="10" t="n">
        <v>25</v>
      </c>
      <c r="C181" s="10" t="s">
        <v>610</v>
      </c>
      <c r="D181" s="10" t="s">
        <v>77</v>
      </c>
      <c r="E181" s="10" t="s">
        <v>96</v>
      </c>
      <c r="F181" s="10" t="s">
        <v>104</v>
      </c>
      <c r="G181" s="10" t="n">
        <v>10</v>
      </c>
      <c r="H181" s="14" t="s">
        <v>90</v>
      </c>
      <c r="I181" s="15" t="s">
        <v>619</v>
      </c>
      <c r="J181" s="13" t="s">
        <v>620</v>
      </c>
      <c r="K181" s="16" t="s">
        <v>31</v>
      </c>
      <c r="L181" s="13" t="s">
        <v>621</v>
      </c>
      <c r="M181" s="13" t="s">
        <v>85</v>
      </c>
      <c r="N181" s="13" t="s">
        <v>8</v>
      </c>
      <c r="O181" s="13" t="s">
        <v>108</v>
      </c>
      <c r="P181" s="13" t="s">
        <v>622</v>
      </c>
    </row>
    <row r="182" customFormat="false" ht="48" hidden="false" customHeight="true" outlineLevel="0" collapsed="false">
      <c r="A182" s="10" t="n">
        <v>13</v>
      </c>
      <c r="B182" s="10" t="n">
        <v>25</v>
      </c>
      <c r="C182" s="10" t="s">
        <v>610</v>
      </c>
      <c r="D182" s="10" t="s">
        <v>77</v>
      </c>
      <c r="E182" s="10" t="s">
        <v>104</v>
      </c>
      <c r="F182" s="10" t="s">
        <v>110</v>
      </c>
      <c r="G182" s="10" t="n">
        <v>25</v>
      </c>
      <c r="H182" s="14" t="s">
        <v>90</v>
      </c>
      <c r="I182" s="15" t="s">
        <v>623</v>
      </c>
      <c r="J182" s="13" t="s">
        <v>624</v>
      </c>
      <c r="K182" s="16" t="s">
        <v>31</v>
      </c>
      <c r="L182" s="13" t="s">
        <v>625</v>
      </c>
      <c r="M182" s="13" t="s">
        <v>100</v>
      </c>
      <c r="N182" s="13" t="s">
        <v>101</v>
      </c>
      <c r="O182" s="13" t="s">
        <v>319</v>
      </c>
      <c r="P182" s="13" t="s">
        <v>626</v>
      </c>
    </row>
    <row r="183" customFormat="false" ht="48" hidden="false" customHeight="true" outlineLevel="0" collapsed="false">
      <c r="A183" s="10" t="n">
        <v>13</v>
      </c>
      <c r="B183" s="10" t="n">
        <v>25</v>
      </c>
      <c r="C183" s="10" t="s">
        <v>610</v>
      </c>
      <c r="D183" s="10" t="s">
        <v>77</v>
      </c>
      <c r="E183" s="10" t="s">
        <v>110</v>
      </c>
      <c r="F183" s="10" t="s">
        <v>116</v>
      </c>
      <c r="G183" s="10" t="n">
        <v>5</v>
      </c>
      <c r="H183" s="14" t="s">
        <v>90</v>
      </c>
      <c r="I183" s="15" t="s">
        <v>117</v>
      </c>
      <c r="J183" s="13" t="s">
        <v>180</v>
      </c>
      <c r="K183" s="10" t="s">
        <v>83</v>
      </c>
      <c r="L183" s="13" t="s">
        <v>83</v>
      </c>
      <c r="M183" s="13" t="s">
        <v>83</v>
      </c>
      <c r="N183" s="13" t="s">
        <v>83</v>
      </c>
      <c r="O183" s="13" t="s">
        <v>83</v>
      </c>
      <c r="P183" s="13" t="s">
        <v>83</v>
      </c>
    </row>
    <row r="184" customFormat="false" ht="48" hidden="false" customHeight="true" outlineLevel="0" collapsed="false">
      <c r="A184" s="17" t="n">
        <v>13</v>
      </c>
      <c r="B184" s="17" t="n">
        <v>25</v>
      </c>
      <c r="C184" s="17" t="s">
        <v>610</v>
      </c>
      <c r="D184" s="17" t="s">
        <v>77</v>
      </c>
      <c r="E184" s="17" t="s">
        <v>116</v>
      </c>
      <c r="F184" s="17" t="s">
        <v>119</v>
      </c>
      <c r="G184" s="17" t="n">
        <v>40</v>
      </c>
      <c r="H184" s="18" t="s">
        <v>90</v>
      </c>
      <c r="I184" s="19" t="s">
        <v>627</v>
      </c>
      <c r="J184" s="18" t="s">
        <v>628</v>
      </c>
      <c r="K184" s="20" t="s">
        <v>629</v>
      </c>
      <c r="L184" s="18" t="s">
        <v>630</v>
      </c>
      <c r="M184" s="18" t="s">
        <v>123</v>
      </c>
      <c r="N184" s="18" t="s">
        <v>101</v>
      </c>
      <c r="O184" s="18" t="s">
        <v>378</v>
      </c>
      <c r="P184" s="18" t="s">
        <v>631</v>
      </c>
    </row>
    <row r="185" customFormat="false" ht="48" hidden="false" customHeight="true" outlineLevel="0" collapsed="false">
      <c r="A185" s="10" t="n">
        <v>13</v>
      </c>
      <c r="B185" s="10" t="n">
        <v>25</v>
      </c>
      <c r="C185" s="10" t="s">
        <v>610</v>
      </c>
      <c r="D185" s="10" t="s">
        <v>77</v>
      </c>
      <c r="E185" s="10" t="s">
        <v>119</v>
      </c>
      <c r="F185" s="10" t="s">
        <v>126</v>
      </c>
      <c r="G185" s="10" t="n">
        <v>15</v>
      </c>
      <c r="H185" s="21" t="s">
        <v>127</v>
      </c>
      <c r="I185" s="22" t="s">
        <v>632</v>
      </c>
      <c r="J185" s="13" t="s">
        <v>633</v>
      </c>
      <c r="K185" s="16" t="s">
        <v>31</v>
      </c>
      <c r="L185" s="13" t="s">
        <v>634</v>
      </c>
      <c r="M185" s="13" t="s">
        <v>123</v>
      </c>
      <c r="N185" s="13" t="s">
        <v>101</v>
      </c>
      <c r="O185" s="13" t="s">
        <v>552</v>
      </c>
      <c r="P185" s="13" t="s">
        <v>635</v>
      </c>
    </row>
    <row r="186" customFormat="false" ht="24" hidden="false" customHeight="true" outlineLevel="0" collapsed="false">
      <c r="A186" s="23" t="s">
        <v>132</v>
      </c>
      <c r="B186" s="23"/>
      <c r="C186" s="23"/>
      <c r="D186" s="23"/>
      <c r="E186" s="23"/>
      <c r="F186" s="23"/>
      <c r="G186" s="23" t="n">
        <f aca="false">SUM(G178:G185)</f>
        <v>135</v>
      </c>
      <c r="H186" s="23"/>
      <c r="I186" s="24" t="s">
        <v>636</v>
      </c>
      <c r="J186" s="24" t="s">
        <v>637</v>
      </c>
      <c r="K186" s="23"/>
      <c r="L186" s="23"/>
      <c r="M186" s="23"/>
      <c r="N186" s="23"/>
      <c r="O186" s="23"/>
      <c r="P186" s="23"/>
    </row>
    <row r="187" customFormat="false" ht="30" hidden="false" customHeight="true" outlineLevel="0" collapsed="false">
      <c r="A187" s="9" t="s">
        <v>638</v>
      </c>
      <c r="B187" s="9"/>
      <c r="C187" s="9"/>
      <c r="D187" s="9"/>
      <c r="E187" s="9"/>
      <c r="F187" s="9"/>
      <c r="G187" s="9"/>
      <c r="H187" s="9"/>
      <c r="I187" s="9"/>
      <c r="J187" s="9"/>
      <c r="K187" s="9"/>
      <c r="L187" s="9"/>
      <c r="M187" s="9"/>
      <c r="N187" s="9"/>
      <c r="O187" s="9"/>
      <c r="P187" s="9"/>
    </row>
    <row r="188" customFormat="false" ht="48" hidden="false" customHeight="true" outlineLevel="0" collapsed="false">
      <c r="A188" s="10" t="n">
        <v>13</v>
      </c>
      <c r="B188" s="10" t="n">
        <v>26</v>
      </c>
      <c r="C188" s="10" t="s">
        <v>639</v>
      </c>
      <c r="D188" s="10" t="s">
        <v>137</v>
      </c>
      <c r="E188" s="10" t="s">
        <v>138</v>
      </c>
      <c r="F188" s="10" t="s">
        <v>139</v>
      </c>
      <c r="G188" s="10" t="n">
        <v>5</v>
      </c>
      <c r="H188" s="11" t="s">
        <v>80</v>
      </c>
      <c r="I188" s="12" t="s">
        <v>424</v>
      </c>
      <c r="J188" s="13" t="s">
        <v>640</v>
      </c>
      <c r="K188" s="16" t="s">
        <v>31</v>
      </c>
      <c r="L188" s="13" t="s">
        <v>441</v>
      </c>
      <c r="M188" s="13" t="s">
        <v>85</v>
      </c>
      <c r="N188" s="13" t="s">
        <v>101</v>
      </c>
      <c r="O188" s="13" t="s">
        <v>108</v>
      </c>
      <c r="P188" s="13" t="s">
        <v>641</v>
      </c>
    </row>
    <row r="189" customFormat="false" ht="48" hidden="false" customHeight="true" outlineLevel="0" collapsed="false">
      <c r="A189" s="10" t="n">
        <v>13</v>
      </c>
      <c r="B189" s="10" t="n">
        <v>26</v>
      </c>
      <c r="C189" s="10" t="s">
        <v>639</v>
      </c>
      <c r="D189" s="10" t="s">
        <v>137</v>
      </c>
      <c r="E189" s="10" t="s">
        <v>139</v>
      </c>
      <c r="F189" s="10" t="s">
        <v>144</v>
      </c>
      <c r="G189" s="10" t="n">
        <v>10</v>
      </c>
      <c r="H189" s="14" t="s">
        <v>90</v>
      </c>
      <c r="I189" s="15" t="s">
        <v>642</v>
      </c>
      <c r="J189" s="13" t="s">
        <v>643</v>
      </c>
      <c r="K189" s="16" t="s">
        <v>644</v>
      </c>
      <c r="L189" s="13" t="s">
        <v>645</v>
      </c>
      <c r="M189" s="13" t="s">
        <v>85</v>
      </c>
      <c r="N189" s="13" t="s">
        <v>8</v>
      </c>
      <c r="O189" s="13" t="s">
        <v>314</v>
      </c>
      <c r="P189" s="13" t="s">
        <v>646</v>
      </c>
    </row>
    <row r="190" customFormat="false" ht="48" hidden="false" customHeight="true" outlineLevel="0" collapsed="false">
      <c r="A190" s="10" t="n">
        <v>13</v>
      </c>
      <c r="B190" s="10" t="n">
        <v>26</v>
      </c>
      <c r="C190" s="10" t="s">
        <v>639</v>
      </c>
      <c r="D190" s="10" t="s">
        <v>137</v>
      </c>
      <c r="E190" s="10" t="s">
        <v>144</v>
      </c>
      <c r="F190" s="10" t="s">
        <v>149</v>
      </c>
      <c r="G190" s="10" t="n">
        <v>25</v>
      </c>
      <c r="H190" s="14" t="s">
        <v>90</v>
      </c>
      <c r="I190" s="15" t="s">
        <v>647</v>
      </c>
      <c r="J190" s="13" t="s">
        <v>648</v>
      </c>
      <c r="K190" s="16" t="s">
        <v>33</v>
      </c>
      <c r="L190" s="13" t="s">
        <v>405</v>
      </c>
      <c r="M190" s="13" t="s">
        <v>100</v>
      </c>
      <c r="N190" s="13" t="s">
        <v>101</v>
      </c>
      <c r="O190" s="13" t="s">
        <v>319</v>
      </c>
      <c r="P190" s="13" t="s">
        <v>649</v>
      </c>
    </row>
    <row r="191" customFormat="false" ht="48" hidden="false" customHeight="true" outlineLevel="0" collapsed="false">
      <c r="A191" s="10" t="n">
        <v>13</v>
      </c>
      <c r="B191" s="10" t="n">
        <v>26</v>
      </c>
      <c r="C191" s="10" t="s">
        <v>639</v>
      </c>
      <c r="D191" s="10" t="s">
        <v>137</v>
      </c>
      <c r="E191" s="10" t="s">
        <v>149</v>
      </c>
      <c r="F191" s="10" t="s">
        <v>126</v>
      </c>
      <c r="G191" s="10" t="n">
        <v>5</v>
      </c>
      <c r="H191" s="21" t="s">
        <v>127</v>
      </c>
      <c r="I191" s="22" t="s">
        <v>255</v>
      </c>
      <c r="J191" s="13" t="s">
        <v>650</v>
      </c>
      <c r="K191" s="16" t="s">
        <v>33</v>
      </c>
      <c r="L191" s="13" t="s">
        <v>257</v>
      </c>
      <c r="M191" s="13" t="s">
        <v>85</v>
      </c>
      <c r="N191" s="13" t="s">
        <v>8</v>
      </c>
      <c r="O191" s="13" t="s">
        <v>335</v>
      </c>
      <c r="P191" s="13" t="s">
        <v>131</v>
      </c>
    </row>
    <row r="192" customFormat="false" ht="24" hidden="false" customHeight="true" outlineLevel="0" collapsed="false">
      <c r="A192" s="23" t="s">
        <v>132</v>
      </c>
      <c r="B192" s="23"/>
      <c r="C192" s="23"/>
      <c r="D192" s="23"/>
      <c r="E192" s="23"/>
      <c r="F192" s="23"/>
      <c r="G192" s="23" t="n">
        <f aca="false">SUM(G188:G191)</f>
        <v>45</v>
      </c>
      <c r="H192" s="23"/>
      <c r="I192" s="24" t="s">
        <v>651</v>
      </c>
      <c r="J192" s="24" t="s">
        <v>652</v>
      </c>
      <c r="K192" s="23"/>
      <c r="L192" s="23"/>
      <c r="M192" s="23"/>
      <c r="N192" s="23"/>
      <c r="O192" s="23"/>
      <c r="P192" s="23"/>
    </row>
    <row r="193" customFormat="false" ht="30" hidden="false" customHeight="true" outlineLevel="0" collapsed="false">
      <c r="A193" s="9" t="s">
        <v>653</v>
      </c>
      <c r="B193" s="9"/>
      <c r="C193" s="9"/>
      <c r="D193" s="9"/>
      <c r="E193" s="9"/>
      <c r="F193" s="9"/>
      <c r="G193" s="9"/>
      <c r="H193" s="9"/>
      <c r="I193" s="9"/>
      <c r="J193" s="9"/>
      <c r="K193" s="9"/>
      <c r="L193" s="9"/>
      <c r="M193" s="9"/>
      <c r="N193" s="9"/>
      <c r="O193" s="9"/>
      <c r="P193" s="9"/>
    </row>
    <row r="194" customFormat="false" ht="48" hidden="false" customHeight="true" outlineLevel="0" collapsed="false">
      <c r="A194" s="10" t="n">
        <v>14</v>
      </c>
      <c r="B194" s="10" t="n">
        <v>27</v>
      </c>
      <c r="C194" s="10" t="s">
        <v>654</v>
      </c>
      <c r="D194" s="10" t="s">
        <v>77</v>
      </c>
      <c r="E194" s="10" t="s">
        <v>78</v>
      </c>
      <c r="F194" s="10" t="s">
        <v>79</v>
      </c>
      <c r="G194" s="10" t="n">
        <v>5</v>
      </c>
      <c r="H194" s="11" t="s">
        <v>80</v>
      </c>
      <c r="I194" s="12" t="s">
        <v>655</v>
      </c>
      <c r="J194" s="13" t="s">
        <v>656</v>
      </c>
      <c r="K194" s="16" t="s">
        <v>35</v>
      </c>
      <c r="L194" s="13" t="s">
        <v>289</v>
      </c>
      <c r="M194" s="13" t="s">
        <v>85</v>
      </c>
      <c r="N194" s="13" t="s">
        <v>8</v>
      </c>
      <c r="O194" s="13" t="s">
        <v>108</v>
      </c>
      <c r="P194" s="13" t="s">
        <v>290</v>
      </c>
    </row>
    <row r="195" customFormat="false" ht="48" hidden="false" customHeight="true" outlineLevel="0" collapsed="false">
      <c r="A195" s="10" t="n">
        <v>14</v>
      </c>
      <c r="B195" s="10" t="n">
        <v>27</v>
      </c>
      <c r="C195" s="10" t="s">
        <v>654</v>
      </c>
      <c r="D195" s="10" t="s">
        <v>77</v>
      </c>
      <c r="E195" s="10" t="s">
        <v>79</v>
      </c>
      <c r="F195" s="10" t="s">
        <v>89</v>
      </c>
      <c r="G195" s="10" t="n">
        <v>10</v>
      </c>
      <c r="H195" s="14" t="s">
        <v>90</v>
      </c>
      <c r="I195" s="15" t="s">
        <v>657</v>
      </c>
      <c r="J195" s="13" t="s">
        <v>658</v>
      </c>
      <c r="K195" s="16" t="s">
        <v>35</v>
      </c>
      <c r="L195" s="13" t="s">
        <v>659</v>
      </c>
      <c r="M195" s="13" t="s">
        <v>85</v>
      </c>
      <c r="N195" s="13" t="s">
        <v>8</v>
      </c>
      <c r="O195" s="13" t="s">
        <v>314</v>
      </c>
      <c r="P195" s="13" t="s">
        <v>660</v>
      </c>
    </row>
    <row r="196" customFormat="false" ht="48" hidden="false" customHeight="true" outlineLevel="0" collapsed="false">
      <c r="A196" s="10" t="n">
        <v>14</v>
      </c>
      <c r="B196" s="10" t="n">
        <v>27</v>
      </c>
      <c r="C196" s="10" t="s">
        <v>654</v>
      </c>
      <c r="D196" s="10" t="s">
        <v>77</v>
      </c>
      <c r="E196" s="10" t="s">
        <v>89</v>
      </c>
      <c r="F196" s="10" t="s">
        <v>96</v>
      </c>
      <c r="G196" s="10" t="n">
        <v>25</v>
      </c>
      <c r="H196" s="14" t="s">
        <v>90</v>
      </c>
      <c r="I196" s="15" t="s">
        <v>661</v>
      </c>
      <c r="J196" s="13" t="s">
        <v>662</v>
      </c>
      <c r="K196" s="16" t="s">
        <v>35</v>
      </c>
      <c r="L196" s="13" t="s">
        <v>318</v>
      </c>
      <c r="M196" s="13" t="s">
        <v>100</v>
      </c>
      <c r="N196" s="13" t="s">
        <v>101</v>
      </c>
      <c r="O196" s="13" t="s">
        <v>364</v>
      </c>
      <c r="P196" s="13" t="s">
        <v>663</v>
      </c>
    </row>
    <row r="197" customFormat="false" ht="48" hidden="false" customHeight="true" outlineLevel="0" collapsed="false">
      <c r="A197" s="10" t="n">
        <v>14</v>
      </c>
      <c r="B197" s="10" t="n">
        <v>27</v>
      </c>
      <c r="C197" s="10" t="s">
        <v>654</v>
      </c>
      <c r="D197" s="10" t="s">
        <v>77</v>
      </c>
      <c r="E197" s="10" t="s">
        <v>96</v>
      </c>
      <c r="F197" s="10" t="s">
        <v>104</v>
      </c>
      <c r="G197" s="10" t="n">
        <v>10</v>
      </c>
      <c r="H197" s="14" t="s">
        <v>90</v>
      </c>
      <c r="I197" s="15" t="s">
        <v>664</v>
      </c>
      <c r="J197" s="13" t="s">
        <v>665</v>
      </c>
      <c r="K197" s="16" t="s">
        <v>35</v>
      </c>
      <c r="L197" s="13" t="s">
        <v>666</v>
      </c>
      <c r="M197" s="13" t="s">
        <v>85</v>
      </c>
      <c r="N197" s="13" t="s">
        <v>8</v>
      </c>
      <c r="O197" s="13" t="s">
        <v>87</v>
      </c>
      <c r="P197" s="13" t="s">
        <v>603</v>
      </c>
    </row>
    <row r="198" customFormat="false" ht="48" hidden="false" customHeight="true" outlineLevel="0" collapsed="false">
      <c r="A198" s="10" t="n">
        <v>14</v>
      </c>
      <c r="B198" s="10" t="n">
        <v>27</v>
      </c>
      <c r="C198" s="10" t="s">
        <v>654</v>
      </c>
      <c r="D198" s="10" t="s">
        <v>77</v>
      </c>
      <c r="E198" s="10" t="s">
        <v>104</v>
      </c>
      <c r="F198" s="10" t="s">
        <v>110</v>
      </c>
      <c r="G198" s="10" t="n">
        <v>25</v>
      </c>
      <c r="H198" s="14" t="s">
        <v>90</v>
      </c>
      <c r="I198" s="15" t="s">
        <v>667</v>
      </c>
      <c r="J198" s="13" t="s">
        <v>668</v>
      </c>
      <c r="K198" s="16" t="s">
        <v>35</v>
      </c>
      <c r="L198" s="13" t="s">
        <v>669</v>
      </c>
      <c r="M198" s="13" t="s">
        <v>100</v>
      </c>
      <c r="N198" s="13" t="s">
        <v>101</v>
      </c>
      <c r="O198" s="13" t="s">
        <v>319</v>
      </c>
      <c r="P198" s="13" t="s">
        <v>670</v>
      </c>
    </row>
    <row r="199" customFormat="false" ht="48" hidden="false" customHeight="true" outlineLevel="0" collapsed="false">
      <c r="A199" s="10" t="n">
        <v>14</v>
      </c>
      <c r="B199" s="10" t="n">
        <v>27</v>
      </c>
      <c r="C199" s="10" t="s">
        <v>654</v>
      </c>
      <c r="D199" s="10" t="s">
        <v>77</v>
      </c>
      <c r="E199" s="10" t="s">
        <v>110</v>
      </c>
      <c r="F199" s="10" t="s">
        <v>116</v>
      </c>
      <c r="G199" s="10" t="n">
        <v>5</v>
      </c>
      <c r="H199" s="14" t="s">
        <v>90</v>
      </c>
      <c r="I199" s="15" t="s">
        <v>117</v>
      </c>
      <c r="J199" s="13" t="s">
        <v>671</v>
      </c>
      <c r="K199" s="10" t="s">
        <v>83</v>
      </c>
      <c r="L199" s="13" t="s">
        <v>83</v>
      </c>
      <c r="M199" s="13" t="s">
        <v>83</v>
      </c>
      <c r="N199" s="13" t="s">
        <v>83</v>
      </c>
      <c r="O199" s="13" t="s">
        <v>83</v>
      </c>
      <c r="P199" s="13" t="s">
        <v>83</v>
      </c>
    </row>
    <row r="200" customFormat="false" ht="48" hidden="false" customHeight="true" outlineLevel="0" collapsed="false">
      <c r="A200" s="17" t="n">
        <v>14</v>
      </c>
      <c r="B200" s="17" t="n">
        <v>27</v>
      </c>
      <c r="C200" s="17" t="s">
        <v>654</v>
      </c>
      <c r="D200" s="17" t="s">
        <v>77</v>
      </c>
      <c r="E200" s="17" t="s">
        <v>116</v>
      </c>
      <c r="F200" s="17" t="s">
        <v>119</v>
      </c>
      <c r="G200" s="17" t="n">
        <v>40</v>
      </c>
      <c r="H200" s="18" t="s">
        <v>90</v>
      </c>
      <c r="I200" s="19" t="s">
        <v>672</v>
      </c>
      <c r="J200" s="18" t="s">
        <v>673</v>
      </c>
      <c r="K200" s="20" t="s">
        <v>674</v>
      </c>
      <c r="L200" s="18" t="s">
        <v>675</v>
      </c>
      <c r="M200" s="18" t="s">
        <v>123</v>
      </c>
      <c r="N200" s="18" t="s">
        <v>101</v>
      </c>
      <c r="O200" s="18" t="s">
        <v>378</v>
      </c>
      <c r="P200" s="18" t="s">
        <v>676</v>
      </c>
    </row>
    <row r="201" customFormat="false" ht="48" hidden="false" customHeight="true" outlineLevel="0" collapsed="false">
      <c r="A201" s="10" t="n">
        <v>14</v>
      </c>
      <c r="B201" s="10" t="n">
        <v>27</v>
      </c>
      <c r="C201" s="10" t="s">
        <v>654</v>
      </c>
      <c r="D201" s="10" t="s">
        <v>77</v>
      </c>
      <c r="E201" s="10" t="s">
        <v>119</v>
      </c>
      <c r="F201" s="10" t="s">
        <v>126</v>
      </c>
      <c r="G201" s="10" t="n">
        <v>15</v>
      </c>
      <c r="H201" s="21" t="s">
        <v>127</v>
      </c>
      <c r="I201" s="22" t="s">
        <v>677</v>
      </c>
      <c r="J201" s="13" t="s">
        <v>678</v>
      </c>
      <c r="K201" s="16" t="s">
        <v>35</v>
      </c>
      <c r="L201" s="13" t="s">
        <v>679</v>
      </c>
      <c r="M201" s="13" t="s">
        <v>85</v>
      </c>
      <c r="N201" s="13" t="s">
        <v>86</v>
      </c>
      <c r="O201" s="13" t="s">
        <v>87</v>
      </c>
      <c r="P201" s="13" t="s">
        <v>680</v>
      </c>
    </row>
    <row r="202" customFormat="false" ht="24" hidden="false" customHeight="true" outlineLevel="0" collapsed="false">
      <c r="A202" s="23" t="s">
        <v>132</v>
      </c>
      <c r="B202" s="23"/>
      <c r="C202" s="23"/>
      <c r="D202" s="23"/>
      <c r="E202" s="23"/>
      <c r="F202" s="23"/>
      <c r="G202" s="23" t="n">
        <f aca="false">SUM(G194:G201)</f>
        <v>135</v>
      </c>
      <c r="H202" s="23"/>
      <c r="I202" s="24" t="s">
        <v>681</v>
      </c>
      <c r="J202" s="24" t="s">
        <v>682</v>
      </c>
      <c r="K202" s="23"/>
      <c r="L202" s="23"/>
      <c r="M202" s="23"/>
      <c r="N202" s="23"/>
      <c r="O202" s="23"/>
      <c r="P202" s="23"/>
    </row>
    <row r="203" customFormat="false" ht="30" hidden="false" customHeight="true" outlineLevel="0" collapsed="false">
      <c r="A203" s="9" t="s">
        <v>683</v>
      </c>
      <c r="B203" s="9"/>
      <c r="C203" s="9"/>
      <c r="D203" s="9"/>
      <c r="E203" s="9"/>
      <c r="F203" s="9"/>
      <c r="G203" s="9"/>
      <c r="H203" s="9"/>
      <c r="I203" s="9"/>
      <c r="J203" s="9"/>
      <c r="K203" s="9"/>
      <c r="L203" s="9"/>
      <c r="M203" s="9"/>
      <c r="N203" s="9"/>
      <c r="O203" s="9"/>
      <c r="P203" s="9"/>
    </row>
    <row r="204" customFormat="false" ht="48" hidden="false" customHeight="true" outlineLevel="0" collapsed="false">
      <c r="A204" s="10" t="n">
        <v>14</v>
      </c>
      <c r="B204" s="10" t="n">
        <v>28</v>
      </c>
      <c r="C204" s="10" t="s">
        <v>684</v>
      </c>
      <c r="D204" s="10" t="s">
        <v>137</v>
      </c>
      <c r="E204" s="10" t="s">
        <v>138</v>
      </c>
      <c r="F204" s="10" t="s">
        <v>139</v>
      </c>
      <c r="G204" s="10" t="n">
        <v>5</v>
      </c>
      <c r="H204" s="11" t="s">
        <v>80</v>
      </c>
      <c r="I204" s="12" t="s">
        <v>241</v>
      </c>
      <c r="J204" s="13" t="s">
        <v>386</v>
      </c>
      <c r="K204" s="10" t="s">
        <v>83</v>
      </c>
      <c r="L204" s="13" t="s">
        <v>243</v>
      </c>
      <c r="M204" s="13" t="s">
        <v>85</v>
      </c>
      <c r="N204" s="13" t="s">
        <v>8</v>
      </c>
      <c r="O204" s="13" t="s">
        <v>244</v>
      </c>
      <c r="P204" s="13" t="s">
        <v>245</v>
      </c>
    </row>
    <row r="205" customFormat="false" ht="48" hidden="false" customHeight="true" outlineLevel="0" collapsed="false">
      <c r="A205" s="25" t="n">
        <v>14</v>
      </c>
      <c r="B205" s="25" t="n">
        <v>28</v>
      </c>
      <c r="C205" s="25" t="s">
        <v>684</v>
      </c>
      <c r="D205" s="25" t="s">
        <v>137</v>
      </c>
      <c r="E205" s="25" t="s">
        <v>139</v>
      </c>
      <c r="F205" s="25" t="s">
        <v>149</v>
      </c>
      <c r="G205" s="25" t="n">
        <v>35</v>
      </c>
      <c r="H205" s="26" t="s">
        <v>90</v>
      </c>
      <c r="I205" s="27" t="s">
        <v>685</v>
      </c>
      <c r="J205" s="26" t="s">
        <v>686</v>
      </c>
      <c r="K205" s="25" t="s">
        <v>83</v>
      </c>
      <c r="L205" s="26" t="s">
        <v>249</v>
      </c>
      <c r="M205" s="26" t="s">
        <v>100</v>
      </c>
      <c r="N205" s="26" t="s">
        <v>101</v>
      </c>
      <c r="O205" s="26" t="s">
        <v>250</v>
      </c>
      <c r="P205" s="26" t="s">
        <v>687</v>
      </c>
    </row>
    <row r="206" customFormat="false" ht="48" hidden="false" customHeight="true" outlineLevel="0" collapsed="false">
      <c r="A206" s="10" t="n">
        <v>14</v>
      </c>
      <c r="B206" s="10" t="n">
        <v>28</v>
      </c>
      <c r="C206" s="10" t="s">
        <v>684</v>
      </c>
      <c r="D206" s="10" t="s">
        <v>137</v>
      </c>
      <c r="E206" s="10" t="s">
        <v>149</v>
      </c>
      <c r="F206" s="10" t="s">
        <v>126</v>
      </c>
      <c r="G206" s="10" t="n">
        <v>5</v>
      </c>
      <c r="H206" s="21" t="s">
        <v>127</v>
      </c>
      <c r="I206" s="22" t="s">
        <v>688</v>
      </c>
      <c r="J206" s="13" t="s">
        <v>689</v>
      </c>
      <c r="K206" s="10" t="s">
        <v>83</v>
      </c>
      <c r="L206" s="13" t="s">
        <v>690</v>
      </c>
      <c r="M206" s="13" t="s">
        <v>85</v>
      </c>
      <c r="N206" s="13" t="s">
        <v>8</v>
      </c>
      <c r="O206" s="13" t="s">
        <v>83</v>
      </c>
      <c r="P206" s="13" t="s">
        <v>392</v>
      </c>
    </row>
    <row r="207" customFormat="false" ht="24" hidden="false" customHeight="true" outlineLevel="0" collapsed="false">
      <c r="A207" s="23" t="s">
        <v>132</v>
      </c>
      <c r="B207" s="23"/>
      <c r="C207" s="23"/>
      <c r="D207" s="23"/>
      <c r="E207" s="23"/>
      <c r="F207" s="23"/>
      <c r="G207" s="23" t="n">
        <f aca="false">SUM(G204:G206)</f>
        <v>45</v>
      </c>
      <c r="H207" s="23"/>
      <c r="I207" s="24" t="s">
        <v>691</v>
      </c>
      <c r="J207" s="24" t="s">
        <v>692</v>
      </c>
      <c r="K207" s="23"/>
      <c r="L207" s="23"/>
      <c r="M207" s="23"/>
      <c r="N207" s="23"/>
      <c r="O207" s="23"/>
      <c r="P207" s="23"/>
    </row>
  </sheetData>
  <mergeCells count="27">
    <mergeCell ref="A1:P1"/>
    <mergeCell ref="A3:P3"/>
    <mergeCell ref="A13:P13"/>
    <mergeCell ref="A19:P19"/>
    <mergeCell ref="A29:P29"/>
    <mergeCell ref="A35:P35"/>
    <mergeCell ref="A45:P45"/>
    <mergeCell ref="A51:P51"/>
    <mergeCell ref="A61:P61"/>
    <mergeCell ref="A67:P67"/>
    <mergeCell ref="A77:P77"/>
    <mergeCell ref="A83:P83"/>
    <mergeCell ref="A93:P93"/>
    <mergeCell ref="A98:P98"/>
    <mergeCell ref="A108:P108"/>
    <mergeCell ref="A114:P114"/>
    <mergeCell ref="A124:P124"/>
    <mergeCell ref="A130:P130"/>
    <mergeCell ref="A140:P140"/>
    <mergeCell ref="A146:P146"/>
    <mergeCell ref="A155:P155"/>
    <mergeCell ref="A161:P161"/>
    <mergeCell ref="A171:P171"/>
    <mergeCell ref="A177:P177"/>
    <mergeCell ref="A187:P187"/>
    <mergeCell ref="A193:P193"/>
    <mergeCell ref="A203:P20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11"/>
    <col collapsed="false" customWidth="true" hidden="false" outlineLevel="0" max="4" min="4" style="0" width="10"/>
    <col collapsed="false" customWidth="true" hidden="false" outlineLevel="0" max="5" min="5" style="0" width="7"/>
    <col collapsed="false" customWidth="true" hidden="false" outlineLevel="0" max="6" min="6" style="0" width="44"/>
    <col collapsed="false" customWidth="true" hidden="false" outlineLevel="0" max="7" min="7" style="0" width="54"/>
    <col collapsed="false" customWidth="true" hidden="false" outlineLevel="0" max="8" min="8" style="0" width="20"/>
    <col collapsed="false" customWidth="true" hidden="false" outlineLevel="0" max="10" min="9" style="0" width="42"/>
    <col collapsed="false" customWidth="true" hidden="false" outlineLevel="0" max="11" min="11" style="0" width="11"/>
    <col collapsed="false" customWidth="true" hidden="false" outlineLevel="0" max="12" min="12" style="0" width="13"/>
    <col collapsed="false" customWidth="true" hidden="false" outlineLevel="0" max="15" min="13" style="0" width="12"/>
  </cols>
  <sheetData>
    <row r="1" customFormat="false" ht="25.5" hidden="false" customHeight="true" outlineLevel="0" collapsed="false">
      <c r="A1" s="7" t="s">
        <v>693</v>
      </c>
      <c r="B1" s="7"/>
      <c r="C1" s="7"/>
      <c r="D1" s="7"/>
      <c r="E1" s="7"/>
      <c r="F1" s="7"/>
      <c r="G1" s="7"/>
      <c r="H1" s="7"/>
      <c r="I1" s="7"/>
      <c r="J1" s="7"/>
      <c r="K1" s="7"/>
      <c r="L1" s="7"/>
      <c r="M1" s="7"/>
      <c r="N1" s="7"/>
      <c r="O1" s="7"/>
    </row>
    <row r="2" customFormat="false" ht="33.75" hidden="false" customHeight="true" outlineLevel="0" collapsed="false">
      <c r="A2" s="8" t="s">
        <v>59</v>
      </c>
      <c r="B2" s="8" t="s">
        <v>60</v>
      </c>
      <c r="C2" s="8" t="s">
        <v>61</v>
      </c>
      <c r="D2" s="8" t="s">
        <v>62</v>
      </c>
      <c r="E2" s="8" t="s">
        <v>65</v>
      </c>
      <c r="F2" s="8" t="s">
        <v>694</v>
      </c>
      <c r="G2" s="8" t="s">
        <v>695</v>
      </c>
      <c r="H2" s="8" t="s">
        <v>69</v>
      </c>
      <c r="I2" s="8" t="s">
        <v>696</v>
      </c>
      <c r="J2" s="8" t="s">
        <v>697</v>
      </c>
      <c r="K2" s="8" t="s">
        <v>698</v>
      </c>
      <c r="L2" s="8" t="s">
        <v>699</v>
      </c>
      <c r="M2" s="8" t="s">
        <v>700</v>
      </c>
      <c r="N2" s="8" t="s">
        <v>701</v>
      </c>
      <c r="O2" s="8" t="s">
        <v>702</v>
      </c>
    </row>
    <row r="3" customFormat="false" ht="61.5" hidden="false" customHeight="true" outlineLevel="0" collapsed="false">
      <c r="A3" s="28" t="n">
        <v>2</v>
      </c>
      <c r="B3" s="28" t="n">
        <v>3</v>
      </c>
      <c r="C3" s="28" t="s">
        <v>76</v>
      </c>
      <c r="D3" s="28" t="s">
        <v>77</v>
      </c>
      <c r="E3" s="28" t="n">
        <v>135</v>
      </c>
      <c r="F3" s="29" t="s">
        <v>703</v>
      </c>
      <c r="G3" s="29" t="s">
        <v>704</v>
      </c>
      <c r="H3" s="30" t="s">
        <v>25</v>
      </c>
      <c r="I3" s="29" t="s">
        <v>705</v>
      </c>
      <c r="J3" s="29" t="s">
        <v>706</v>
      </c>
      <c r="K3" s="28" t="n">
        <v>35</v>
      </c>
      <c r="L3" s="28" t="n">
        <v>90</v>
      </c>
      <c r="M3" s="28" t="n">
        <v>40</v>
      </c>
      <c r="N3" s="28" t="n">
        <v>0</v>
      </c>
      <c r="O3" s="31" t="n">
        <f aca="false">ROUND(L3/E3,3)</f>
        <v>0.667</v>
      </c>
    </row>
    <row r="4" customFormat="false" ht="61.5" hidden="false" customHeight="true" outlineLevel="0" collapsed="false">
      <c r="A4" s="28" t="n">
        <v>2</v>
      </c>
      <c r="B4" s="28" t="n">
        <v>4</v>
      </c>
      <c r="C4" s="28" t="s">
        <v>136</v>
      </c>
      <c r="D4" s="28" t="s">
        <v>137</v>
      </c>
      <c r="E4" s="28" t="n">
        <v>45</v>
      </c>
      <c r="F4" s="29" t="s">
        <v>707</v>
      </c>
      <c r="G4" s="29" t="s">
        <v>708</v>
      </c>
      <c r="H4" s="30" t="s">
        <v>25</v>
      </c>
      <c r="I4" s="29" t="s">
        <v>709</v>
      </c>
      <c r="J4" s="29" t="s">
        <v>710</v>
      </c>
      <c r="K4" s="28" t="n">
        <v>10</v>
      </c>
      <c r="L4" s="28" t="n">
        <v>30</v>
      </c>
      <c r="M4" s="28" t="n">
        <v>0</v>
      </c>
      <c r="N4" s="28" t="n">
        <v>0</v>
      </c>
      <c r="O4" s="31" t="n">
        <f aca="false">ROUND(L4/E4,3)</f>
        <v>0.667</v>
      </c>
    </row>
    <row r="5" customFormat="false" ht="61.5" hidden="false" customHeight="true" outlineLevel="0" collapsed="false">
      <c r="A5" s="28" t="n">
        <v>3</v>
      </c>
      <c r="B5" s="28" t="n">
        <v>5</v>
      </c>
      <c r="C5" s="28" t="s">
        <v>161</v>
      </c>
      <c r="D5" s="28" t="s">
        <v>77</v>
      </c>
      <c r="E5" s="28" t="n">
        <v>135</v>
      </c>
      <c r="F5" s="29" t="s">
        <v>711</v>
      </c>
      <c r="G5" s="29" t="s">
        <v>712</v>
      </c>
      <c r="H5" s="30" t="s">
        <v>25</v>
      </c>
      <c r="I5" s="29" t="s">
        <v>713</v>
      </c>
      <c r="J5" s="29" t="s">
        <v>706</v>
      </c>
      <c r="K5" s="28" t="n">
        <v>20</v>
      </c>
      <c r="L5" s="28" t="n">
        <v>95</v>
      </c>
      <c r="M5" s="28" t="n">
        <v>40</v>
      </c>
      <c r="N5" s="28" t="n">
        <v>0</v>
      </c>
      <c r="O5" s="31" t="n">
        <f aca="false">ROUND(L5/E5,3)</f>
        <v>0.704</v>
      </c>
    </row>
    <row r="6" customFormat="false" ht="61.5" hidden="false" customHeight="true" outlineLevel="0" collapsed="false">
      <c r="A6" s="28" t="n">
        <v>3</v>
      </c>
      <c r="B6" s="28" t="n">
        <v>6</v>
      </c>
      <c r="C6" s="28" t="s">
        <v>192</v>
      </c>
      <c r="D6" s="28" t="s">
        <v>137</v>
      </c>
      <c r="E6" s="28" t="n">
        <v>45</v>
      </c>
      <c r="F6" s="29" t="s">
        <v>714</v>
      </c>
      <c r="G6" s="29" t="s">
        <v>715</v>
      </c>
      <c r="H6" s="30" t="s">
        <v>25</v>
      </c>
      <c r="I6" s="29" t="s">
        <v>716</v>
      </c>
      <c r="J6" s="29" t="s">
        <v>717</v>
      </c>
      <c r="K6" s="28" t="n">
        <v>10</v>
      </c>
      <c r="L6" s="28" t="n">
        <v>35</v>
      </c>
      <c r="M6" s="28" t="n">
        <v>0</v>
      </c>
      <c r="N6" s="28" t="n">
        <v>0</v>
      </c>
      <c r="O6" s="31" t="n">
        <f aca="false">ROUND(L6/E6,3)</f>
        <v>0.778</v>
      </c>
    </row>
    <row r="7" customFormat="false" ht="61.5" hidden="false" customHeight="true" outlineLevel="0" collapsed="false">
      <c r="A7" s="28" t="n">
        <v>4</v>
      </c>
      <c r="B7" s="28" t="n">
        <v>7</v>
      </c>
      <c r="C7" s="28" t="s">
        <v>209</v>
      </c>
      <c r="D7" s="28" t="s">
        <v>77</v>
      </c>
      <c r="E7" s="28" t="n">
        <v>135</v>
      </c>
      <c r="F7" s="29" t="s">
        <v>718</v>
      </c>
      <c r="G7" s="29" t="s">
        <v>719</v>
      </c>
      <c r="H7" s="30" t="s">
        <v>25</v>
      </c>
      <c r="I7" s="29" t="s">
        <v>720</v>
      </c>
      <c r="J7" s="29" t="s">
        <v>721</v>
      </c>
      <c r="K7" s="28" t="n">
        <v>20</v>
      </c>
      <c r="L7" s="28" t="n">
        <v>95</v>
      </c>
      <c r="M7" s="28" t="n">
        <v>40</v>
      </c>
      <c r="N7" s="28" t="n">
        <v>0</v>
      </c>
      <c r="O7" s="31" t="n">
        <f aca="false">ROUND(L7/E7,3)</f>
        <v>0.704</v>
      </c>
    </row>
    <row r="8" customFormat="false" ht="61.5" hidden="false" customHeight="true" outlineLevel="0" collapsed="false">
      <c r="A8" s="28" t="n">
        <v>4</v>
      </c>
      <c r="B8" s="28" t="n">
        <v>8</v>
      </c>
      <c r="C8" s="28" t="s">
        <v>240</v>
      </c>
      <c r="D8" s="28" t="s">
        <v>137</v>
      </c>
      <c r="E8" s="28" t="n">
        <v>45</v>
      </c>
      <c r="F8" s="29" t="s">
        <v>722</v>
      </c>
      <c r="G8" s="29" t="s">
        <v>723</v>
      </c>
      <c r="H8" s="30" t="s">
        <v>25</v>
      </c>
      <c r="I8" s="29" t="s">
        <v>724</v>
      </c>
      <c r="J8" s="29" t="s">
        <v>725</v>
      </c>
      <c r="K8" s="28" t="n">
        <v>10</v>
      </c>
      <c r="L8" s="28" t="n">
        <v>30</v>
      </c>
      <c r="M8" s="28" t="n">
        <v>0</v>
      </c>
      <c r="N8" s="28" t="n">
        <v>0</v>
      </c>
      <c r="O8" s="31" t="n">
        <f aca="false">ROUND(L8/E8,3)</f>
        <v>0.667</v>
      </c>
    </row>
    <row r="9" customFormat="false" ht="61.5" hidden="false" customHeight="true" outlineLevel="0" collapsed="false">
      <c r="A9" s="28" t="n">
        <v>5</v>
      </c>
      <c r="B9" s="28" t="n">
        <v>9</v>
      </c>
      <c r="C9" s="28" t="s">
        <v>261</v>
      </c>
      <c r="D9" s="28" t="s">
        <v>77</v>
      </c>
      <c r="E9" s="28" t="n">
        <v>135</v>
      </c>
      <c r="F9" s="29" t="s">
        <v>726</v>
      </c>
      <c r="G9" s="29" t="s">
        <v>727</v>
      </c>
      <c r="H9" s="30" t="s">
        <v>728</v>
      </c>
      <c r="I9" s="29" t="s">
        <v>281</v>
      </c>
      <c r="J9" s="29" t="s">
        <v>729</v>
      </c>
      <c r="K9" s="28" t="n">
        <v>35</v>
      </c>
      <c r="L9" s="28" t="n">
        <v>95</v>
      </c>
      <c r="M9" s="28" t="n">
        <v>40</v>
      </c>
      <c r="N9" s="28" t="n">
        <v>0</v>
      </c>
      <c r="O9" s="31" t="n">
        <f aca="false">ROUND(L9/E9,3)</f>
        <v>0.704</v>
      </c>
    </row>
    <row r="10" customFormat="false" ht="61.5" hidden="false" customHeight="true" outlineLevel="0" collapsed="false">
      <c r="A10" s="28" t="n">
        <v>5</v>
      </c>
      <c r="B10" s="28" t="n">
        <v>10</v>
      </c>
      <c r="C10" s="28" t="s">
        <v>286</v>
      </c>
      <c r="D10" s="28" t="s">
        <v>137</v>
      </c>
      <c r="E10" s="28" t="n">
        <v>45</v>
      </c>
      <c r="F10" s="29" t="s">
        <v>730</v>
      </c>
      <c r="G10" s="29" t="s">
        <v>731</v>
      </c>
      <c r="H10" s="30" t="s">
        <v>25</v>
      </c>
      <c r="I10" s="29" t="s">
        <v>732</v>
      </c>
      <c r="J10" s="29" t="s">
        <v>733</v>
      </c>
      <c r="K10" s="28" t="n">
        <v>10</v>
      </c>
      <c r="L10" s="28" t="n">
        <v>30</v>
      </c>
      <c r="M10" s="28" t="n">
        <v>0</v>
      </c>
      <c r="N10" s="28" t="n">
        <v>0</v>
      </c>
      <c r="O10" s="31" t="n">
        <f aca="false">ROUND(L10/E10,3)</f>
        <v>0.667</v>
      </c>
    </row>
    <row r="11" customFormat="false" ht="61.5" hidden="false" customHeight="true" outlineLevel="0" collapsed="false">
      <c r="A11" s="28" t="n">
        <v>6</v>
      </c>
      <c r="B11" s="28" t="n">
        <v>11</v>
      </c>
      <c r="C11" s="28" t="s">
        <v>306</v>
      </c>
      <c r="D11" s="28" t="s">
        <v>77</v>
      </c>
      <c r="E11" s="28" t="n">
        <v>135</v>
      </c>
      <c r="F11" s="29" t="s">
        <v>734</v>
      </c>
      <c r="G11" s="29" t="s">
        <v>735</v>
      </c>
      <c r="H11" s="30" t="s">
        <v>736</v>
      </c>
      <c r="I11" s="29" t="s">
        <v>737</v>
      </c>
      <c r="J11" s="29" t="s">
        <v>738</v>
      </c>
      <c r="K11" s="28" t="n">
        <v>35</v>
      </c>
      <c r="L11" s="28" t="n">
        <v>90</v>
      </c>
      <c r="M11" s="28" t="n">
        <v>40</v>
      </c>
      <c r="N11" s="28" t="n">
        <v>0</v>
      </c>
      <c r="O11" s="31" t="n">
        <f aca="false">ROUND(L11/E11,3)</f>
        <v>0.667</v>
      </c>
    </row>
    <row r="12" customFormat="false" ht="61.5" hidden="false" customHeight="true" outlineLevel="0" collapsed="false">
      <c r="A12" s="28" t="n">
        <v>6</v>
      </c>
      <c r="B12" s="28" t="n">
        <v>12</v>
      </c>
      <c r="C12" s="28" t="s">
        <v>339</v>
      </c>
      <c r="D12" s="28" t="s">
        <v>137</v>
      </c>
      <c r="E12" s="28" t="n">
        <v>45</v>
      </c>
      <c r="F12" s="29" t="s">
        <v>739</v>
      </c>
      <c r="G12" s="29" t="s">
        <v>740</v>
      </c>
      <c r="H12" s="30" t="s">
        <v>25</v>
      </c>
      <c r="I12" s="29" t="s">
        <v>741</v>
      </c>
      <c r="J12" s="29" t="s">
        <v>738</v>
      </c>
      <c r="K12" s="28" t="n">
        <v>10</v>
      </c>
      <c r="L12" s="28" t="n">
        <v>30</v>
      </c>
      <c r="M12" s="28" t="n">
        <v>0</v>
      </c>
      <c r="N12" s="28" t="n">
        <v>0</v>
      </c>
      <c r="O12" s="31" t="n">
        <f aca="false">ROUND(L12/E12,3)</f>
        <v>0.667</v>
      </c>
    </row>
    <row r="13" customFormat="false" ht="61.5" hidden="false" customHeight="true" outlineLevel="0" collapsed="false">
      <c r="A13" s="28" t="n">
        <v>7</v>
      </c>
      <c r="B13" s="28" t="n">
        <v>13</v>
      </c>
      <c r="C13" s="28" t="s">
        <v>352</v>
      </c>
      <c r="D13" s="28" t="s">
        <v>77</v>
      </c>
      <c r="E13" s="28" t="n">
        <v>135</v>
      </c>
      <c r="F13" s="29" t="s">
        <v>742</v>
      </c>
      <c r="G13" s="29" t="s">
        <v>743</v>
      </c>
      <c r="H13" s="30" t="s">
        <v>744</v>
      </c>
      <c r="I13" s="29" t="s">
        <v>379</v>
      </c>
      <c r="J13" s="29" t="s">
        <v>745</v>
      </c>
      <c r="K13" s="28" t="n">
        <v>25</v>
      </c>
      <c r="L13" s="28" t="n">
        <v>90</v>
      </c>
      <c r="M13" s="28" t="n">
        <v>40</v>
      </c>
      <c r="N13" s="28" t="n">
        <v>0</v>
      </c>
      <c r="O13" s="31" t="n">
        <f aca="false">ROUND(L13/E13,3)</f>
        <v>0.667</v>
      </c>
    </row>
    <row r="14" customFormat="false" ht="61.5" hidden="false" customHeight="true" outlineLevel="0" collapsed="false">
      <c r="A14" s="28" t="n">
        <v>7</v>
      </c>
      <c r="B14" s="28" t="n">
        <v>14</v>
      </c>
      <c r="C14" s="28" t="s">
        <v>385</v>
      </c>
      <c r="D14" s="28" t="s">
        <v>137</v>
      </c>
      <c r="E14" s="28" t="n">
        <v>45</v>
      </c>
      <c r="F14" s="29" t="s">
        <v>746</v>
      </c>
      <c r="G14" s="29" t="s">
        <v>747</v>
      </c>
      <c r="H14" s="30" t="s">
        <v>83</v>
      </c>
      <c r="I14" s="29" t="s">
        <v>389</v>
      </c>
      <c r="J14" s="29" t="s">
        <v>748</v>
      </c>
      <c r="K14" s="28" t="n">
        <v>10</v>
      </c>
      <c r="L14" s="28" t="n">
        <v>35</v>
      </c>
      <c r="M14" s="28" t="n">
        <v>0</v>
      </c>
      <c r="N14" s="28" t="n">
        <v>0</v>
      </c>
      <c r="O14" s="31" t="n">
        <f aca="false">ROUND(L14/E14,3)</f>
        <v>0.778</v>
      </c>
    </row>
    <row r="15" customFormat="false" ht="61.5" hidden="false" customHeight="true" outlineLevel="0" collapsed="false">
      <c r="A15" s="28" t="n">
        <v>8</v>
      </c>
      <c r="B15" s="28" t="n">
        <v>15</v>
      </c>
      <c r="C15" s="28" t="s">
        <v>396</v>
      </c>
      <c r="D15" s="28" t="s">
        <v>77</v>
      </c>
      <c r="E15" s="28" t="n">
        <v>135</v>
      </c>
      <c r="F15" s="29" t="s">
        <v>749</v>
      </c>
      <c r="G15" s="29" t="s">
        <v>750</v>
      </c>
      <c r="H15" s="30" t="s">
        <v>751</v>
      </c>
      <c r="I15" s="29" t="s">
        <v>752</v>
      </c>
      <c r="J15" s="29" t="s">
        <v>717</v>
      </c>
      <c r="K15" s="28" t="n">
        <v>35</v>
      </c>
      <c r="L15" s="28" t="n">
        <v>95</v>
      </c>
      <c r="M15" s="28" t="n">
        <v>40</v>
      </c>
      <c r="N15" s="28" t="n">
        <v>0</v>
      </c>
      <c r="O15" s="31" t="n">
        <f aca="false">ROUND(L15/E15,3)</f>
        <v>0.704</v>
      </c>
    </row>
    <row r="16" customFormat="false" ht="61.5" hidden="false" customHeight="true" outlineLevel="0" collapsed="false">
      <c r="A16" s="28" t="n">
        <v>8</v>
      </c>
      <c r="B16" s="28" t="n">
        <v>16</v>
      </c>
      <c r="C16" s="28" t="s">
        <v>423</v>
      </c>
      <c r="D16" s="28" t="s">
        <v>137</v>
      </c>
      <c r="E16" s="28" t="n">
        <v>45</v>
      </c>
      <c r="F16" s="29" t="s">
        <v>753</v>
      </c>
      <c r="G16" s="29" t="s">
        <v>754</v>
      </c>
      <c r="H16" s="30" t="s">
        <v>33</v>
      </c>
      <c r="I16" s="29" t="s">
        <v>755</v>
      </c>
      <c r="J16" s="29" t="s">
        <v>756</v>
      </c>
      <c r="K16" s="28" t="n">
        <v>15</v>
      </c>
      <c r="L16" s="28" t="n">
        <v>25</v>
      </c>
      <c r="M16" s="28" t="n">
        <v>0</v>
      </c>
      <c r="N16" s="28" t="n">
        <v>0</v>
      </c>
      <c r="O16" s="31" t="n">
        <f aca="false">ROUND(L16/E16,3)</f>
        <v>0.556</v>
      </c>
    </row>
    <row r="17" customFormat="false" ht="61.5" hidden="false" customHeight="true" outlineLevel="0" collapsed="false">
      <c r="A17" s="28" t="n">
        <v>9</v>
      </c>
      <c r="B17" s="28" t="n">
        <v>17</v>
      </c>
      <c r="C17" s="28" t="s">
        <v>440</v>
      </c>
      <c r="D17" s="28" t="s">
        <v>77</v>
      </c>
      <c r="E17" s="28" t="n">
        <v>135</v>
      </c>
      <c r="F17" s="29" t="s">
        <v>757</v>
      </c>
      <c r="G17" s="29" t="s">
        <v>758</v>
      </c>
      <c r="H17" s="30" t="s">
        <v>736</v>
      </c>
      <c r="I17" s="29" t="s">
        <v>759</v>
      </c>
      <c r="J17" s="29" t="s">
        <v>760</v>
      </c>
      <c r="K17" s="28" t="n">
        <v>35</v>
      </c>
      <c r="L17" s="28" t="n">
        <v>95</v>
      </c>
      <c r="M17" s="28" t="n">
        <v>40</v>
      </c>
      <c r="N17" s="28" t="n">
        <v>0</v>
      </c>
      <c r="O17" s="31" t="n">
        <f aca="false">ROUND(L17/E17,3)</f>
        <v>0.704</v>
      </c>
    </row>
    <row r="18" customFormat="false" ht="61.5" hidden="false" customHeight="true" outlineLevel="0" collapsed="false">
      <c r="A18" s="28" t="n">
        <v>9</v>
      </c>
      <c r="B18" s="28" t="n">
        <v>18</v>
      </c>
      <c r="C18" s="28" t="s">
        <v>470</v>
      </c>
      <c r="D18" s="28" t="s">
        <v>137</v>
      </c>
      <c r="E18" s="28" t="n">
        <v>45</v>
      </c>
      <c r="F18" s="29" t="s">
        <v>761</v>
      </c>
      <c r="G18" s="29" t="s">
        <v>762</v>
      </c>
      <c r="H18" s="30" t="s">
        <v>25</v>
      </c>
      <c r="I18" s="29" t="s">
        <v>763</v>
      </c>
      <c r="J18" s="29" t="s">
        <v>764</v>
      </c>
      <c r="K18" s="28" t="n">
        <v>10</v>
      </c>
      <c r="L18" s="28" t="n">
        <v>30</v>
      </c>
      <c r="M18" s="28" t="n">
        <v>0</v>
      </c>
      <c r="N18" s="28" t="n">
        <v>0</v>
      </c>
      <c r="O18" s="31" t="n">
        <f aca="false">ROUND(L18/E18,3)</f>
        <v>0.667</v>
      </c>
    </row>
    <row r="19" customFormat="false" ht="61.5" hidden="false" customHeight="true" outlineLevel="0" collapsed="false">
      <c r="A19" s="28" t="n">
        <v>10</v>
      </c>
      <c r="B19" s="28" t="n">
        <v>19</v>
      </c>
      <c r="C19" s="28" t="s">
        <v>485</v>
      </c>
      <c r="D19" s="28" t="s">
        <v>77</v>
      </c>
      <c r="E19" s="28" t="n">
        <v>135</v>
      </c>
      <c r="F19" s="29" t="s">
        <v>765</v>
      </c>
      <c r="G19" s="29" t="s">
        <v>766</v>
      </c>
      <c r="H19" s="30" t="s">
        <v>27</v>
      </c>
      <c r="I19" s="29" t="s">
        <v>507</v>
      </c>
      <c r="J19" s="29" t="s">
        <v>767</v>
      </c>
      <c r="K19" s="28" t="n">
        <v>35</v>
      </c>
      <c r="L19" s="28" t="n">
        <v>95</v>
      </c>
      <c r="M19" s="28" t="n">
        <v>40</v>
      </c>
      <c r="N19" s="28" t="n">
        <v>0</v>
      </c>
      <c r="O19" s="31" t="n">
        <f aca="false">ROUND(L19/E19,3)</f>
        <v>0.704</v>
      </c>
    </row>
    <row r="20" customFormat="false" ht="61.5" hidden="false" customHeight="true" outlineLevel="0" collapsed="false">
      <c r="A20" s="28" t="n">
        <v>10</v>
      </c>
      <c r="B20" s="28" t="n">
        <v>20</v>
      </c>
      <c r="C20" s="28" t="s">
        <v>512</v>
      </c>
      <c r="D20" s="28" t="s">
        <v>137</v>
      </c>
      <c r="E20" s="28" t="n">
        <v>45</v>
      </c>
      <c r="F20" s="29" t="s">
        <v>768</v>
      </c>
      <c r="G20" s="29" t="s">
        <v>769</v>
      </c>
      <c r="H20" s="30" t="s">
        <v>27</v>
      </c>
      <c r="I20" s="29" t="s">
        <v>770</v>
      </c>
      <c r="J20" s="29" t="s">
        <v>771</v>
      </c>
      <c r="K20" s="28" t="n">
        <v>15</v>
      </c>
      <c r="L20" s="28" t="n">
        <v>25</v>
      </c>
      <c r="M20" s="28" t="n">
        <v>0</v>
      </c>
      <c r="N20" s="28" t="n">
        <v>0</v>
      </c>
      <c r="O20" s="31" t="n">
        <f aca="false">ROUND(L20/E20,3)</f>
        <v>0.556</v>
      </c>
    </row>
    <row r="21" customFormat="false" ht="61.5" hidden="false" customHeight="true" outlineLevel="0" collapsed="false">
      <c r="A21" s="28" t="n">
        <v>11</v>
      </c>
      <c r="B21" s="28" t="n">
        <v>21</v>
      </c>
      <c r="C21" s="28" t="s">
        <v>528</v>
      </c>
      <c r="D21" s="28" t="s">
        <v>77</v>
      </c>
      <c r="E21" s="28" t="n">
        <v>135</v>
      </c>
      <c r="F21" s="29" t="s">
        <v>772</v>
      </c>
      <c r="G21" s="29" t="s">
        <v>773</v>
      </c>
      <c r="H21" s="30" t="s">
        <v>27</v>
      </c>
      <c r="I21" s="32" t="s">
        <v>774</v>
      </c>
      <c r="J21" s="29" t="s">
        <v>771</v>
      </c>
      <c r="K21" s="28" t="n">
        <v>25</v>
      </c>
      <c r="L21" s="28" t="n">
        <v>105</v>
      </c>
      <c r="M21" s="28" t="n">
        <v>65</v>
      </c>
      <c r="N21" s="28" t="n">
        <v>0</v>
      </c>
      <c r="O21" s="31" t="n">
        <f aca="false">ROUND(L21/E21,3)</f>
        <v>0.778</v>
      </c>
    </row>
    <row r="22" customFormat="false" ht="61.5" hidden="false" customHeight="true" outlineLevel="0" collapsed="false">
      <c r="A22" s="28" t="n">
        <v>11</v>
      </c>
      <c r="B22" s="28" t="n">
        <v>22</v>
      </c>
      <c r="C22" s="28" t="s">
        <v>556</v>
      </c>
      <c r="D22" s="28" t="s">
        <v>137</v>
      </c>
      <c r="E22" s="28" t="n">
        <v>45</v>
      </c>
      <c r="F22" s="29" t="s">
        <v>775</v>
      </c>
      <c r="G22" s="29" t="s">
        <v>776</v>
      </c>
      <c r="H22" s="30" t="s">
        <v>777</v>
      </c>
      <c r="I22" s="29" t="s">
        <v>778</v>
      </c>
      <c r="J22" s="29" t="s">
        <v>779</v>
      </c>
      <c r="K22" s="28" t="n">
        <v>15</v>
      </c>
      <c r="L22" s="28" t="n">
        <v>30</v>
      </c>
      <c r="M22" s="28" t="n">
        <v>0</v>
      </c>
      <c r="N22" s="28" t="n">
        <v>0</v>
      </c>
      <c r="O22" s="31" t="n">
        <f aca="false">ROUND(L22/E22,3)</f>
        <v>0.667</v>
      </c>
    </row>
    <row r="23" customFormat="false" ht="61.5" hidden="false" customHeight="true" outlineLevel="0" collapsed="false">
      <c r="A23" s="28" t="n">
        <v>12</v>
      </c>
      <c r="B23" s="28" t="n">
        <v>23</v>
      </c>
      <c r="C23" s="28" t="s">
        <v>571</v>
      </c>
      <c r="D23" s="28" t="s">
        <v>77</v>
      </c>
      <c r="E23" s="28" t="n">
        <v>135</v>
      </c>
      <c r="F23" s="29" t="s">
        <v>780</v>
      </c>
      <c r="G23" s="29" t="s">
        <v>781</v>
      </c>
      <c r="H23" s="30" t="s">
        <v>29</v>
      </c>
      <c r="I23" s="29" t="s">
        <v>782</v>
      </c>
      <c r="J23" s="29" t="s">
        <v>783</v>
      </c>
      <c r="K23" s="28" t="n">
        <v>35</v>
      </c>
      <c r="L23" s="28" t="n">
        <v>95</v>
      </c>
      <c r="M23" s="28" t="n">
        <v>40</v>
      </c>
      <c r="N23" s="28" t="n">
        <v>0</v>
      </c>
      <c r="O23" s="31" t="n">
        <f aca="false">ROUND(L23/E23,3)</f>
        <v>0.704</v>
      </c>
    </row>
    <row r="24" customFormat="false" ht="61.5" hidden="false" customHeight="true" outlineLevel="0" collapsed="false">
      <c r="A24" s="28" t="n">
        <v>12</v>
      </c>
      <c r="B24" s="28" t="n">
        <v>24</v>
      </c>
      <c r="C24" s="28" t="s">
        <v>599</v>
      </c>
      <c r="D24" s="28" t="s">
        <v>137</v>
      </c>
      <c r="E24" s="28" t="n">
        <v>45</v>
      </c>
      <c r="F24" s="29" t="s">
        <v>784</v>
      </c>
      <c r="G24" s="29" t="s">
        <v>785</v>
      </c>
      <c r="H24" s="30" t="s">
        <v>29</v>
      </c>
      <c r="I24" s="29" t="s">
        <v>786</v>
      </c>
      <c r="J24" s="29" t="s">
        <v>725</v>
      </c>
      <c r="K24" s="28" t="n">
        <v>20</v>
      </c>
      <c r="L24" s="28" t="n">
        <v>25</v>
      </c>
      <c r="M24" s="28" t="n">
        <v>0</v>
      </c>
      <c r="N24" s="28" t="n">
        <v>0</v>
      </c>
      <c r="O24" s="31" t="n">
        <f aca="false">ROUND(L24/E24,3)</f>
        <v>0.556</v>
      </c>
    </row>
    <row r="25" customFormat="false" ht="61.5" hidden="false" customHeight="true" outlineLevel="0" collapsed="false">
      <c r="A25" s="28" t="n">
        <v>13</v>
      </c>
      <c r="B25" s="28" t="n">
        <v>25</v>
      </c>
      <c r="C25" s="28" t="s">
        <v>610</v>
      </c>
      <c r="D25" s="28" t="s">
        <v>77</v>
      </c>
      <c r="E25" s="28" t="n">
        <v>135</v>
      </c>
      <c r="F25" s="29" t="s">
        <v>787</v>
      </c>
      <c r="G25" s="29" t="s">
        <v>788</v>
      </c>
      <c r="H25" s="30" t="s">
        <v>629</v>
      </c>
      <c r="I25" s="32" t="s">
        <v>789</v>
      </c>
      <c r="J25" s="29" t="s">
        <v>790</v>
      </c>
      <c r="K25" s="28" t="n">
        <v>20</v>
      </c>
      <c r="L25" s="28" t="n">
        <v>110</v>
      </c>
      <c r="M25" s="28" t="n">
        <v>40</v>
      </c>
      <c r="N25" s="28" t="n">
        <v>0</v>
      </c>
      <c r="O25" s="31" t="n">
        <f aca="false">ROUND(L25/E25,3)</f>
        <v>0.815</v>
      </c>
    </row>
    <row r="26" customFormat="false" ht="61.5" hidden="false" customHeight="true" outlineLevel="0" collapsed="false">
      <c r="A26" s="28" t="n">
        <v>13</v>
      </c>
      <c r="B26" s="28" t="n">
        <v>26</v>
      </c>
      <c r="C26" s="28" t="s">
        <v>639</v>
      </c>
      <c r="D26" s="28" t="s">
        <v>137</v>
      </c>
      <c r="E26" s="28" t="n">
        <v>45</v>
      </c>
      <c r="F26" s="29" t="s">
        <v>791</v>
      </c>
      <c r="G26" s="29" t="s">
        <v>792</v>
      </c>
      <c r="H26" s="30" t="s">
        <v>644</v>
      </c>
      <c r="I26" s="29" t="s">
        <v>793</v>
      </c>
      <c r="J26" s="29" t="s">
        <v>794</v>
      </c>
      <c r="K26" s="28" t="n">
        <v>15</v>
      </c>
      <c r="L26" s="28" t="n">
        <v>30</v>
      </c>
      <c r="M26" s="28" t="n">
        <v>0</v>
      </c>
      <c r="N26" s="28" t="n">
        <v>0</v>
      </c>
      <c r="O26" s="31" t="n">
        <f aca="false">ROUND(L26/E26,3)</f>
        <v>0.667</v>
      </c>
    </row>
    <row r="27" customFormat="false" ht="61.5" hidden="false" customHeight="true" outlineLevel="0" collapsed="false">
      <c r="A27" s="28" t="n">
        <v>14</v>
      </c>
      <c r="B27" s="28" t="n">
        <v>27</v>
      </c>
      <c r="C27" s="28" t="s">
        <v>654</v>
      </c>
      <c r="D27" s="28" t="s">
        <v>77</v>
      </c>
      <c r="E27" s="28" t="n">
        <v>135</v>
      </c>
      <c r="F27" s="29" t="s">
        <v>795</v>
      </c>
      <c r="G27" s="29" t="s">
        <v>796</v>
      </c>
      <c r="H27" s="30" t="s">
        <v>797</v>
      </c>
      <c r="I27" s="29" t="s">
        <v>798</v>
      </c>
      <c r="J27" s="29" t="s">
        <v>799</v>
      </c>
      <c r="K27" s="28" t="n">
        <v>25</v>
      </c>
      <c r="L27" s="28" t="n">
        <v>90</v>
      </c>
      <c r="M27" s="28" t="n">
        <v>40</v>
      </c>
      <c r="N27" s="28" t="n">
        <v>0</v>
      </c>
      <c r="O27" s="31" t="n">
        <f aca="false">ROUND(L27/E27,3)</f>
        <v>0.667</v>
      </c>
    </row>
    <row r="28" customFormat="false" ht="61.5" hidden="false" customHeight="true" outlineLevel="0" collapsed="false">
      <c r="A28" s="28" t="n">
        <v>14</v>
      </c>
      <c r="B28" s="28" t="n">
        <v>28</v>
      </c>
      <c r="C28" s="28" t="s">
        <v>684</v>
      </c>
      <c r="D28" s="28" t="s">
        <v>137</v>
      </c>
      <c r="E28" s="28" t="n">
        <v>45</v>
      </c>
      <c r="F28" s="29" t="s">
        <v>800</v>
      </c>
      <c r="G28" s="29" t="s">
        <v>801</v>
      </c>
      <c r="H28" s="30" t="s">
        <v>83</v>
      </c>
      <c r="I28" s="29" t="s">
        <v>687</v>
      </c>
      <c r="J28" s="29" t="s">
        <v>802</v>
      </c>
      <c r="K28" s="28" t="n">
        <v>10</v>
      </c>
      <c r="L28" s="28" t="n">
        <v>35</v>
      </c>
      <c r="M28" s="28" t="n">
        <v>0</v>
      </c>
      <c r="N28" s="28" t="n">
        <v>0</v>
      </c>
      <c r="O28" s="31" t="n">
        <f aca="false">ROUND(L28/E28,3)</f>
        <v>0.778</v>
      </c>
    </row>
    <row r="29" customFormat="false" ht="21.75" hidden="false" customHeight="true" outlineLevel="0" collapsed="false">
      <c r="A29" s="33" t="s">
        <v>132</v>
      </c>
      <c r="B29" s="33"/>
      <c r="C29" s="33"/>
      <c r="D29" s="33"/>
      <c r="E29" s="33" t="n">
        <f aca="false">SUM(E3:E28)</f>
        <v>2340</v>
      </c>
      <c r="F29" s="34" t="s">
        <v>803</v>
      </c>
      <c r="G29" s="33"/>
      <c r="H29" s="33"/>
      <c r="I29" s="33"/>
      <c r="J29" s="33"/>
      <c r="K29" s="33" t="n">
        <f aca="false">SUM(K3:K28)</f>
        <v>540</v>
      </c>
      <c r="L29" s="33" t="n">
        <f aca="false">SUM(L3:L28)</f>
        <v>1630</v>
      </c>
      <c r="M29" s="33" t="n">
        <f aca="false">SUM(M3:M28)</f>
        <v>545</v>
      </c>
      <c r="N29" s="33" t="n">
        <f aca="false">SUM(N3:N28)</f>
        <v>0</v>
      </c>
      <c r="O29" s="35" t="n">
        <f aca="false">ROUND(L29/E29,3)</f>
        <v>0.697</v>
      </c>
    </row>
  </sheetData>
  <mergeCells count="1">
    <mergeCell ref="A1:O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58"/>
    <col collapsed="false" customWidth="true" hidden="false" outlineLevel="0" max="3" min="3" style="0" width="22"/>
    <col collapsed="false" customWidth="true" hidden="false" outlineLevel="0" max="4" min="4" style="0" width="20"/>
    <col collapsed="false" customWidth="true" hidden="false" outlineLevel="0" max="5" min="5" style="0" width="46"/>
    <col collapsed="false" customWidth="true" hidden="false" outlineLevel="0" max="6" min="6" style="0" width="40"/>
  </cols>
  <sheetData>
    <row r="1" customFormat="false" ht="25.5" hidden="false" customHeight="true" outlineLevel="0" collapsed="false">
      <c r="A1" s="7" t="s">
        <v>804</v>
      </c>
      <c r="B1" s="7"/>
      <c r="C1" s="7"/>
      <c r="D1" s="7"/>
      <c r="E1" s="7"/>
      <c r="F1" s="7"/>
    </row>
    <row r="2" customFormat="false" ht="42" hidden="false" customHeight="true" outlineLevel="0" collapsed="false">
      <c r="A2" s="36" t="s">
        <v>805</v>
      </c>
      <c r="B2" s="36"/>
      <c r="C2" s="36"/>
      <c r="D2" s="36"/>
      <c r="E2" s="36"/>
      <c r="F2" s="36"/>
    </row>
    <row r="3" customFormat="false" ht="30" hidden="false" customHeight="true" outlineLevel="0" collapsed="false">
      <c r="A3" s="8" t="s">
        <v>806</v>
      </c>
      <c r="B3" s="8" t="s">
        <v>807</v>
      </c>
      <c r="C3" s="8" t="s">
        <v>808</v>
      </c>
      <c r="D3" s="8" t="s">
        <v>809</v>
      </c>
      <c r="E3" s="8" t="s">
        <v>810</v>
      </c>
      <c r="F3" s="8" t="s">
        <v>811</v>
      </c>
    </row>
    <row r="4" customFormat="false" ht="57.75" hidden="false" customHeight="true" outlineLevel="0" collapsed="false">
      <c r="A4" s="37" t="s">
        <v>812</v>
      </c>
      <c r="B4" s="13" t="s">
        <v>813</v>
      </c>
      <c r="C4" s="10" t="s">
        <v>814</v>
      </c>
      <c r="D4" s="10" t="s">
        <v>815</v>
      </c>
      <c r="E4" s="13" t="s">
        <v>232</v>
      </c>
      <c r="F4" s="13" t="s">
        <v>816</v>
      </c>
    </row>
    <row r="5" customFormat="false" ht="57.75" hidden="false" customHeight="true" outlineLevel="0" collapsed="false">
      <c r="A5" s="37" t="s">
        <v>817</v>
      </c>
      <c r="B5" s="13" t="s">
        <v>818</v>
      </c>
      <c r="C5" s="10" t="s">
        <v>819</v>
      </c>
      <c r="D5" s="10" t="s">
        <v>820</v>
      </c>
      <c r="E5" s="13" t="s">
        <v>821</v>
      </c>
      <c r="F5" s="13" t="s">
        <v>822</v>
      </c>
    </row>
    <row r="6" customFormat="false" ht="57.75" hidden="false" customHeight="true" outlineLevel="0" collapsed="false">
      <c r="A6" s="37" t="s">
        <v>823</v>
      </c>
      <c r="B6" s="13" t="s">
        <v>824</v>
      </c>
      <c r="C6" s="10" t="s">
        <v>825</v>
      </c>
      <c r="D6" s="10" t="s">
        <v>826</v>
      </c>
      <c r="E6" s="13" t="s">
        <v>827</v>
      </c>
      <c r="F6" s="13" t="s">
        <v>828</v>
      </c>
    </row>
    <row r="7" customFormat="false" ht="57.75" hidden="false" customHeight="true" outlineLevel="0" collapsed="false">
      <c r="A7" s="37" t="s">
        <v>829</v>
      </c>
      <c r="B7" s="13" t="s">
        <v>830</v>
      </c>
      <c r="C7" s="10" t="s">
        <v>831</v>
      </c>
      <c r="D7" s="10" t="s">
        <v>826</v>
      </c>
      <c r="E7" s="13" t="s">
        <v>832</v>
      </c>
      <c r="F7" s="13" t="s">
        <v>833</v>
      </c>
    </row>
    <row r="8" customFormat="false" ht="57.75" hidden="false" customHeight="true" outlineLevel="0" collapsed="false">
      <c r="A8" s="37" t="s">
        <v>834</v>
      </c>
      <c r="B8" s="13" t="s">
        <v>835</v>
      </c>
      <c r="C8" s="10" t="s">
        <v>836</v>
      </c>
      <c r="D8" s="10" t="s">
        <v>837</v>
      </c>
      <c r="E8" s="13" t="s">
        <v>838</v>
      </c>
      <c r="F8" s="13" t="s">
        <v>839</v>
      </c>
    </row>
    <row r="9" customFormat="false" ht="57.75" hidden="false" customHeight="true" outlineLevel="0" collapsed="false">
      <c r="A9" s="37" t="s">
        <v>840</v>
      </c>
      <c r="B9" s="13" t="s">
        <v>841</v>
      </c>
      <c r="C9" s="10" t="s">
        <v>842</v>
      </c>
      <c r="D9" s="10" t="s">
        <v>837</v>
      </c>
      <c r="E9" s="13" t="s">
        <v>843</v>
      </c>
      <c r="F9" s="13" t="s">
        <v>844</v>
      </c>
    </row>
    <row r="10" customFormat="false" ht="57.75" hidden="false" customHeight="true" outlineLevel="0" collapsed="false">
      <c r="A10" s="37" t="s">
        <v>845</v>
      </c>
      <c r="B10" s="13" t="s">
        <v>846</v>
      </c>
      <c r="C10" s="10" t="s">
        <v>847</v>
      </c>
      <c r="D10" s="10" t="s">
        <v>837</v>
      </c>
      <c r="E10" s="13" t="s">
        <v>848</v>
      </c>
      <c r="F10" s="13" t="s">
        <v>849</v>
      </c>
    </row>
    <row r="12" customFormat="false" ht="30" hidden="false" customHeight="true" outlineLevel="0" collapsed="false">
      <c r="A12" s="38" t="s">
        <v>850</v>
      </c>
      <c r="B12" s="38"/>
      <c r="C12" s="38"/>
      <c r="D12" s="38"/>
      <c r="E12" s="38"/>
      <c r="F12" s="38"/>
    </row>
  </sheetData>
  <mergeCells count="3">
    <mergeCell ref="A1:F1"/>
    <mergeCell ref="A2:F2"/>
    <mergeCell ref="A12:F1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12"/>
    <col collapsed="false" customWidth="true" hidden="false" outlineLevel="0" max="4" min="4" style="0" width="50"/>
    <col collapsed="false" customWidth="true" hidden="false" outlineLevel="0" max="6" min="5" style="0" width="18"/>
    <col collapsed="false" customWidth="true" hidden="false" outlineLevel="0" max="7" min="7" style="0" width="14"/>
    <col collapsed="false" customWidth="true" hidden="false" outlineLevel="0" max="8" min="8" style="0" width="52"/>
  </cols>
  <sheetData>
    <row r="1" customFormat="false" ht="25.5" hidden="false" customHeight="true" outlineLevel="0" collapsed="false">
      <c r="A1" s="7" t="s">
        <v>851</v>
      </c>
      <c r="B1" s="7"/>
      <c r="C1" s="7"/>
      <c r="D1" s="7"/>
      <c r="E1" s="7"/>
      <c r="F1" s="7"/>
      <c r="G1" s="7"/>
      <c r="H1" s="7"/>
    </row>
    <row r="2" customFormat="false" ht="27.75" hidden="false" customHeight="true" outlineLevel="0" collapsed="false">
      <c r="A2" s="8" t="s">
        <v>59</v>
      </c>
      <c r="B2" s="8" t="s">
        <v>60</v>
      </c>
      <c r="C2" s="8" t="s">
        <v>61</v>
      </c>
      <c r="D2" s="8" t="s">
        <v>694</v>
      </c>
      <c r="E2" s="8" t="s">
        <v>852</v>
      </c>
      <c r="F2" s="8" t="s">
        <v>853</v>
      </c>
      <c r="G2" s="8" t="s">
        <v>854</v>
      </c>
      <c r="H2" s="8" t="s">
        <v>855</v>
      </c>
    </row>
    <row r="3" customFormat="false" ht="30" hidden="false" customHeight="true" outlineLevel="0" collapsed="false">
      <c r="A3" s="39" t="n">
        <v>2</v>
      </c>
      <c r="B3" s="39" t="n">
        <v>3</v>
      </c>
      <c r="C3" s="39" t="s">
        <v>76</v>
      </c>
      <c r="D3" s="40" t="s">
        <v>703</v>
      </c>
      <c r="E3" s="39" t="s">
        <v>25</v>
      </c>
      <c r="F3" s="41" t="s">
        <v>856</v>
      </c>
      <c r="G3" s="41"/>
      <c r="H3" s="42"/>
    </row>
    <row r="4" customFormat="false" ht="30" hidden="false" customHeight="true" outlineLevel="0" collapsed="false">
      <c r="A4" s="39" t="n">
        <v>2</v>
      </c>
      <c r="B4" s="39" t="n">
        <v>4</v>
      </c>
      <c r="C4" s="39" t="s">
        <v>136</v>
      </c>
      <c r="D4" s="40" t="s">
        <v>707</v>
      </c>
      <c r="E4" s="39" t="s">
        <v>25</v>
      </c>
      <c r="F4" s="41" t="s">
        <v>856</v>
      </c>
      <c r="G4" s="41"/>
      <c r="H4" s="42"/>
    </row>
    <row r="5" customFormat="false" ht="30" hidden="false" customHeight="true" outlineLevel="0" collapsed="false">
      <c r="A5" s="39" t="n">
        <v>3</v>
      </c>
      <c r="B5" s="39" t="n">
        <v>5</v>
      </c>
      <c r="C5" s="39" t="s">
        <v>161</v>
      </c>
      <c r="D5" s="40" t="s">
        <v>711</v>
      </c>
      <c r="E5" s="39" t="s">
        <v>25</v>
      </c>
      <c r="F5" s="41" t="s">
        <v>856</v>
      </c>
      <c r="G5" s="41"/>
      <c r="H5" s="42"/>
    </row>
    <row r="6" customFormat="false" ht="30" hidden="false" customHeight="true" outlineLevel="0" collapsed="false">
      <c r="A6" s="39" t="n">
        <v>3</v>
      </c>
      <c r="B6" s="39" t="n">
        <v>6</v>
      </c>
      <c r="C6" s="39" t="s">
        <v>192</v>
      </c>
      <c r="D6" s="40" t="s">
        <v>714</v>
      </c>
      <c r="E6" s="39" t="s">
        <v>25</v>
      </c>
      <c r="F6" s="41" t="s">
        <v>856</v>
      </c>
      <c r="G6" s="41"/>
      <c r="H6" s="42"/>
    </row>
    <row r="7" customFormat="false" ht="30" hidden="false" customHeight="true" outlineLevel="0" collapsed="false">
      <c r="A7" s="39" t="n">
        <v>4</v>
      </c>
      <c r="B7" s="39" t="n">
        <v>7</v>
      </c>
      <c r="C7" s="39" t="s">
        <v>209</v>
      </c>
      <c r="D7" s="40" t="s">
        <v>718</v>
      </c>
      <c r="E7" s="39" t="s">
        <v>25</v>
      </c>
      <c r="F7" s="41" t="s">
        <v>856</v>
      </c>
      <c r="G7" s="41"/>
      <c r="H7" s="42"/>
    </row>
    <row r="8" customFormat="false" ht="30" hidden="false" customHeight="true" outlineLevel="0" collapsed="false">
      <c r="A8" s="39" t="n">
        <v>4</v>
      </c>
      <c r="B8" s="39" t="n">
        <v>8</v>
      </c>
      <c r="C8" s="39" t="s">
        <v>240</v>
      </c>
      <c r="D8" s="40" t="s">
        <v>722</v>
      </c>
      <c r="E8" s="39" t="s">
        <v>25</v>
      </c>
      <c r="F8" s="41" t="s">
        <v>856</v>
      </c>
      <c r="G8" s="41"/>
      <c r="H8" s="42"/>
    </row>
    <row r="9" customFormat="false" ht="30" hidden="false" customHeight="true" outlineLevel="0" collapsed="false">
      <c r="A9" s="39" t="n">
        <v>5</v>
      </c>
      <c r="B9" s="39" t="n">
        <v>9</v>
      </c>
      <c r="C9" s="39" t="s">
        <v>261</v>
      </c>
      <c r="D9" s="40" t="s">
        <v>726</v>
      </c>
      <c r="E9" s="39" t="s">
        <v>728</v>
      </c>
      <c r="F9" s="41" t="s">
        <v>856</v>
      </c>
      <c r="G9" s="41"/>
      <c r="H9" s="42"/>
    </row>
    <row r="10" customFormat="false" ht="30" hidden="false" customHeight="true" outlineLevel="0" collapsed="false">
      <c r="A10" s="39" t="n">
        <v>5</v>
      </c>
      <c r="B10" s="39" t="n">
        <v>10</v>
      </c>
      <c r="C10" s="39" t="s">
        <v>286</v>
      </c>
      <c r="D10" s="40" t="s">
        <v>730</v>
      </c>
      <c r="E10" s="39" t="s">
        <v>25</v>
      </c>
      <c r="F10" s="41" t="s">
        <v>856</v>
      </c>
      <c r="G10" s="41"/>
      <c r="H10" s="42"/>
    </row>
    <row r="11" customFormat="false" ht="30" hidden="false" customHeight="true" outlineLevel="0" collapsed="false">
      <c r="A11" s="39" t="n">
        <v>6</v>
      </c>
      <c r="B11" s="39" t="n">
        <v>11</v>
      </c>
      <c r="C11" s="39" t="s">
        <v>306</v>
      </c>
      <c r="D11" s="40" t="s">
        <v>734</v>
      </c>
      <c r="E11" s="39" t="s">
        <v>736</v>
      </c>
      <c r="F11" s="41" t="s">
        <v>856</v>
      </c>
      <c r="G11" s="41"/>
      <c r="H11" s="42"/>
    </row>
    <row r="12" customFormat="false" ht="30" hidden="false" customHeight="true" outlineLevel="0" collapsed="false">
      <c r="A12" s="39" t="n">
        <v>6</v>
      </c>
      <c r="B12" s="39" t="n">
        <v>12</v>
      </c>
      <c r="C12" s="39" t="s">
        <v>339</v>
      </c>
      <c r="D12" s="40" t="s">
        <v>739</v>
      </c>
      <c r="E12" s="39" t="s">
        <v>25</v>
      </c>
      <c r="F12" s="41" t="s">
        <v>856</v>
      </c>
      <c r="G12" s="41"/>
      <c r="H12" s="42"/>
    </row>
    <row r="13" customFormat="false" ht="30" hidden="false" customHeight="true" outlineLevel="0" collapsed="false">
      <c r="A13" s="39" t="n">
        <v>7</v>
      </c>
      <c r="B13" s="39" t="n">
        <v>13</v>
      </c>
      <c r="C13" s="39" t="s">
        <v>352</v>
      </c>
      <c r="D13" s="40" t="s">
        <v>742</v>
      </c>
      <c r="E13" s="39" t="s">
        <v>744</v>
      </c>
      <c r="F13" s="41" t="s">
        <v>856</v>
      </c>
      <c r="G13" s="41"/>
      <c r="H13" s="42"/>
    </row>
    <row r="14" customFormat="false" ht="30" hidden="false" customHeight="true" outlineLevel="0" collapsed="false">
      <c r="A14" s="39" t="n">
        <v>7</v>
      </c>
      <c r="B14" s="39" t="n">
        <v>14</v>
      </c>
      <c r="C14" s="39" t="s">
        <v>385</v>
      </c>
      <c r="D14" s="40" t="s">
        <v>746</v>
      </c>
      <c r="E14" s="39" t="s">
        <v>83</v>
      </c>
      <c r="F14" s="41" t="s">
        <v>856</v>
      </c>
      <c r="G14" s="41"/>
      <c r="H14" s="42"/>
    </row>
    <row r="15" customFormat="false" ht="30" hidden="false" customHeight="true" outlineLevel="0" collapsed="false">
      <c r="A15" s="39" t="n">
        <v>8</v>
      </c>
      <c r="B15" s="39" t="n">
        <v>15</v>
      </c>
      <c r="C15" s="39" t="s">
        <v>396</v>
      </c>
      <c r="D15" s="40" t="s">
        <v>749</v>
      </c>
      <c r="E15" s="39" t="s">
        <v>751</v>
      </c>
      <c r="F15" s="41" t="s">
        <v>856</v>
      </c>
      <c r="G15" s="41"/>
      <c r="H15" s="42"/>
    </row>
    <row r="16" customFormat="false" ht="30" hidden="false" customHeight="true" outlineLevel="0" collapsed="false">
      <c r="A16" s="39" t="n">
        <v>8</v>
      </c>
      <c r="B16" s="39" t="n">
        <v>16</v>
      </c>
      <c r="C16" s="39" t="s">
        <v>423</v>
      </c>
      <c r="D16" s="40" t="s">
        <v>753</v>
      </c>
      <c r="E16" s="39" t="s">
        <v>33</v>
      </c>
      <c r="F16" s="41" t="s">
        <v>856</v>
      </c>
      <c r="G16" s="41"/>
      <c r="H16" s="42"/>
    </row>
    <row r="17" customFormat="false" ht="30" hidden="false" customHeight="true" outlineLevel="0" collapsed="false">
      <c r="A17" s="39" t="n">
        <v>9</v>
      </c>
      <c r="B17" s="39" t="n">
        <v>17</v>
      </c>
      <c r="C17" s="39" t="s">
        <v>440</v>
      </c>
      <c r="D17" s="40" t="s">
        <v>757</v>
      </c>
      <c r="E17" s="39" t="s">
        <v>736</v>
      </c>
      <c r="F17" s="41" t="s">
        <v>856</v>
      </c>
      <c r="G17" s="41"/>
      <c r="H17" s="42"/>
    </row>
    <row r="18" customFormat="false" ht="30" hidden="false" customHeight="true" outlineLevel="0" collapsed="false">
      <c r="A18" s="39" t="n">
        <v>9</v>
      </c>
      <c r="B18" s="39" t="n">
        <v>18</v>
      </c>
      <c r="C18" s="39" t="s">
        <v>470</v>
      </c>
      <c r="D18" s="40" t="s">
        <v>761</v>
      </c>
      <c r="E18" s="39" t="s">
        <v>25</v>
      </c>
      <c r="F18" s="41" t="s">
        <v>856</v>
      </c>
      <c r="G18" s="41"/>
      <c r="H18" s="42"/>
    </row>
    <row r="19" customFormat="false" ht="30" hidden="false" customHeight="true" outlineLevel="0" collapsed="false">
      <c r="A19" s="39" t="n">
        <v>10</v>
      </c>
      <c r="B19" s="39" t="n">
        <v>19</v>
      </c>
      <c r="C19" s="39" t="s">
        <v>485</v>
      </c>
      <c r="D19" s="40" t="s">
        <v>765</v>
      </c>
      <c r="E19" s="39" t="s">
        <v>27</v>
      </c>
      <c r="F19" s="41" t="s">
        <v>856</v>
      </c>
      <c r="G19" s="41"/>
      <c r="H19" s="42"/>
    </row>
    <row r="20" customFormat="false" ht="30" hidden="false" customHeight="true" outlineLevel="0" collapsed="false">
      <c r="A20" s="39" t="n">
        <v>10</v>
      </c>
      <c r="B20" s="39" t="n">
        <v>20</v>
      </c>
      <c r="C20" s="39" t="s">
        <v>512</v>
      </c>
      <c r="D20" s="40" t="s">
        <v>768</v>
      </c>
      <c r="E20" s="39" t="s">
        <v>27</v>
      </c>
      <c r="F20" s="41" t="s">
        <v>856</v>
      </c>
      <c r="G20" s="41"/>
      <c r="H20" s="42"/>
    </row>
    <row r="21" customFormat="false" ht="30" hidden="false" customHeight="true" outlineLevel="0" collapsed="false">
      <c r="A21" s="39" t="n">
        <v>11</v>
      </c>
      <c r="B21" s="39" t="n">
        <v>21</v>
      </c>
      <c r="C21" s="39" t="s">
        <v>528</v>
      </c>
      <c r="D21" s="40" t="s">
        <v>772</v>
      </c>
      <c r="E21" s="39" t="s">
        <v>27</v>
      </c>
      <c r="F21" s="41" t="s">
        <v>856</v>
      </c>
      <c r="G21" s="41"/>
      <c r="H21" s="42"/>
    </row>
    <row r="22" customFormat="false" ht="30" hidden="false" customHeight="true" outlineLevel="0" collapsed="false">
      <c r="A22" s="39" t="n">
        <v>11</v>
      </c>
      <c r="B22" s="39" t="n">
        <v>22</v>
      </c>
      <c r="C22" s="39" t="s">
        <v>556</v>
      </c>
      <c r="D22" s="40" t="s">
        <v>775</v>
      </c>
      <c r="E22" s="39" t="s">
        <v>777</v>
      </c>
      <c r="F22" s="41" t="s">
        <v>856</v>
      </c>
      <c r="G22" s="41"/>
      <c r="H22" s="42"/>
    </row>
    <row r="23" customFormat="false" ht="30" hidden="false" customHeight="true" outlineLevel="0" collapsed="false">
      <c r="A23" s="39" t="n">
        <v>12</v>
      </c>
      <c r="B23" s="39" t="n">
        <v>23</v>
      </c>
      <c r="C23" s="39" t="s">
        <v>571</v>
      </c>
      <c r="D23" s="40" t="s">
        <v>780</v>
      </c>
      <c r="E23" s="39" t="s">
        <v>29</v>
      </c>
      <c r="F23" s="41" t="s">
        <v>856</v>
      </c>
      <c r="G23" s="41"/>
      <c r="H23" s="42"/>
    </row>
    <row r="24" customFormat="false" ht="30" hidden="false" customHeight="true" outlineLevel="0" collapsed="false">
      <c r="A24" s="39" t="n">
        <v>12</v>
      </c>
      <c r="B24" s="39" t="n">
        <v>24</v>
      </c>
      <c r="C24" s="39" t="s">
        <v>599</v>
      </c>
      <c r="D24" s="40" t="s">
        <v>784</v>
      </c>
      <c r="E24" s="39" t="s">
        <v>29</v>
      </c>
      <c r="F24" s="41" t="s">
        <v>856</v>
      </c>
      <c r="G24" s="41"/>
      <c r="H24" s="42"/>
    </row>
    <row r="25" customFormat="false" ht="30" hidden="false" customHeight="true" outlineLevel="0" collapsed="false">
      <c r="A25" s="39" t="n">
        <v>13</v>
      </c>
      <c r="B25" s="39" t="n">
        <v>25</v>
      </c>
      <c r="C25" s="39" t="s">
        <v>610</v>
      </c>
      <c r="D25" s="40" t="s">
        <v>787</v>
      </c>
      <c r="E25" s="39" t="s">
        <v>629</v>
      </c>
      <c r="F25" s="41" t="s">
        <v>856</v>
      </c>
      <c r="G25" s="41"/>
      <c r="H25" s="42"/>
    </row>
    <row r="26" customFormat="false" ht="30" hidden="false" customHeight="true" outlineLevel="0" collapsed="false">
      <c r="A26" s="39" t="n">
        <v>13</v>
      </c>
      <c r="B26" s="39" t="n">
        <v>26</v>
      </c>
      <c r="C26" s="39" t="s">
        <v>639</v>
      </c>
      <c r="D26" s="40" t="s">
        <v>791</v>
      </c>
      <c r="E26" s="39" t="s">
        <v>644</v>
      </c>
      <c r="F26" s="41" t="s">
        <v>856</v>
      </c>
      <c r="G26" s="41"/>
      <c r="H26" s="42"/>
    </row>
    <row r="27" customFormat="false" ht="30" hidden="false" customHeight="true" outlineLevel="0" collapsed="false">
      <c r="A27" s="39" t="n">
        <v>14</v>
      </c>
      <c r="B27" s="39" t="n">
        <v>27</v>
      </c>
      <c r="C27" s="39" t="s">
        <v>654</v>
      </c>
      <c r="D27" s="40" t="s">
        <v>795</v>
      </c>
      <c r="E27" s="39" t="s">
        <v>797</v>
      </c>
      <c r="F27" s="41" t="s">
        <v>856</v>
      </c>
      <c r="G27" s="41"/>
      <c r="H27" s="42"/>
    </row>
    <row r="28" customFormat="false" ht="30" hidden="false" customHeight="true" outlineLevel="0" collapsed="false">
      <c r="A28" s="39" t="n">
        <v>14</v>
      </c>
      <c r="B28" s="39" t="n">
        <v>28</v>
      </c>
      <c r="C28" s="39" t="s">
        <v>684</v>
      </c>
      <c r="D28" s="40" t="s">
        <v>800</v>
      </c>
      <c r="E28" s="39" t="s">
        <v>83</v>
      </c>
      <c r="F28" s="41" t="s">
        <v>856</v>
      </c>
      <c r="G28" s="41"/>
      <c r="H28" s="42"/>
    </row>
    <row r="29" customFormat="false" ht="21.75" hidden="false" customHeight="true" outlineLevel="0" collapsed="false">
      <c r="A29" s="33"/>
      <c r="B29" s="33"/>
      <c r="C29" s="33"/>
      <c r="D29" s="34" t="s">
        <v>857</v>
      </c>
      <c r="E29" s="33"/>
      <c r="F29" s="35" t="n">
        <f aca="false">ROUND(COUNTIF(F3:F28,"Dictada completa")/26,4)</f>
        <v>0</v>
      </c>
      <c r="G29" s="33"/>
      <c r="H29" s="33"/>
    </row>
  </sheetData>
  <mergeCells count="1">
    <mergeCell ref="A1:H1"/>
  </mergeCells>
  <dataValidations count="1">
    <dataValidation allowBlank="true" errorStyle="stop" operator="between" showDropDown="false" showErrorMessage="false" showInputMessage="false" sqref="F3:F28" type="list">
      <formula1>"Pendiente,Dictada completa,Dictada parcial,Reprogramada"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4"/>
    <col collapsed="false" customWidth="true" hidden="false" outlineLevel="0" max="4" min="3" style="0" width="16"/>
    <col collapsed="false" customWidth="true" hidden="false" outlineLevel="0" max="5" min="5" style="0" width="20"/>
    <col collapsed="false" customWidth="true" hidden="false" outlineLevel="0" max="6" min="6" style="0" width="60"/>
    <col collapsed="false" customWidth="true" hidden="false" outlineLevel="0" max="7" min="7" style="0" width="50"/>
    <col collapsed="false" customWidth="true" hidden="false" outlineLevel="0" max="10" min="8" style="0" width="2"/>
  </cols>
  <sheetData>
    <row r="1" customFormat="false" ht="25.5" hidden="false" customHeight="true" outlineLevel="0" collapsed="false">
      <c r="A1" s="7" t="s">
        <v>858</v>
      </c>
      <c r="B1" s="7"/>
      <c r="C1" s="7"/>
      <c r="D1" s="7"/>
      <c r="E1" s="7"/>
      <c r="F1" s="7"/>
      <c r="G1" s="7"/>
      <c r="H1" s="7"/>
      <c r="I1" s="7"/>
      <c r="J1" s="7"/>
    </row>
    <row r="2" customFormat="false" ht="31.5" hidden="false" customHeight="true" outlineLevel="0" collapsed="false">
      <c r="A2" s="36" t="s">
        <v>859</v>
      </c>
      <c r="B2" s="36"/>
      <c r="C2" s="36"/>
      <c r="D2" s="36"/>
      <c r="E2" s="36"/>
      <c r="F2" s="36"/>
      <c r="G2" s="36"/>
      <c r="H2" s="36"/>
      <c r="I2" s="36"/>
      <c r="J2" s="36"/>
    </row>
    <row r="3" customFormat="false" ht="33.75" hidden="false" customHeight="true" outlineLevel="0" collapsed="false">
      <c r="A3" s="8" t="s">
        <v>860</v>
      </c>
      <c r="B3" s="8" t="s">
        <v>861</v>
      </c>
      <c r="C3" s="8" t="s">
        <v>862</v>
      </c>
      <c r="D3" s="8" t="s">
        <v>863</v>
      </c>
      <c r="E3" s="8" t="s">
        <v>864</v>
      </c>
      <c r="F3" s="8" t="s">
        <v>865</v>
      </c>
      <c r="G3" s="8" t="s">
        <v>866</v>
      </c>
      <c r="H3" s="8"/>
      <c r="I3" s="8"/>
      <c r="J3" s="8"/>
    </row>
    <row r="4" customFormat="false" ht="61.5" hidden="false" customHeight="true" outlineLevel="0" collapsed="false">
      <c r="A4" s="43" t="s">
        <v>867</v>
      </c>
      <c r="B4" s="44" t="s">
        <v>868</v>
      </c>
      <c r="C4" s="43" t="s">
        <v>869</v>
      </c>
      <c r="D4" s="43" t="s">
        <v>870</v>
      </c>
      <c r="E4" s="45" t="s">
        <v>871</v>
      </c>
      <c r="F4" s="46" t="s">
        <v>872</v>
      </c>
      <c r="G4" s="46" t="s">
        <v>873</v>
      </c>
    </row>
    <row r="5" customFormat="false" ht="61.5" hidden="false" customHeight="true" outlineLevel="0" collapsed="false">
      <c r="A5" s="43" t="s">
        <v>874</v>
      </c>
      <c r="B5" s="44" t="s">
        <v>875</v>
      </c>
      <c r="C5" s="43" t="s">
        <v>869</v>
      </c>
      <c r="D5" s="43" t="s">
        <v>876</v>
      </c>
      <c r="E5" s="45" t="s">
        <v>877</v>
      </c>
      <c r="F5" s="46" t="s">
        <v>878</v>
      </c>
      <c r="G5" s="46" t="s">
        <v>879</v>
      </c>
    </row>
    <row r="6" customFormat="false" ht="61.5" hidden="false" customHeight="true" outlineLevel="0" collapsed="false">
      <c r="A6" s="43" t="s">
        <v>880</v>
      </c>
      <c r="B6" s="44" t="s">
        <v>881</v>
      </c>
      <c r="C6" s="43" t="s">
        <v>882</v>
      </c>
      <c r="D6" s="43" t="s">
        <v>883</v>
      </c>
      <c r="E6" s="45" t="s">
        <v>884</v>
      </c>
      <c r="F6" s="46" t="s">
        <v>885</v>
      </c>
      <c r="G6" s="46" t="s">
        <v>886</v>
      </c>
    </row>
    <row r="7" customFormat="false" ht="61.5" hidden="false" customHeight="true" outlineLevel="0" collapsed="false">
      <c r="A7" s="43" t="s">
        <v>887</v>
      </c>
      <c r="B7" s="44" t="s">
        <v>888</v>
      </c>
      <c r="C7" s="43" t="s">
        <v>889</v>
      </c>
      <c r="D7" s="43" t="s">
        <v>890</v>
      </c>
      <c r="E7" s="45" t="s">
        <v>891</v>
      </c>
      <c r="F7" s="46" t="s">
        <v>892</v>
      </c>
      <c r="G7" s="46" t="s">
        <v>893</v>
      </c>
    </row>
    <row r="8" customFormat="false" ht="61.5" hidden="false" customHeight="true" outlineLevel="0" collapsed="false">
      <c r="A8" s="43" t="s">
        <v>894</v>
      </c>
      <c r="B8" s="44" t="s">
        <v>895</v>
      </c>
      <c r="C8" s="43" t="s">
        <v>896</v>
      </c>
      <c r="D8" s="43" t="s">
        <v>897</v>
      </c>
      <c r="E8" s="45" t="s">
        <v>898</v>
      </c>
      <c r="F8" s="46" t="s">
        <v>899</v>
      </c>
      <c r="G8" s="46" t="s">
        <v>900</v>
      </c>
    </row>
    <row r="9" customFormat="false" ht="61.5" hidden="false" customHeight="true" outlineLevel="0" collapsed="false">
      <c r="A9" s="43" t="s">
        <v>901</v>
      </c>
      <c r="B9" s="44" t="s">
        <v>902</v>
      </c>
      <c r="C9" s="43" t="s">
        <v>903</v>
      </c>
      <c r="D9" s="43" t="s">
        <v>904</v>
      </c>
      <c r="E9" s="45" t="s">
        <v>898</v>
      </c>
      <c r="F9" s="46" t="s">
        <v>905</v>
      </c>
      <c r="G9" s="46" t="s">
        <v>906</v>
      </c>
    </row>
    <row r="10" customFormat="false" ht="61.5" hidden="false" customHeight="true" outlineLevel="0" collapsed="false">
      <c r="A10" s="43" t="s">
        <v>907</v>
      </c>
      <c r="B10" s="44" t="s">
        <v>908</v>
      </c>
      <c r="C10" s="43" t="s">
        <v>909</v>
      </c>
      <c r="D10" s="43" t="s">
        <v>910</v>
      </c>
      <c r="E10" s="45" t="s">
        <v>911</v>
      </c>
      <c r="F10" s="46" t="s">
        <v>912</v>
      </c>
      <c r="G10" s="46" t="s">
        <v>913</v>
      </c>
    </row>
    <row r="11" customFormat="false" ht="61.5" hidden="false" customHeight="true" outlineLevel="0" collapsed="false">
      <c r="A11" s="43" t="s">
        <v>914</v>
      </c>
      <c r="B11" s="44" t="s">
        <v>915</v>
      </c>
      <c r="C11" s="43" t="s">
        <v>903</v>
      </c>
      <c r="D11" s="43" t="s">
        <v>916</v>
      </c>
      <c r="E11" s="45" t="s">
        <v>917</v>
      </c>
      <c r="F11" s="46" t="s">
        <v>918</v>
      </c>
      <c r="G11" s="46" t="s">
        <v>919</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4"/>
    <col collapsed="false" customWidth="true" hidden="false" outlineLevel="0" max="5" min="4" style="0" width="58"/>
    <col collapsed="false" customWidth="true" hidden="false" outlineLevel="0" max="6" min="6" style="0" width="22"/>
  </cols>
  <sheetData>
    <row r="1" customFormat="false" ht="25.5" hidden="false" customHeight="true" outlineLevel="0" collapsed="false">
      <c r="A1" s="7" t="s">
        <v>920</v>
      </c>
      <c r="B1" s="7"/>
      <c r="C1" s="7"/>
      <c r="D1" s="7"/>
      <c r="E1" s="7"/>
      <c r="F1" s="7"/>
    </row>
    <row r="2" customFormat="false" ht="31.5" hidden="false" customHeight="true" outlineLevel="0" collapsed="false">
      <c r="A2" s="36" t="s">
        <v>921</v>
      </c>
      <c r="B2" s="36"/>
      <c r="C2" s="36"/>
      <c r="D2" s="36"/>
      <c r="E2" s="36"/>
      <c r="F2" s="36"/>
    </row>
    <row r="3" customFormat="false" ht="30" hidden="false" customHeight="true" outlineLevel="0" collapsed="false">
      <c r="A3" s="8" t="s">
        <v>922</v>
      </c>
      <c r="B3" s="8" t="s">
        <v>923</v>
      </c>
      <c r="C3" s="8" t="s">
        <v>861</v>
      </c>
      <c r="D3" s="8" t="s">
        <v>924</v>
      </c>
      <c r="E3" s="8" t="s">
        <v>925</v>
      </c>
      <c r="F3" s="8" t="s">
        <v>926</v>
      </c>
    </row>
    <row r="4" customFormat="false" ht="55.5" hidden="false" customHeight="true" outlineLevel="0" collapsed="false">
      <c r="A4" s="47" t="s">
        <v>897</v>
      </c>
      <c r="B4" s="10" t="s">
        <v>927</v>
      </c>
      <c r="C4" s="13" t="s">
        <v>895</v>
      </c>
      <c r="D4" s="13" t="s">
        <v>928</v>
      </c>
      <c r="E4" s="13" t="s">
        <v>929</v>
      </c>
      <c r="F4" s="16" t="s">
        <v>930</v>
      </c>
    </row>
    <row r="5" customFormat="false" ht="55.5" hidden="false" customHeight="true" outlineLevel="0" collapsed="false">
      <c r="A5" s="47" t="s">
        <v>897</v>
      </c>
      <c r="B5" s="10" t="s">
        <v>931</v>
      </c>
      <c r="C5" s="13" t="s">
        <v>932</v>
      </c>
      <c r="D5" s="13" t="s">
        <v>933</v>
      </c>
      <c r="E5" s="13" t="s">
        <v>934</v>
      </c>
      <c r="F5" s="16" t="s">
        <v>35</v>
      </c>
    </row>
    <row r="6" customFormat="false" ht="55.5" hidden="false" customHeight="true" outlineLevel="0" collapsed="false">
      <c r="A6" s="47" t="s">
        <v>935</v>
      </c>
      <c r="B6" s="10" t="s">
        <v>936</v>
      </c>
      <c r="C6" s="13" t="s">
        <v>902</v>
      </c>
      <c r="D6" s="13" t="s">
        <v>937</v>
      </c>
      <c r="E6" s="13" t="s">
        <v>938</v>
      </c>
      <c r="F6" s="16" t="s">
        <v>939</v>
      </c>
    </row>
    <row r="7" customFormat="false" ht="55.5" hidden="false" customHeight="true" outlineLevel="0" collapsed="false">
      <c r="A7" s="47" t="s">
        <v>935</v>
      </c>
      <c r="B7" s="10" t="s">
        <v>936</v>
      </c>
      <c r="C7" s="13" t="s">
        <v>940</v>
      </c>
      <c r="D7" s="13" t="s">
        <v>941</v>
      </c>
      <c r="E7" s="13" t="s">
        <v>942</v>
      </c>
      <c r="F7" s="16" t="s">
        <v>943</v>
      </c>
    </row>
    <row r="8" customFormat="false" ht="55.5" hidden="false" customHeight="true" outlineLevel="0" collapsed="false">
      <c r="A8" s="47" t="s">
        <v>935</v>
      </c>
      <c r="B8" s="10" t="s">
        <v>944</v>
      </c>
      <c r="C8" s="13" t="s">
        <v>945</v>
      </c>
      <c r="D8" s="13" t="s">
        <v>946</v>
      </c>
      <c r="E8" s="13" t="s">
        <v>947</v>
      </c>
      <c r="F8" s="16" t="s">
        <v>948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2026-08-20T12:43:55Z</dcterms:created>
  <dc:creator>openpyxl</dc:creator>
  <dc:description/>
  <dc:language>en-US</dc:language>
  <cp:lastModifiedBy/>
  <dcterms:modified xsi:type="dcterms:W3CDTF">2026-08-20T12:43:55Z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