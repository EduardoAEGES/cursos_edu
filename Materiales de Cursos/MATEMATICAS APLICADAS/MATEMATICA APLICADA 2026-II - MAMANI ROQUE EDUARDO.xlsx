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esktop\CURSOS 2026 II\"/>
    </mc:Choice>
  </mc:AlternateContent>
  <xr:revisionPtr revIDLastSave="0" documentId="13_ncr:1_{653B8E26-4475-4D03-9C51-CDF2C0B7C6C0}" xr6:coauthVersionLast="47" xr6:coauthVersionMax="47" xr10:uidLastSave="{00000000-0000-0000-0000-000000000000}"/>
  <bookViews>
    <workbookView xWindow="-108" yWindow="-108" windowWidth="23256" windowHeight="12456" xr2:uid="{00000000-000D-0000-FFFF-FFFF00000000}"/>
  </bookViews>
  <sheets>
    <sheet name="MODELO" sheetId="1" r:id="rId1"/>
  </sheets>
  <definedNames>
    <definedName name="_xlnm.Print_Area" localSheetId="0">MODELO!$B$1:$K$109</definedName>
    <definedName name="_xlnm.Print_Titles" localSheetId="0">MODELO!$13:$13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07" i="1" l="1"/>
  <c r="D104" i="1"/>
  <c r="D101" i="1"/>
  <c r="D98" i="1"/>
  <c r="D95" i="1"/>
  <c r="D92" i="1"/>
  <c r="D89" i="1"/>
  <c r="D86" i="1"/>
  <c r="D83" i="1"/>
  <c r="D80" i="1"/>
  <c r="D77" i="1"/>
  <c r="D74" i="1"/>
  <c r="D71" i="1"/>
  <c r="D68" i="1"/>
  <c r="C38" i="1"/>
  <c r="C41" i="1" s="1"/>
  <c r="C44" i="1" s="1"/>
  <c r="C47" i="1" s="1"/>
  <c r="C50" i="1" s="1"/>
  <c r="C53" i="1" s="1"/>
  <c r="C56" i="1" s="1"/>
  <c r="C59" i="1" s="1"/>
  <c r="C62" i="1" s="1"/>
  <c r="C65" i="1" s="1"/>
  <c r="C68" i="1" s="1"/>
  <c r="C71" i="1" s="1"/>
  <c r="C74" i="1" s="1"/>
  <c r="C77" i="1" s="1"/>
  <c r="C80" i="1" s="1"/>
  <c r="C83" i="1" s="1"/>
  <c r="C86" i="1" s="1"/>
  <c r="C89" i="1" s="1"/>
  <c r="C92" i="1" s="1"/>
  <c r="C95" i="1" s="1"/>
  <c r="C98" i="1" s="1"/>
  <c r="C101" i="1" s="1"/>
  <c r="C104" i="1" s="1"/>
  <c r="C107" i="1" s="1"/>
  <c r="C35" i="1"/>
  <c r="C32" i="1"/>
  <c r="C29" i="1"/>
  <c r="C26" i="1"/>
  <c r="D65" i="1"/>
  <c r="D62" i="1"/>
  <c r="D59" i="1"/>
  <c r="D56" i="1"/>
  <c r="D53" i="1"/>
  <c r="D50" i="1"/>
  <c r="D47" i="1"/>
  <c r="D44" i="1"/>
  <c r="D41" i="1"/>
  <c r="D38" i="1"/>
  <c r="D35" i="1"/>
  <c r="D32" i="1"/>
  <c r="D29" i="1"/>
  <c r="D26" i="1"/>
  <c r="D23" i="1"/>
  <c r="D20" i="1"/>
  <c r="D17" i="1"/>
</calcChain>
</file>

<file path=xl/sharedStrings.xml><?xml version="1.0" encoding="utf-8"?>
<sst xmlns="http://schemas.openxmlformats.org/spreadsheetml/2006/main" count="359" uniqueCount="210">
  <si>
    <t>Nombre Unidad Didáctica</t>
  </si>
  <si>
    <t>MATEMÁTICA APLICADA</t>
  </si>
  <si>
    <t>Programa de estudios</t>
  </si>
  <si>
    <t>MARKETING</t>
  </si>
  <si>
    <t>Nombre del docente</t>
  </si>
  <si>
    <t>Período Académico</t>
  </si>
  <si>
    <t>2026-II</t>
  </si>
  <si>
    <t>Aula /sección</t>
  </si>
  <si>
    <t>Unidad de Competencia vinculada al módulo</t>
  </si>
  <si>
    <t>UC1: Analizar el mercado, de acuerdo a las variables del entorno del negocio, público objetivo y recursos disponibles.</t>
  </si>
  <si>
    <t>UNIDAD</t>
  </si>
  <si>
    <t>SESIÓN</t>
  </si>
  <si>
    <t xml:space="preserve">FECHA </t>
  </si>
  <si>
    <t>Elemento de la capacidad</t>
  </si>
  <si>
    <t>Actividades de Aprendizaje</t>
  </si>
  <si>
    <t>Actividades metodológicas</t>
  </si>
  <si>
    <t>Tiempo</t>
  </si>
  <si>
    <t>Instrumentos de evaluación</t>
  </si>
  <si>
    <t>Recursos Didácticos</t>
  </si>
  <si>
    <t>Observaciones</t>
  </si>
  <si>
    <t>Semana 1</t>
  </si>
  <si>
    <t>1. Resuelve problemas de operaciones básicas, porcentajes y proporciones.</t>
  </si>
  <si>
    <t>Actividad 1: Conceptos básicos de matemática aplicada al marketing.
1. Introducción a las Matemáticas en el Marketing
1.1. Toma de decisiones informadas en las marcas.
1.2. El proceso de decisión: Información, Decisión, Acción y Control.
2. Nivelación Operativa y Aritmética Comercial
2.1. Jerarquía y precedencia de operaciones básicas.
2.2. Planteamiento de ecuaciones lineales simples.</t>
  </si>
  <si>
    <t>Inicio: Presentación del docente y de la unidad didáctica: sílabo, capacidades, sistema de evaluación y proyecto integrador. Aplicación de una prueba de entrada corta para medir el nivel aritmético del grupo. Motivación con la pregunta: ¿por qué una marca necesita matemática para decidir?</t>
  </si>
  <si>
    <t>20 min</t>
  </si>
  <si>
    <t>Prueba de entrada (diagnóstica) y ficha de observación de desempeño.</t>
  </si>
  <si>
    <t>Computadora y proyector multimedia, pizarra acrílica y plumones, diapositivas (PPT), separata del docente, hoja de práctica impresa, calculadora científica.</t>
  </si>
  <si>
    <t>Desarrollo: Exposición dialogada sobre el rol de la matemática en la toma de decisiones de marca y el ciclo Información–Decisión–Acción–Control. Demostración en pizarra de la jerarquía y precedencia de operaciones con casos comerciales (cálculo de un pedido con descuentos y flete). Resolución guiada de ecuaciones lineales simples aplicadas a metas de venta. Trabajo en parejas con hoja de práctica; el docente monitorea y retroalimenta.</t>
  </si>
  <si>
    <t>95 min</t>
  </si>
  <si>
    <t>Cierre: Puesta en común de dos ejercicios resueltos en la pizarra por los estudiantes. Cierre con preguntas metacognitivas (¿qué aprendí?, ¿en qué me sirve?) y asignación de práctica domiciliaria del aula virtual.</t>
  </si>
  <si>
    <t>2.3. Fracciones y decimales en el presupuesto.
3. Razones, Proporciones y Variaciones
3.1. Variación proporcional directa e inversa en el comercio.
3.2. Reparto proporcional de presupuestos y comisiones de venta.</t>
  </si>
  <si>
    <t>Inicio: Recuperación de saberes con un ejercicio relámpago de fracciones aplicadas a un presupuesto publicitario.</t>
  </si>
  <si>
    <t>5 min</t>
  </si>
  <si>
    <t>Lista de cotejo del trabajo en equipo.</t>
  </si>
  <si>
    <t>Desarrollo: Explicación del uso de fracciones y decimales en la distribución del presupuesto de marketing. Desarrollo de razones y proporciones con la regla de tres directa e inversa en compras y producción. Taller breve de reparto proporcional de un presupuesto de campaña y de comisiones entre vendedores, resuelto en equipos de cuatro integrantes.</t>
  </si>
  <si>
    <t>30 min</t>
  </si>
  <si>
    <t>Cierre: Socialización de resultados por equipo, corrección conjunta de errores frecuentes y síntesis del docente.</t>
  </si>
  <si>
    <t>10 min</t>
  </si>
  <si>
    <t>Semana 2</t>
  </si>
  <si>
    <t>4. Porcentajes y su uso en el Comercio
4.1. Conversión de porcentajes a factores decimales.
4.2. Aumentos y descuentos directos con multiplicadores.
5. Variación Porcentual y Promociones
5.1. Variación porcentual de ventas de un mes a otro.</t>
  </si>
  <si>
    <t>Inicio: Revisión de la práctica domiciliaria. Presentación de un aviso publicitario real con descuentos para despertar el conflicto cognitivo: ¿el descuento anunciado es el descuento real?</t>
  </si>
  <si>
    <t>Práctica calificada individual y ficha de observación.</t>
  </si>
  <si>
    <t>Desarrollo: Exposición y demostración de la conversión de porcentajes a factores decimales y del uso de multiplicadores para aumentos y descuentos directos. Resolución modelada de casos de variación porcentual de ventas mes a mes con datos de una marca de consumo masivo. Práctica dirigida individual y luego contrastada en parejas (aprendizaje entre pares).</t>
  </si>
  <si>
    <t>Cierre: Resolución de un ejercicio de salida en la pizarra y aclaración de la diferencia entre puntos porcentuales y variación porcentual.</t>
  </si>
  <si>
    <t>5.2. Descuentos sucesivos en tiendas comerciales.
5.3. Descuento único equivalente.</t>
  </si>
  <si>
    <t>Inicio: Planteamiento del reto: dos tiendas ofrecen 30% + 20% y 45% respectivamente, ¿cuál conviene?</t>
  </si>
  <si>
    <t>Lista de cotejo del taller y participación oral.</t>
  </si>
  <si>
    <t>Desarrollo: Demostración del cálculo de descuentos sucesivos mediante el producto de factores y deducción de la fórmula del descuento único equivalente. Taller de aplicación con casos de retail peruano resueltos en equipos, con verificación en calculadora.</t>
  </si>
  <si>
    <t>Cierre: Confrontación de la respuesta al reto inicial, conclusiones y registro en el cuaderno de trabajo.</t>
  </si>
  <si>
    <t>Semana 3</t>
  </si>
  <si>
    <t>2. Resuelve operaciones de interés simple y compuesto.</t>
  </si>
  <si>
    <t>Actividad 2: Interés simple y compuesto.
6. Interés Simple Comercial
6.1. Componentes: Capital, Tiempo, Tasa e Interés.
6.2. Cálculo de cobros y pagos a corto plazo.</t>
  </si>
  <si>
    <t>Inicio: Motivación con un caso de crédito comercial a 60 días otorgado a un distribuidor. Recuperación de saberes sobre porcentajes.</t>
  </si>
  <si>
    <t>Ficha de observación y revisión del cuaderno de ejercicios.</t>
  </si>
  <si>
    <t>Desarrollo: Exposición de los componentes del interés simple (C, i, n, I, S) y despeje de cada variable. Demostración en pizarra del cálculo de intereses en cobros y pagos a corto plazo con tiempo exacto y comercial. Resolución progresiva de ejercicios de dificultad creciente; los estudiantes desarrollan en sus puestos y el docente retroalimenta individualmente.</t>
  </si>
  <si>
    <t>Cierre: Sistematización de fórmulas en un organizador visual elaborado por los estudiantes.</t>
  </si>
  <si>
    <t>7. Interés Compuesto Bancario
7.1. Concepto de acumulación de intereses (capitalización).
7.2. Frecuencia de capitalización y periodos.</t>
  </si>
  <si>
    <t>Inicio: Comparación motivadora entre dos ahorros iguales, uno a interés simple y otro compuesto.</t>
  </si>
  <si>
    <t>Lista de cotejo del ejercicio en Excel.</t>
  </si>
  <si>
    <t>Computadora y proyector multimedia, laboratorio de cómputo con MS Excel, plantilla de cálculo, pizarra acrílica y plumones, calculadora financiera, separata del docente.</t>
  </si>
  <si>
    <t>Desarrollo: Explicación del concepto de capitalización y construcción de la fórmula del monto compuesto. Identificación de la frecuencia de capitalización (mensual, trimestral, semestral, anual) y del número de periodos. Ejercicio guiado en MS Excel para visualizar la acumulación.</t>
  </si>
  <si>
    <t>Cierre: Contraste de resultados simple vs. compuesto y conclusión sobre el efecto del tiempo.</t>
  </si>
  <si>
    <t>Semana 4</t>
  </si>
  <si>
    <t>8. Casos de Interés Compuesto
8.1. Cálculo de valor futuro y valor presente.
8.2. Aplicación en cuentas de ahorro y créditos.</t>
  </si>
  <si>
    <t>Inicio: Revisión de la tarea. Presentación de tarifarios reales de entidades financieras del sistema peruano.</t>
  </si>
  <si>
    <t>Práctica calificada grupal con lista de cotejo.</t>
  </si>
  <si>
    <t>Desarrollo: Demostración del cálculo de valor futuro (VF) y valor presente (VP) con interés compuesto. Resolución de casuística aplicada a cuentas de ahorro, depósitos a plazo y créditos de consumo. Trabajo en equipos con casos diferenciados y exposición breve de la solución de cada equipo (aprendizaje cooperativo).</t>
  </si>
  <si>
    <t>Cierre: Retroalimentación por equipos, corrección de errores de interpretación y síntesis del docente.</t>
  </si>
  <si>
    <t>9. Tasas de Interés Financieras
9.1. Tasa Nominal Anual (TNA) frente a Tasa Efectiva Anual (TEA).
9.2. Conversión de tasa anual a tasa mensual equivalente.</t>
  </si>
  <si>
    <t>Inicio: Pregunta detonante: ¿por qué dos bancos con la misma tasa anual cobran distinto?</t>
  </si>
  <si>
    <t>Ficha de observación y ejercicio de salida.</t>
  </si>
  <si>
    <t>Desarrollo: Explicación de la diferencia entre TNA y TEA y demostración de la fórmula de tasas equivalentes. Ejercicios de conversión de TEA a TEM aplicados a cuotas de crédito.</t>
  </si>
  <si>
    <t>Cierre: Elaboración de un cuadro resumen de conversión de tasas y absolución de dudas.</t>
  </si>
  <si>
    <t>Semana 5</t>
  </si>
  <si>
    <t>10. Diagramas de Flujo de Efectivo
10.1. Línea de tiempo y flujos mensuales.
10.2. Registro de egresos e ingresos de dinero.
11. Renegociación de Deudas
11.1. Concepto de fecha focal en comercio.
11.2. Refinanciamiento de deudas comerciales.</t>
  </si>
  <si>
    <t>Inicio: Recuperación de saberes sobre VP y VF. Presentación de un caso de proveedor que solicita reprogramar pagos.</t>
  </si>
  <si>
    <t>Rúbrica de resolución de casos (ecuaciones de valor).</t>
  </si>
  <si>
    <t>Desarrollo: Construcción guiada de diagramas de flujo de efectivo sobre la línea de tiempo, con registro de ingresos y egresos. Explicación de la fecha focal y planteamiento de ecuaciones de valor. Resolución modelada de un caso de refinanciamiento de deuda comercial y práctica dirigida en parejas.</t>
  </si>
  <si>
    <t>Cierre: Verificación conjunta de la ecuación de valor planteada y repaso general para la evaluación.</t>
  </si>
  <si>
    <t>12. Primera Evaluación Parcial (Evaluación Permanente 1).</t>
  </si>
  <si>
    <t>Inicio: Indicaciones generales, entrega de la prueba y verificación de materiales permitidos.</t>
  </si>
  <si>
    <t>Prueba escrita de desarrollo (Evaluación Permanente 1 – 30%).</t>
  </si>
  <si>
    <t>Prueba escrita impresa, hoja de respuestas, calculadora científica, aula con distribución para evaluación, cronómetro.</t>
  </si>
  <si>
    <t>Desarrollo: Desarrollo individual de la Primera Evaluación Parcial, que integra aritmética comercial, porcentajes, interés simple, interés compuesto, tasas y ecuaciones de valor.</t>
  </si>
  <si>
    <t>Cierre: Recojo de pruebas y anuncio de la fecha de retroalimentación de resultados.</t>
  </si>
  <si>
    <t>Semana 6</t>
  </si>
  <si>
    <t>3. Interpreta los principales estados financieros de la empresa.</t>
  </si>
  <si>
    <t>Actividad 3: Estados financieros de la empresa.
13. Estados Financieros Básicos
13.1. Estructura de activos, pasivos y patrimonio.
13.2. El Balance General en negocios sencillos.</t>
  </si>
  <si>
    <t>Inicio: Retroalimentación de la Primera Evaluación Parcial. Motivación con el estado financiero publicado de una empresa de consumo masivo.</t>
  </si>
  <si>
    <t>Lista de cotejo del taller de balance general.</t>
  </si>
  <si>
    <t>Desarrollo: Exposición dialogada sobre la estructura del Estado de Situación Financiera: activos, pasivos y patrimonio, y la ecuación contable fundamental. Clasificación guiada de partidas de un negocio sencillo. Taller de armado de un balance general en equipos a partir de una lista de cuentas.</t>
  </si>
  <si>
    <t>Cierre: Presentación de los balances armados, corrección conjunta y conclusiones.</t>
  </si>
  <si>
    <t>14. Estado de Resultados Comercial
14.1. Ventas, costos y gastos operativos.
14.2. Estructura de ganancias y pérdidas de una marca.</t>
  </si>
  <si>
    <t>Inicio: Pregunta detonante: ¿vender más significa siempre ganar más?</t>
  </si>
  <si>
    <t>Ficha de observación y revisión del archivo Excel.</t>
  </si>
  <si>
    <t>Desarrollo: Explicación de la estructura del Estado de Resultados: ventas netas, costo de ventas, gastos operativos y utilidad. Elaboración guiada de un estado de resultados simple de una marca en MS Excel.</t>
  </si>
  <si>
    <t>Cierre: Interpretación de los resultados obtenidos y síntesis de la relación entre ambos estados financieros.</t>
  </si>
  <si>
    <t>Semana 7</t>
  </si>
  <si>
    <t>15. Costos y Gastos Comerciales
15.1. El costo y su impacto en la rentabilidad de campañas.
15.2. El presupuesto publicitario de marca.</t>
  </si>
  <si>
    <t>Inicio: Motivación con el análisis del presupuesto publicitario de una campaña real y su resultado en ventas.</t>
  </si>
  <si>
    <t>Rúbrica de estudio de casos.</t>
  </si>
  <si>
    <t>Computadora y proyector multimedia, caso comercial impreso, papelógrafos y plumones, MS Excel, video corto de campaña publicitaria, pizarra acrílica.</t>
  </si>
  <si>
    <t>Desarrollo: Exposición sobre la diferencia entre costo y gasto y su impacto en la rentabilidad de una campaña. Análisis de la estructura del presupuesto publicitario de marca (medios, producción, activaciones). Estudio de caso en equipos: distribución de un presupuesto publicitario y cálculo de su incidencia porcentual sobre las ventas.</t>
  </si>
  <si>
    <t>Cierre: Exposición breve de los equipos y retroalimentación del docente sobre criterios de asignación.</t>
  </si>
  <si>
    <t>16. Clasificación de Costos
16.1. Costos Fijos de campaña.
16.2. Costos Variables de producción y ventas.</t>
  </si>
  <si>
    <t>Inicio: Dinámica de clasificación rápida de tarjetas con distintos costos de una marca.</t>
  </si>
  <si>
    <t>Lista de cotejo del cuadro comparativo.</t>
  </si>
  <si>
    <t>Desarrollo: Explicación de la clasificación de costos fijos y variables, con su comportamiento frente al volumen. Ejercicio de separación de costos de una campaña y cálculo del costo total y unitario.</t>
  </si>
  <si>
    <t>Cierre: Elaboración de un cuadro comparativo costos fijos vs. variables y verificación de la comprensión.</t>
  </si>
  <si>
    <t>Semana 8</t>
  </si>
  <si>
    <t>Actividad 4: Márgenes de utilidad y ROI.
17. Ganancias y Márgenes
17.1. Utilidad bruta, operativa y neta.
17.2. Cálculo de márgenes de utilidad.</t>
  </si>
  <si>
    <t>Inicio: Recuperación de saberes sobre el estado de resultados. Presentación de dos marcas con la misma venta y distinta utilidad.</t>
  </si>
  <si>
    <t>Desarrollo: Exposición y demostración del cálculo de la utilidad bruta, operativa y neta, y de sus márgenes porcentuales. Desarrollo de ejercicios progresivos a partir de estados de resultados de marcas comerciales. Práctica dirigida en MS Excel con fórmulas propias.</t>
  </si>
  <si>
    <t>Cierre: Interpretación comparativa de los márgenes obtenidos y conclusiones sobre eficiencia comercial.</t>
  </si>
  <si>
    <t>18. Métodos de Fijación de Margen
18.1. Utilidad sobre el costo (Recargo).
18.2. Utilidad sobre el precio de venta.</t>
  </si>
  <si>
    <t>Inicio: Conflicto cognitivo: un 40% sobre el costo, ¿es lo mismo que un 40% sobre el precio de venta?</t>
  </si>
  <si>
    <t>Ejercicio de salida con lista de cotejo.</t>
  </si>
  <si>
    <t>Desarrollo: Demostración de ambos métodos de fijación de margen y deducción de sus fórmulas de conversión. Resolución de ejercicios de fijación de precios de un producto de marca.</t>
  </si>
  <si>
    <t>Cierre: Confrontación de la respuesta al conflicto inicial y sistematización de fórmulas.</t>
  </si>
  <si>
    <t>Semana 9</t>
  </si>
  <si>
    <t>4. Calcula márgenes de utilidad y ROI.</t>
  </si>
  <si>
    <t>19. Contribución Marginal
19.1. Margen de contribución unitario y porcentual.
19.2. Análisis de rentabilidad del portafolio de productos.</t>
  </si>
  <si>
    <t>Inicio: Motivación con el portafolio de una marca: ¿qué producto conviene impulsar en la campaña?</t>
  </si>
  <si>
    <t>Rúbrica de análisis y sustentación de resultados.</t>
  </si>
  <si>
    <t>Desarrollo: Exposición del concepto de margen de contribución unitario y porcentual y su cálculo. Análisis guiado de la rentabilidad de un portafolio de productos en MS Excel, ordenando los productos por contribución. Trabajo en equipos con toma de decisión sustentada.</t>
  </si>
  <si>
    <t>Cierre: Debate breve entre equipos sobre el producto a impulsar y consolidación del docente.</t>
  </si>
  <si>
    <t>20. Razón del Costo Variable
20.1. Relación entre el costo variable y las ventas.
20.2. Impacto de los insumos en el margen de contribución.</t>
  </si>
  <si>
    <t>Inicio: Recuperación de saberes sobre costos variables mediante lluvia de ideas.</t>
  </si>
  <si>
    <t>Ficha de observación y revisión de la simulación.</t>
  </si>
  <si>
    <t>Desarrollo: Explicación y cálculo de la razón del costo variable y su complementariedad con la razón de contribución. Análisis del impacto del alza de insumos sobre el margen mediante simulación en Excel.</t>
  </si>
  <si>
    <t>Cierre: Conclusiones sobre sensibilidad del margen y asignación de práctica domiciliaria.</t>
  </si>
  <si>
    <t>Semana 10</t>
  </si>
  <si>
    <t>21. Modelado del Punto de Equilibrio
21.1. Punto de equilibrio en unidades físicas.
21.2. Punto de equilibrio en valor monetario (soles).
22. Margen de Seguridad de la Campaña
22.1. Margen de seguridad en volumen de ventas y porcentaje.
22.2. Uso para la gestión del riesgo comercial.</t>
  </si>
  <si>
    <t>Inicio: Pregunta detonante: ¿cuántas unidades debe vender la campaña para no perder dinero?</t>
  </si>
  <si>
    <t>Rúbrica de resolución de casos y lista de cotejo del gráfico.</t>
  </si>
  <si>
    <t>Desarrollo: Deducción y demostración de las fórmulas del punto de equilibrio en unidades y en soles. Construcción del gráfico del punto de equilibrio en MS Excel. Cálculo del margen de seguridad en volumen y porcentaje, e interpretación para la gestión del riesgo comercial. Resolución de casos en parejas y repaso integral para la evaluación.</t>
  </si>
  <si>
    <t>Cierre: Interpretación gráfica conjunta y absolución de dudas previas a la evaluación parcial.</t>
  </si>
  <si>
    <t>23. Segunda Evaluación Parcial (Evaluación Permanente 2).</t>
  </si>
  <si>
    <t>Prueba escrita de desarrollo (Evaluación Permanente 2 – 30%).</t>
  </si>
  <si>
    <t>Desarrollo: Desarrollo individual de la Segunda Evaluación Parcial, que integra estados financieros, costos, márgenes de utilidad, contribución marginal y punto de equilibrio.</t>
  </si>
  <si>
    <t>Semana 11</t>
  </si>
  <si>
    <t>5. Realiza proyecciones de ventas.</t>
  </si>
  <si>
    <t>Actividad 5: Proyección de ventas.
24. Métodos Matemáticos de Proyección
24.1. Proyecciones bajo crecimiento lineal constante.
24.2. Proyecciones considerando la estacionalidad de la demanda.</t>
  </si>
  <si>
    <t>Inicio: Retroalimentación de la Segunda Evaluación Parcial. Motivación con la serie histórica de ventas de una categoría estacional (helados, panetón).</t>
  </si>
  <si>
    <t>Práctica calificada en MS Excel con lista de cotejo.</t>
  </si>
  <si>
    <t>Desarrollo: Exposición de los métodos matemáticos de proyección de ventas bajo crecimiento lineal constante y cálculo de la tasa de crecimiento. Explicación del índice de estacionalidad y su aplicación a la proyección mensual. Desarrollo guiado en MS Excel con datos históricos reales y trabajo autónomo de los estudiantes.</t>
  </si>
  <si>
    <t>Cierre: Comparación de las proyecciones obtenidas por los estudiantes y análisis de las diferencias.</t>
  </si>
  <si>
    <t>24.3. Cálculo de ventas adicionales de campaña.</t>
  </si>
  <si>
    <t>Inicio: Planteamiento del caso: ¿cuánto vendería la marca sin campaña y cuánto con campaña?</t>
  </si>
  <si>
    <t>Desarrollo: Explicación del concepto de venta base (línea base) y venta incremental atribuible a la campaña. Ejercicio de cálculo de ventas adicionales y su valorización en soles.</t>
  </si>
  <si>
    <t>Cierre: Socialización de resultados y vinculación con el proyecto integrador del curso.</t>
  </si>
  <si>
    <t>Semana 12</t>
  </si>
  <si>
    <t>25. Construcción del Flujo de Caja Incremental
25.1. Ingresos incrementales esperados frente a egresos de la campaña.
25.2. Planteamiento de la inversión inicial en el periodo cero.</t>
  </si>
  <si>
    <t>Inicio: Recuperación de saberes sobre diagramas de flujo de efectivo y ventas incrementales.</t>
  </si>
  <si>
    <t>Rúbrica de construcción del flujo de caja y ficha de coevaluación.</t>
  </si>
  <si>
    <t>Desarrollo: Exposición de la lógica del flujo de caja incremental: solo se registran los ingresos y egresos atribuibles a la campaña. Identificación y ubicación de la inversión inicial en el periodo cero. Construcción guiada del flujo en MS Excel a partir de un caso de campaña publicitaria, con trabajo cooperativo en equipos de proyecto.</t>
  </si>
  <si>
    <t>Cierre: Revisión cruzada entre equipos (coevaluación) y retroalimentación del docente.</t>
  </si>
  <si>
    <t>25.3. Consolidación de flujos de caja mensuales.</t>
  </si>
  <si>
    <t>Inicio: Presentación del reto: consolidar doce meses de flujos en un solo cuadro de decisión.</t>
  </si>
  <si>
    <t>Lista de cotejo de avance del proyecto.</t>
  </si>
  <si>
    <t>Desarrollo: Consolidación de los flujos mensuales en una hoja resumen, cálculo del flujo neto y del flujo acumulado por periodo, con validación de fórmulas en Excel.</t>
  </si>
  <si>
    <t>Cierre: Verificación de consistencia de los flujos y avance del proyecto integrador.</t>
  </si>
  <si>
    <t>Semana 13</t>
  </si>
  <si>
    <t>6. Utiliza las principales herramientas para la Evaluación de Proyectos.</t>
  </si>
  <si>
    <t>Actividad 6: Evaluación de proyectos.
26. Criterios de Evaluación de Inversiones
26.1. Valor Actual Neto (VAN).
26.2. Tasa Interna de Retorno (TIR).</t>
  </si>
  <si>
    <t>Inicio: Motivación con dos alternativas de inversión en marketing: ¿cuál elegir y con qué criterio?</t>
  </si>
  <si>
    <t>Práctica calificada en MS Excel con rúbrica de interpretación.</t>
  </si>
  <si>
    <t>Desarrollo: Exposición del Valor Actual Neto: concepto, fórmula, costo de oportunidad y regla de decisión. Demostración del cálculo manual y con las funciones VNA y TIR de MS Excel. Explicación de la Tasa Interna de Retorno y su interpretación frente a la tasa de descuento. Práctica dirigida con el flujo construido en la sesión anterior.</t>
  </si>
  <si>
    <t>Cierre: Interpretación de los resultados VAN y TIR obtenidos y decisión sustentada por los estudiantes.</t>
  </si>
  <si>
    <t>26.3. Periodo de Recuperación (Payback).</t>
  </si>
  <si>
    <t>Inicio: Pregunta detonante: ¿en cuántos meses la campaña devuelve la inversión realizada?</t>
  </si>
  <si>
    <t>Desarrollo: Explicación y cálculo del periodo de recuperación simple y descontado a partir del flujo acumulado. Comparación de proyectos con distinto payback.</t>
  </si>
  <si>
    <t>Cierre: Elaboración de un cuadro comparativo VAN – TIR – Payback y conclusiones de decisión.</t>
  </si>
  <si>
    <t>Semana 14</t>
  </si>
  <si>
    <t>27. Retorno de la Inversión en Marketing
27.1. Cálculo del ROI comercial de la campaña.
27.2. Interpretación de la rentabilidad porcentual.</t>
  </si>
  <si>
    <t>Inicio: Motivación con titulares de resultados de campañas digitales y su ROI reportado.</t>
  </si>
  <si>
    <t>Rúbrica de resolución e interpretación de casos.</t>
  </si>
  <si>
    <t>Desarrollo: Exposición de la fórmula del ROI de marketing a partir de la utilidad incremental y la inversión de campaña. Demostración del cálculo y de los errores frecuentes (usar ventas en lugar de utilidad). Resolución de casos en equipos e interpretación de la rentabilidad porcentual obtenida.</t>
  </si>
  <si>
    <t>Cierre: Socialización de los ROI calculados por equipo y discusión de sus implicancias de decisión.</t>
  </si>
  <si>
    <t>28. Ratio Costo-Beneficio (RCB)
28.1. Cálculo del beneficio-costo de la pauta publicitaria.
28.2. Sustentación financiera ante directores.</t>
  </si>
  <si>
    <t>Inicio: Planteamiento del rol: eres el analista que debe sustentar la pauta ante el directorio.</t>
  </si>
  <si>
    <t>Rúbrica de sustentación oral con datos financieros.</t>
  </si>
  <si>
    <t>Desarrollo: Explicación y cálculo del ratio costo-beneficio de la pauta publicitaria y su regla de decisión. Simulación de sustentación financiera breve ante el grupo (juego de roles).</t>
  </si>
  <si>
    <t>Cierre: Retroalimentación sobre argumentación con datos y preparación del caso integrador.</t>
  </si>
  <si>
    <t>Semana 15</t>
  </si>
  <si>
    <t>7. Demuestra adecuadamente los conceptos aprendidos durante la unidad didáctica y los expone adecuadamente en un proyecto dejado por el docente y/o evaluación de conocimientos.</t>
  </si>
  <si>
    <t>Actividad 7: Casos integradores de evaluación comercial.
29. Discusión de Campañas
29.1. Evaluación integral en marcas de consumo masivo.</t>
  </si>
  <si>
    <t>Inicio: Presentación del caso integrador de una marca de consumo masivo y de la rúbrica de evaluación.</t>
  </si>
  <si>
    <t>Rúbrica de evaluación del caso integrador.</t>
  </si>
  <si>
    <t>Desarrollo: Desarrollo del caso integrador en equipos aplicando toda la secuencia: proyección de ventas, costos, márgenes, punto de equilibrio, flujo de caja incremental, VAN, TIR, payback, ROI y RCB. Acompañamiento y asesoría del docente por equipo (aprendizaje basado en proyectos).</t>
  </si>
  <si>
    <t>Cierre: Presentación parcial de avances por equipo y retroalimentación formativa.</t>
  </si>
  <si>
    <t>29.2. Simulación de toma de decisiones bajo diferentes escenarios.</t>
  </si>
  <si>
    <t>Inicio: Entrega a cada equipo de una variable modificada (alza de insumos, caída de demanda, mayor inversión).</t>
  </si>
  <si>
    <t>Lista de cotejo del análisis de escenarios.</t>
  </si>
  <si>
    <t>Desarrollo: Simulación de escenarios optimista, conservador y pesimista sobre el modelo construido en Excel, con análisis de sensibilidad de los indicadores.</t>
  </si>
  <si>
    <t>Cierre: Conclusiones sobre el riesgo comercial e indicaciones para la sustentación final.</t>
  </si>
  <si>
    <t>Semana 16</t>
  </si>
  <si>
    <t>30. Consolidación del Trabajo Final
30.1. Unificación de los cálculos financieros del proyecto.</t>
  </si>
  <si>
    <t>Inicio: Indicaciones para la sustentación final, orden de participación y criterios de la rúbrica.</t>
  </si>
  <si>
    <t>Rúbrica de sustentación del trabajo final (Evaluación Final – 40%).</t>
  </si>
  <si>
    <t>Desarrollo: Consolidación y revisión final de los cálculos financieros del proyecto de marketing. Sustentación de los equipos ante el aula, con defensa de los indicadores obtenidos y absolución de preguntas del docente y de los pares.</t>
  </si>
  <si>
    <t>Cierre: Retroalimentación individualizada por equipo al término de cada sustentación.</t>
  </si>
  <si>
    <t>30.2. Sustentación numérica final del proyecto de marketing.</t>
  </si>
  <si>
    <t>Inicio: Recojo de los informes finales y de los archivos de cálculo.</t>
  </si>
  <si>
    <t>Rúbrica de sustentación del trabajo final y ficha de metacognición.</t>
  </si>
  <si>
    <t>Desarrollo: Cierre de sustentaciones pendientes, consolidación de resultados del aula y retroalimentación general del desempeño del grupo.</t>
  </si>
  <si>
    <t>Cierre: Conclusiones del curso, evaluación metacognitiva del aprendizaje logrado y registro de notas finales.</t>
  </si>
  <si>
    <t>Eduardo Luis Mamani Roque</t>
  </si>
  <si>
    <t>La clase será grabada ya que es feriado</t>
  </si>
  <si>
    <t>CONTROL DE AVANCE SILÁBICO/ SESIONES DE APRENDIZAJE 2026-II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</si>
</sst>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6"/>
      <color theme="0"/>
      <name val="Source Sans 3"/>
    </font>
    <font>
      <sz val="10"/>
      <color theme="1"/>
      <name val="Source Sans 3"/>
    </font>
    <font>
      <sz val="10"/>
      <color rgb="FFFFFFFF"/>
      <name val="Source Sans 3"/>
    </font>
    <font>
      <b/>
      <sz val="10"/>
      <color rgb="FFFFFFFF"/>
      <name val="Source Sans 3"/>
    </font>
    <font>
      <sz val="10"/>
      <color theme="1"/>
      <name val="Arial"/>
      <family val="2"/>
      <scheme val="minor"/>
    </font>
    <font>
      <b/>
      <sz val="10"/>
      <color rgb="FF000000"/>
      <name val="Arial"/>
      <family val="2"/>
      <scheme val="minor"/>
    </font>
    <font>
      <sz val="9"/>
      <color theme="1"/>
      <name val="Calibri"/>
      <family val="2"/>
    </font>
    <font>
      <sz val="10"/>
      <color rgb="FF000000"/>
      <name val="Arial"/>
      <family val="2"/>
      <scheme val="minor"/>
    </font>
    <font>
      <sz val="9"/>
      <color rgb="FFFF0000"/>
      <name val="Calibri"/>
      <family val="2"/>
    </font>
  </fonts>
  <fills count="5">
    <fill>
      <patternFill patternType="none"/>
    </fill>
    <fill>
      <patternFill patternType="gray125"/>
    </fill>
    <fill>
      <patternFill patternType="solid">
        <fgColor rgb="FF674EA7"/>
        <bgColor rgb="FF674EA7"/>
      </patternFill>
    </fill>
    <fill>
      <patternFill patternType="solid">
        <fgColor rgb="FF8E7CC3"/>
        <bgColor rgb="FF8E7CC3"/>
      </patternFill>
    </fill>
    <fill>
      <patternFill patternType="solid">
        <fgColor theme="0"/>
        <bgColor rgb="FF8E7CC3"/>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0" xfId="0" applyFont="1" applyAlignment="1">
      <alignment horizontal="center" vertical="center"/>
    </xf>
    <xf numFmtId="0" fontId="2" fillId="0" borderId="0" xfId="0" applyFont="1"/>
    <xf numFmtId="0" fontId="2" fillId="0" borderId="0" xfId="0" applyFont="1" applyAlignment="1">
      <alignment horizontal="left" wrapText="1"/>
    </xf>
    <xf numFmtId="0" fontId="2" fillId="0" borderId="0" xfId="0" applyFont="1" applyAlignment="1">
      <alignment horizontal="left" vertical="center" wrapText="1"/>
    </xf>
    <xf numFmtId="0" fontId="3" fillId="0" borderId="0" xfId="0" applyFont="1" applyAlignment="1">
      <alignment horizont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center" vertical="center" textRotation="90"/>
    </xf>
    <xf numFmtId="0" fontId="5" fillId="0" borderId="0" xfId="0" applyFont="1" applyAlignment="1">
      <alignment horizontal="left" wrapText="1"/>
    </xf>
    <xf numFmtId="0" fontId="5" fillId="0" borderId="0" xfId="0" applyFont="1" applyAlignment="1">
      <alignment horizontal="left" vertical="center" wrapText="1"/>
    </xf>
    <xf numFmtId="0" fontId="0" fillId="0" borderId="0" xfId="0"/>
    <xf numFmtId="0" fontId="3" fillId="3" borderId="0" xfId="0" applyFont="1" applyFill="1" applyAlignment="1">
      <alignment vertical="center" wrapText="1"/>
    </xf>
    <xf numFmtId="0" fontId="3" fillId="4" borderId="0" xfId="0" applyFont="1" applyFill="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0" fontId="4" fillId="3"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vertical="center"/>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xf>
    <xf numFmtId="0" fontId="2" fillId="0" borderId="2" xfId="0" applyFont="1" applyBorder="1" applyAlignment="1">
      <alignment horizontal="center"/>
    </xf>
    <xf numFmtId="0" fontId="0" fillId="0" borderId="3" xfId="0" applyBorder="1"/>
    <xf numFmtId="0" fontId="0" fillId="0" borderId="4" xfId="0" applyBorder="1"/>
    <xf numFmtId="0" fontId="2" fillId="0" borderId="1" xfId="0" applyFont="1" applyBorder="1" applyAlignment="1">
      <alignment horizontal="center"/>
    </xf>
    <xf numFmtId="0" fontId="0" fillId="0" borderId="1" xfId="0" applyBorder="1"/>
    <xf numFmtId="0" fontId="4" fillId="3" borderId="0" xfId="0" applyFont="1" applyFill="1" applyAlignment="1">
      <alignment vertical="center" wrapText="1"/>
    </xf>
    <xf numFmtId="0" fontId="0" fillId="0" borderId="0" xfId="0"/>
    <xf numFmtId="0" fontId="2" fillId="0" borderId="0" xfId="0" applyFont="1" applyAlignment="1">
      <alignment vertical="center" wrapText="1"/>
    </xf>
    <xf numFmtId="0" fontId="1" fillId="2" borderId="0" xfId="0" applyFont="1" applyFill="1" applyAlignment="1">
      <alignment horizontal="center" vertical="center"/>
    </xf>
    <xf numFmtId="0" fontId="7" fillId="0" borderId="5" xfId="0" applyFont="1" applyBorder="1" applyAlignment="1">
      <alignment horizontal="left" vertical="center" wrapText="1"/>
    </xf>
    <xf numFmtId="0" fontId="6" fillId="0" borderId="0" xfId="0" applyFont="1" applyAlignment="1">
      <alignment vertical="center" wrapText="1"/>
    </xf>
    <xf numFmtId="0" fontId="7" fillId="0" borderId="5" xfId="0" applyFont="1" applyBorder="1" applyAlignment="1">
      <alignment horizontal="center" vertical="center" wrapText="1"/>
    </xf>
    <xf numFmtId="0" fontId="2" fillId="0" borderId="4" xfId="0" applyFont="1" applyBorder="1" applyAlignment="1">
      <alignment horizontal="center"/>
    </xf>
    <xf numFmtId="14" fontId="9" fillId="0" borderId="1" xfId="0" applyNumberFormat="1" applyFont="1" applyBorder="1" applyAlignment="1">
      <alignment horizontal="center" vertical="center"/>
    </xf>
    <xf numFmtId="0" fontId="9" fillId="0" borderId="1" xfId="0" applyFont="1" applyBorder="1" applyAlignment="1">
      <alignment vertical="center"/>
    </xf>
    <xf numFmtId="0" fontId="0" fillId="0" borderId="0" xfId="0" applyAlignment="1">
      <alignment vertical="center" wrapText="1"/>
    </xf>
    <xf numFmtId="0" fontId="8" fillId="0" borderId="0" xfId="0" applyFont="1" applyAlignment="1">
      <alignment vertical="center" wrapText="1"/>
    </xf>
    <xf numFmtId="0" fontId="5" fillId="0" borderId="0" xfId="0" applyFont="1" applyAlignment="1">
      <alignment vertical="center" wrapText="1"/>
    </xf>
    <xf numFmtId="0" fontId="5" fillId="0" borderId="0" xfId="0" applyFont="1"/>
    <xf numFmtId="14" fontId="7" fillId="0" borderId="5" xfId="0" applyNumberFormat="1" applyFont="1" applyBorder="1" applyAlignment="1">
      <alignment horizontal="center" vertical="center"/>
    </xf>
    <xf numFmtId="0" fontId="9"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180975</xdr:colOff>
      <xdr:row>1</xdr:row>
      <xdr:rowOff>161925</xdr:rowOff>
    </xdr:from>
    <xdr:ext cx="1143000" cy="4857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390525" y="419100"/>
          <a:ext cx="1143000" cy="485775"/>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851"/>
  <sheetViews>
    <sheetView showGridLines="0" tabSelected="1" zoomScale="95" zoomScaleNormal="95" workbookViewId="0">
      <selection activeCell="F14" sqref="F14:F16"/>
    </sheetView>
  </sheetViews>
  <sheetFormatPr baseColWidth="10" defaultColWidth="12.5546875" defaultRowHeight="13.2"/>
  <cols>
    <col min="1" max="1" width="3.109375" style="11" customWidth="1"/>
    <col min="2" max="2" width="12.6640625" style="11" customWidth="1"/>
    <col min="3" max="3" width="7" style="11" customWidth="1"/>
    <col min="5" max="5" width="29.88671875" style="11" customWidth="1"/>
    <col min="6" max="6" width="35.6640625" style="11" customWidth="1"/>
    <col min="7" max="7" width="45" style="11" customWidth="1"/>
    <col min="8" max="8" width="12.109375" style="11" customWidth="1"/>
    <col min="9" max="9" width="16.109375" style="11" customWidth="1"/>
    <col min="10" max="10" width="19.5546875" style="11" customWidth="1"/>
    <col min="11" max="11" width="18.33203125" style="11" customWidth="1"/>
  </cols>
  <sheetData>
    <row r="1" spans="1:27" ht="21">
      <c r="A1" s="1"/>
      <c r="B1" s="1"/>
      <c r="C1" s="1"/>
      <c r="D1" s="1"/>
      <c r="E1" s="1"/>
      <c r="F1" s="1"/>
      <c r="G1" s="1"/>
      <c r="H1" s="1"/>
      <c r="I1" s="1"/>
      <c r="J1" s="2"/>
    </row>
    <row r="2" spans="1:27" ht="21">
      <c r="A2" s="1"/>
      <c r="B2" s="31" t="s">
        <v>209</v>
      </c>
      <c r="C2" s="29"/>
      <c r="D2" s="29"/>
      <c r="E2" s="29"/>
      <c r="F2" s="29"/>
      <c r="G2" s="29"/>
      <c r="H2" s="29"/>
      <c r="I2" s="29"/>
      <c r="J2" s="29"/>
      <c r="K2" s="29"/>
    </row>
    <row r="3" spans="1:27" ht="21">
      <c r="A3" s="1"/>
      <c r="B3" s="29"/>
      <c r="C3" s="29"/>
      <c r="D3" s="29"/>
      <c r="E3" s="29"/>
      <c r="F3" s="29"/>
      <c r="G3" s="29"/>
      <c r="H3" s="29"/>
      <c r="I3" s="29"/>
      <c r="J3" s="29"/>
      <c r="K3" s="29"/>
    </row>
    <row r="4" spans="1:27" ht="21">
      <c r="A4" s="1"/>
      <c r="B4" s="29"/>
      <c r="C4" s="29"/>
      <c r="D4" s="29"/>
      <c r="E4" s="29"/>
      <c r="F4" s="29"/>
      <c r="G4" s="29"/>
      <c r="H4" s="29"/>
      <c r="I4" s="29"/>
      <c r="J4" s="29"/>
      <c r="K4" s="29"/>
    </row>
    <row r="5" spans="1:27" ht="21">
      <c r="A5" s="1"/>
      <c r="B5" s="29"/>
      <c r="C5" s="29"/>
      <c r="D5" s="29"/>
      <c r="E5" s="29"/>
      <c r="F5" s="29"/>
      <c r="G5" s="29"/>
      <c r="H5" s="29"/>
      <c r="I5" s="29"/>
      <c r="J5" s="29"/>
      <c r="K5" s="29"/>
    </row>
    <row r="6" spans="1:27" ht="21.6" customHeight="1">
      <c r="A6" s="2"/>
      <c r="E6" s="3"/>
      <c r="F6" s="4"/>
      <c r="G6" s="4"/>
      <c r="H6" s="4"/>
      <c r="I6" s="2"/>
      <c r="J6" s="2"/>
    </row>
    <row r="7" spans="1:27" ht="21.6" customHeight="1">
      <c r="A7" s="5"/>
      <c r="B7" s="28" t="s">
        <v>0</v>
      </c>
      <c r="C7" s="29"/>
      <c r="D7" s="29"/>
      <c r="E7" s="33" t="s">
        <v>1</v>
      </c>
      <c r="F7" s="29"/>
      <c r="G7" s="29"/>
      <c r="H7" s="29"/>
      <c r="I7" s="29"/>
      <c r="J7" s="29"/>
      <c r="K7" s="29"/>
    </row>
    <row r="8" spans="1:27" ht="21.6" customHeight="1">
      <c r="A8" s="5"/>
      <c r="B8" s="28" t="s">
        <v>2</v>
      </c>
      <c r="C8" s="29"/>
      <c r="D8" s="29"/>
      <c r="E8" s="33" t="s">
        <v>3</v>
      </c>
      <c r="F8" s="29"/>
      <c r="G8" s="29"/>
      <c r="H8" s="29"/>
      <c r="I8" s="29"/>
      <c r="J8" s="29"/>
      <c r="K8" s="29"/>
    </row>
    <row r="9" spans="1:27" ht="21.6" customHeight="1">
      <c r="A9" s="5"/>
      <c r="B9" s="28" t="s">
        <v>4</v>
      </c>
      <c r="C9" s="29"/>
      <c r="D9" s="29"/>
      <c r="E9" s="39" t="s">
        <v>207</v>
      </c>
      <c r="F9" s="29"/>
      <c r="G9" s="29"/>
      <c r="H9" s="29"/>
      <c r="I9" s="29"/>
      <c r="J9" s="29"/>
      <c r="K9" s="29"/>
    </row>
    <row r="10" spans="1:27" ht="21.6" customHeight="1">
      <c r="A10" s="5"/>
      <c r="B10" s="28" t="s">
        <v>5</v>
      </c>
      <c r="C10" s="29"/>
      <c r="D10" s="29"/>
      <c r="E10" s="38" t="s">
        <v>6</v>
      </c>
      <c r="F10" s="29"/>
      <c r="G10" s="12" t="s">
        <v>7</v>
      </c>
      <c r="H10" s="13"/>
      <c r="I10" s="13"/>
      <c r="J10" s="30"/>
      <c r="K10" s="29"/>
    </row>
    <row r="11" spans="1:27" ht="21.6" customHeight="1">
      <c r="A11" s="5"/>
      <c r="B11" s="28" t="s">
        <v>8</v>
      </c>
      <c r="C11" s="29"/>
      <c r="D11" s="29"/>
      <c r="E11" s="40" t="s">
        <v>9</v>
      </c>
      <c r="F11" s="41"/>
      <c r="G11" s="41"/>
      <c r="H11" s="41"/>
      <c r="I11" s="41"/>
      <c r="J11" s="41"/>
      <c r="K11" s="41"/>
    </row>
    <row r="12" spans="1:27">
      <c r="A12" s="2"/>
      <c r="B12" s="2"/>
      <c r="C12" s="2"/>
      <c r="D12" s="2"/>
      <c r="E12" s="3"/>
      <c r="F12" s="4"/>
      <c r="G12" s="4"/>
      <c r="H12" s="4"/>
      <c r="I12" s="2"/>
      <c r="J12" s="2"/>
    </row>
    <row r="13" spans="1:27" ht="26.4">
      <c r="A13" s="6"/>
      <c r="B13" s="18" t="s">
        <v>10</v>
      </c>
      <c r="C13" s="18" t="s">
        <v>11</v>
      </c>
      <c r="D13" s="18" t="s">
        <v>12</v>
      </c>
      <c r="E13" s="18" t="s">
        <v>13</v>
      </c>
      <c r="F13" s="18" t="s">
        <v>14</v>
      </c>
      <c r="G13" s="18" t="s">
        <v>15</v>
      </c>
      <c r="H13" s="18" t="s">
        <v>16</v>
      </c>
      <c r="I13" s="18" t="s">
        <v>17</v>
      </c>
      <c r="J13" s="18" t="s">
        <v>18</v>
      </c>
      <c r="K13" s="18" t="s">
        <v>19</v>
      </c>
      <c r="L13" s="7"/>
      <c r="M13" s="7"/>
      <c r="N13" s="7"/>
      <c r="O13" s="7"/>
      <c r="P13" s="7"/>
      <c r="Q13" s="7"/>
      <c r="R13" s="7"/>
      <c r="S13" s="7"/>
      <c r="T13" s="7"/>
      <c r="U13" s="7"/>
      <c r="V13" s="7"/>
      <c r="W13" s="7"/>
      <c r="X13" s="7"/>
      <c r="Y13" s="7"/>
      <c r="Z13" s="7"/>
      <c r="AA13" s="7"/>
    </row>
    <row r="14" spans="1:27" ht="72">
      <c r="A14" s="8"/>
      <c r="B14" s="21" t="s">
        <v>20</v>
      </c>
      <c r="C14" s="21">
        <v>1</v>
      </c>
      <c r="D14" s="22">
        <v>46251</v>
      </c>
      <c r="E14" s="19" t="s">
        <v>21</v>
      </c>
      <c r="F14" s="19" t="s">
        <v>22</v>
      </c>
      <c r="G14" s="15" t="s">
        <v>23</v>
      </c>
      <c r="H14" s="14" t="s">
        <v>24</v>
      </c>
      <c r="I14" s="19" t="s">
        <v>25</v>
      </c>
      <c r="J14" s="19" t="s">
        <v>26</v>
      </c>
      <c r="K14" s="26"/>
    </row>
    <row r="15" spans="1:27" ht="96">
      <c r="A15" s="8"/>
      <c r="B15" s="20"/>
      <c r="C15" s="20"/>
      <c r="D15" s="20"/>
      <c r="E15" s="20"/>
      <c r="F15" s="20"/>
      <c r="G15" s="15" t="s">
        <v>27</v>
      </c>
      <c r="H15" s="14" t="s">
        <v>28</v>
      </c>
      <c r="I15" s="20"/>
      <c r="J15" s="20"/>
      <c r="K15" s="27"/>
    </row>
    <row r="16" spans="1:27" ht="54" customHeight="1">
      <c r="A16" s="8"/>
      <c r="B16" s="20"/>
      <c r="C16" s="20"/>
      <c r="D16" s="20"/>
      <c r="E16" s="20"/>
      <c r="F16" s="20"/>
      <c r="G16" s="15" t="s">
        <v>29</v>
      </c>
      <c r="H16" s="14" t="s">
        <v>24</v>
      </c>
      <c r="I16" s="20"/>
      <c r="J16" s="20"/>
      <c r="K16" s="27"/>
    </row>
    <row r="17" spans="1:11" ht="32.4" customHeight="1">
      <c r="A17" s="8"/>
      <c r="B17" s="20"/>
      <c r="C17" s="21">
        <v>2</v>
      </c>
      <c r="D17" s="22">
        <f>+D14+3</f>
        <v>46254</v>
      </c>
      <c r="E17" s="19" t="s">
        <v>21</v>
      </c>
      <c r="F17" s="19" t="s">
        <v>30</v>
      </c>
      <c r="G17" s="15" t="s">
        <v>31</v>
      </c>
      <c r="H17" s="14" t="s">
        <v>32</v>
      </c>
      <c r="I17" s="19" t="s">
        <v>33</v>
      </c>
      <c r="J17" s="19" t="s">
        <v>26</v>
      </c>
      <c r="K17" s="26"/>
    </row>
    <row r="18" spans="1:11" ht="80.400000000000006" customHeight="1">
      <c r="A18" s="8"/>
      <c r="B18" s="20"/>
      <c r="C18" s="20"/>
      <c r="D18" s="20"/>
      <c r="E18" s="20"/>
      <c r="F18" s="20"/>
      <c r="G18" s="15" t="s">
        <v>34</v>
      </c>
      <c r="H18" s="14" t="s">
        <v>35</v>
      </c>
      <c r="I18" s="20"/>
      <c r="J18" s="20"/>
      <c r="K18" s="27"/>
    </row>
    <row r="19" spans="1:11" ht="33" customHeight="1">
      <c r="A19" s="8"/>
      <c r="B19" s="20"/>
      <c r="C19" s="20"/>
      <c r="D19" s="20"/>
      <c r="E19" s="20"/>
      <c r="F19" s="20"/>
      <c r="G19" s="15" t="s">
        <v>36</v>
      </c>
      <c r="H19" s="14" t="s">
        <v>37</v>
      </c>
      <c r="I19" s="20"/>
      <c r="J19" s="20"/>
      <c r="K19" s="27"/>
    </row>
    <row r="20" spans="1:11" ht="48">
      <c r="B20" s="21" t="s">
        <v>38</v>
      </c>
      <c r="C20" s="21">
        <v>3</v>
      </c>
      <c r="D20" s="22">
        <f>+D14+7</f>
        <v>46258</v>
      </c>
      <c r="E20" s="19" t="s">
        <v>21</v>
      </c>
      <c r="F20" s="19" t="s">
        <v>39</v>
      </c>
      <c r="G20" s="15" t="s">
        <v>40</v>
      </c>
      <c r="H20" s="14" t="s">
        <v>24</v>
      </c>
      <c r="I20" s="19" t="s">
        <v>41</v>
      </c>
      <c r="J20" s="19" t="s">
        <v>26</v>
      </c>
      <c r="K20" s="26"/>
    </row>
    <row r="21" spans="1:11" ht="81" customHeight="1">
      <c r="B21" s="20"/>
      <c r="C21" s="20"/>
      <c r="D21" s="20"/>
      <c r="E21" s="20"/>
      <c r="F21" s="20"/>
      <c r="G21" s="15" t="s">
        <v>42</v>
      </c>
      <c r="H21" s="14" t="s">
        <v>28</v>
      </c>
      <c r="I21" s="20"/>
      <c r="J21" s="20"/>
      <c r="K21" s="27"/>
    </row>
    <row r="22" spans="1:11" ht="36">
      <c r="B22" s="20"/>
      <c r="C22" s="20"/>
      <c r="D22" s="20"/>
      <c r="E22" s="20"/>
      <c r="F22" s="20"/>
      <c r="G22" s="15" t="s">
        <v>43</v>
      </c>
      <c r="H22" s="14" t="s">
        <v>24</v>
      </c>
      <c r="I22" s="20"/>
      <c r="J22" s="20"/>
      <c r="K22" s="27"/>
    </row>
    <row r="23" spans="1:11" ht="29.4" customHeight="1">
      <c r="B23" s="20"/>
      <c r="C23" s="21">
        <v>4</v>
      </c>
      <c r="D23" s="22">
        <f>+D17+7</f>
        <v>46261</v>
      </c>
      <c r="E23" s="19" t="s">
        <v>21</v>
      </c>
      <c r="F23" s="19" t="s">
        <v>44</v>
      </c>
      <c r="G23" s="15" t="s">
        <v>45</v>
      </c>
      <c r="H23" s="14" t="s">
        <v>32</v>
      </c>
      <c r="I23" s="19" t="s">
        <v>46</v>
      </c>
      <c r="J23" s="19" t="s">
        <v>26</v>
      </c>
      <c r="K23" s="26"/>
    </row>
    <row r="24" spans="1:11" ht="60">
      <c r="B24" s="20"/>
      <c r="C24" s="20"/>
      <c r="D24" s="20"/>
      <c r="E24" s="20"/>
      <c r="F24" s="20"/>
      <c r="G24" s="15" t="s">
        <v>47</v>
      </c>
      <c r="H24" s="14" t="s">
        <v>35</v>
      </c>
      <c r="I24" s="20"/>
      <c r="J24" s="20"/>
      <c r="K24" s="27"/>
    </row>
    <row r="25" spans="1:11" ht="31.2" customHeight="1">
      <c r="B25" s="20"/>
      <c r="C25" s="20"/>
      <c r="D25" s="20"/>
      <c r="E25" s="20"/>
      <c r="F25" s="20"/>
      <c r="G25" s="15" t="s">
        <v>48</v>
      </c>
      <c r="H25" s="14" t="s">
        <v>37</v>
      </c>
      <c r="I25" s="20"/>
      <c r="J25" s="20"/>
      <c r="K25" s="27"/>
    </row>
    <row r="26" spans="1:11" ht="42.6" customHeight="1">
      <c r="B26" s="21" t="s">
        <v>49</v>
      </c>
      <c r="C26" s="21">
        <f>+C23+1</f>
        <v>5</v>
      </c>
      <c r="D26" s="22">
        <f>+D20+7</f>
        <v>46265</v>
      </c>
      <c r="E26" s="19" t="s">
        <v>50</v>
      </c>
      <c r="F26" s="19" t="s">
        <v>51</v>
      </c>
      <c r="G26" s="15" t="s">
        <v>52</v>
      </c>
      <c r="H26" s="14" t="s">
        <v>24</v>
      </c>
      <c r="I26" s="19" t="s">
        <v>53</v>
      </c>
      <c r="J26" s="19" t="s">
        <v>26</v>
      </c>
      <c r="K26" s="26"/>
    </row>
    <row r="27" spans="1:11" ht="78.599999999999994" customHeight="1">
      <c r="B27" s="20"/>
      <c r="C27" s="20"/>
      <c r="D27" s="20"/>
      <c r="E27" s="20"/>
      <c r="F27" s="20"/>
      <c r="G27" s="15" t="s">
        <v>54</v>
      </c>
      <c r="H27" s="14" t="s">
        <v>28</v>
      </c>
      <c r="I27" s="20"/>
      <c r="J27" s="20"/>
      <c r="K27" s="27"/>
    </row>
    <row r="28" spans="1:11" ht="31.8" customHeight="1">
      <c r="B28" s="20"/>
      <c r="C28" s="20"/>
      <c r="D28" s="20"/>
      <c r="E28" s="20"/>
      <c r="F28" s="20"/>
      <c r="G28" s="15" t="s">
        <v>55</v>
      </c>
      <c r="H28" s="14" t="s">
        <v>24</v>
      </c>
      <c r="I28" s="20"/>
      <c r="J28" s="20"/>
      <c r="K28" s="27"/>
    </row>
    <row r="29" spans="1:11" ht="24">
      <c r="B29" s="20"/>
      <c r="C29" s="21">
        <f>+C26+1</f>
        <v>6</v>
      </c>
      <c r="D29" s="22">
        <f>+D23+7</f>
        <v>46268</v>
      </c>
      <c r="E29" s="19" t="s">
        <v>50</v>
      </c>
      <c r="F29" s="19" t="s">
        <v>56</v>
      </c>
      <c r="G29" s="15" t="s">
        <v>57</v>
      </c>
      <c r="H29" s="14" t="s">
        <v>32</v>
      </c>
      <c r="I29" s="19" t="s">
        <v>58</v>
      </c>
      <c r="J29" s="19" t="s">
        <v>59</v>
      </c>
      <c r="K29" s="26"/>
    </row>
    <row r="30" spans="1:11" ht="60">
      <c r="B30" s="20"/>
      <c r="C30" s="20"/>
      <c r="D30" s="20"/>
      <c r="E30" s="20"/>
      <c r="F30" s="20"/>
      <c r="G30" s="15" t="s">
        <v>60</v>
      </c>
      <c r="H30" s="14" t="s">
        <v>35</v>
      </c>
      <c r="I30" s="20"/>
      <c r="J30" s="20"/>
      <c r="K30" s="27"/>
    </row>
    <row r="31" spans="1:11" ht="24">
      <c r="B31" s="20"/>
      <c r="C31" s="20"/>
      <c r="D31" s="20"/>
      <c r="E31" s="20"/>
      <c r="F31" s="20"/>
      <c r="G31" s="15" t="s">
        <v>61</v>
      </c>
      <c r="H31" s="14" t="s">
        <v>37</v>
      </c>
      <c r="I31" s="20"/>
      <c r="J31" s="20"/>
      <c r="K31" s="27"/>
    </row>
    <row r="32" spans="1:11" ht="24">
      <c r="B32" s="21" t="s">
        <v>62</v>
      </c>
      <c r="C32" s="21">
        <f>+C29+1</f>
        <v>7</v>
      </c>
      <c r="D32" s="22">
        <f>+D26+7</f>
        <v>46272</v>
      </c>
      <c r="E32" s="19" t="s">
        <v>50</v>
      </c>
      <c r="F32" s="19" t="s">
        <v>63</v>
      </c>
      <c r="G32" s="15" t="s">
        <v>64</v>
      </c>
      <c r="H32" s="14" t="s">
        <v>24</v>
      </c>
      <c r="I32" s="19" t="s">
        <v>65</v>
      </c>
      <c r="J32" s="19" t="s">
        <v>59</v>
      </c>
      <c r="K32" s="26"/>
    </row>
    <row r="33" spans="2:11" ht="72">
      <c r="B33" s="20"/>
      <c r="C33" s="20"/>
      <c r="D33" s="20"/>
      <c r="E33" s="20"/>
      <c r="F33" s="20"/>
      <c r="G33" s="15" t="s">
        <v>66</v>
      </c>
      <c r="H33" s="14" t="s">
        <v>28</v>
      </c>
      <c r="I33" s="20"/>
      <c r="J33" s="20"/>
      <c r="K33" s="27"/>
    </row>
    <row r="34" spans="2:11" ht="24">
      <c r="B34" s="20"/>
      <c r="C34" s="20"/>
      <c r="D34" s="20"/>
      <c r="E34" s="20"/>
      <c r="F34" s="20"/>
      <c r="G34" s="15" t="s">
        <v>67</v>
      </c>
      <c r="H34" s="14" t="s">
        <v>24</v>
      </c>
      <c r="I34" s="20"/>
      <c r="J34" s="20"/>
      <c r="K34" s="27"/>
    </row>
    <row r="35" spans="2:11" ht="24">
      <c r="B35" s="20"/>
      <c r="C35" s="21">
        <f>+C32+1</f>
        <v>8</v>
      </c>
      <c r="D35" s="22">
        <f>+D29+7</f>
        <v>46275</v>
      </c>
      <c r="E35" s="19" t="s">
        <v>50</v>
      </c>
      <c r="F35" s="19" t="s">
        <v>68</v>
      </c>
      <c r="G35" s="15" t="s">
        <v>69</v>
      </c>
      <c r="H35" s="14" t="s">
        <v>32</v>
      </c>
      <c r="I35" s="19" t="s">
        <v>70</v>
      </c>
      <c r="J35" s="19" t="s">
        <v>26</v>
      </c>
      <c r="K35" s="26"/>
    </row>
    <row r="36" spans="2:11" ht="36">
      <c r="B36" s="20"/>
      <c r="C36" s="20"/>
      <c r="D36" s="20"/>
      <c r="E36" s="20"/>
      <c r="F36" s="20"/>
      <c r="G36" s="15" t="s">
        <v>71</v>
      </c>
      <c r="H36" s="14" t="s">
        <v>35</v>
      </c>
      <c r="I36" s="20"/>
      <c r="J36" s="20"/>
      <c r="K36" s="27"/>
    </row>
    <row r="37" spans="2:11" ht="24">
      <c r="B37" s="20"/>
      <c r="C37" s="20"/>
      <c r="D37" s="20"/>
      <c r="E37" s="20"/>
      <c r="F37" s="20"/>
      <c r="G37" s="15" t="s">
        <v>72</v>
      </c>
      <c r="H37" s="14" t="s">
        <v>37</v>
      </c>
      <c r="I37" s="20"/>
      <c r="J37" s="20"/>
      <c r="K37" s="27"/>
    </row>
    <row r="38" spans="2:11" ht="24">
      <c r="B38" s="21" t="s">
        <v>73</v>
      </c>
      <c r="C38" s="21">
        <f t="shared" ref="C38" si="0">+C35+1</f>
        <v>9</v>
      </c>
      <c r="D38" s="22">
        <f>+D32+7</f>
        <v>46279</v>
      </c>
      <c r="E38" s="19" t="s">
        <v>50</v>
      </c>
      <c r="F38" s="19" t="s">
        <v>74</v>
      </c>
      <c r="G38" s="15" t="s">
        <v>75</v>
      </c>
      <c r="H38" s="14" t="s">
        <v>24</v>
      </c>
      <c r="I38" s="19" t="s">
        <v>76</v>
      </c>
      <c r="J38" s="19" t="s">
        <v>59</v>
      </c>
      <c r="K38" s="26"/>
    </row>
    <row r="39" spans="2:11" ht="72">
      <c r="B39" s="20"/>
      <c r="C39" s="20"/>
      <c r="D39" s="20"/>
      <c r="E39" s="20"/>
      <c r="F39" s="20"/>
      <c r="G39" s="15" t="s">
        <v>77</v>
      </c>
      <c r="H39" s="14" t="s">
        <v>28</v>
      </c>
      <c r="I39" s="20"/>
      <c r="J39" s="20"/>
      <c r="K39" s="27"/>
    </row>
    <row r="40" spans="2:11" ht="24">
      <c r="B40" s="20"/>
      <c r="C40" s="20"/>
      <c r="D40" s="20"/>
      <c r="E40" s="20"/>
      <c r="F40" s="20"/>
      <c r="G40" s="15" t="s">
        <v>78</v>
      </c>
      <c r="H40" s="14" t="s">
        <v>24</v>
      </c>
      <c r="I40" s="20"/>
      <c r="J40" s="20"/>
      <c r="K40" s="27"/>
    </row>
    <row r="41" spans="2:11" ht="24">
      <c r="B41" s="20"/>
      <c r="C41" s="21">
        <f t="shared" ref="C41" si="1">+C38+1</f>
        <v>10</v>
      </c>
      <c r="D41" s="22">
        <f>+D35+7</f>
        <v>46282</v>
      </c>
      <c r="E41" s="19" t="s">
        <v>50</v>
      </c>
      <c r="F41" s="19" t="s">
        <v>79</v>
      </c>
      <c r="G41" s="15" t="s">
        <v>80</v>
      </c>
      <c r="H41" s="14" t="s">
        <v>32</v>
      </c>
      <c r="I41" s="19" t="s">
        <v>81</v>
      </c>
      <c r="J41" s="19" t="s">
        <v>82</v>
      </c>
      <c r="K41" s="26"/>
    </row>
    <row r="42" spans="2:11" ht="36">
      <c r="B42" s="20"/>
      <c r="C42" s="20"/>
      <c r="D42" s="20"/>
      <c r="E42" s="20"/>
      <c r="F42" s="20"/>
      <c r="G42" s="15" t="s">
        <v>83</v>
      </c>
      <c r="H42" s="14" t="s">
        <v>35</v>
      </c>
      <c r="I42" s="20"/>
      <c r="J42" s="20"/>
      <c r="K42" s="27"/>
    </row>
    <row r="43" spans="2:11" ht="24">
      <c r="B43" s="20"/>
      <c r="C43" s="20"/>
      <c r="D43" s="20"/>
      <c r="E43" s="20"/>
      <c r="F43" s="20"/>
      <c r="G43" s="15" t="s">
        <v>84</v>
      </c>
      <c r="H43" s="14" t="s">
        <v>37</v>
      </c>
      <c r="I43" s="20"/>
      <c r="J43" s="20"/>
      <c r="K43" s="27"/>
    </row>
    <row r="44" spans="2:11" ht="36">
      <c r="B44" s="21" t="s">
        <v>85</v>
      </c>
      <c r="C44" s="21">
        <f t="shared" ref="C44" si="2">+C41+1</f>
        <v>11</v>
      </c>
      <c r="D44" s="22">
        <f>+D38+7</f>
        <v>46286</v>
      </c>
      <c r="E44" s="19" t="s">
        <v>86</v>
      </c>
      <c r="F44" s="19" t="s">
        <v>87</v>
      </c>
      <c r="G44" s="15" t="s">
        <v>88</v>
      </c>
      <c r="H44" s="14" t="s">
        <v>24</v>
      </c>
      <c r="I44" s="19" t="s">
        <v>89</v>
      </c>
      <c r="J44" s="19" t="s">
        <v>59</v>
      </c>
      <c r="K44" s="26"/>
    </row>
    <row r="45" spans="2:11" ht="60">
      <c r="B45" s="20"/>
      <c r="C45" s="20"/>
      <c r="D45" s="20"/>
      <c r="E45" s="20"/>
      <c r="F45" s="20"/>
      <c r="G45" s="15" t="s">
        <v>90</v>
      </c>
      <c r="H45" s="14" t="s">
        <v>28</v>
      </c>
      <c r="I45" s="20"/>
      <c r="J45" s="20"/>
      <c r="K45" s="27"/>
    </row>
    <row r="46" spans="2:11" ht="24">
      <c r="B46" s="20"/>
      <c r="C46" s="20"/>
      <c r="D46" s="20"/>
      <c r="E46" s="20"/>
      <c r="F46" s="20"/>
      <c r="G46" s="15" t="s">
        <v>91</v>
      </c>
      <c r="H46" s="14" t="s">
        <v>24</v>
      </c>
      <c r="I46" s="20"/>
      <c r="J46" s="20"/>
      <c r="K46" s="27"/>
    </row>
    <row r="47" spans="2:11" ht="24">
      <c r="B47" s="20"/>
      <c r="C47" s="21">
        <f t="shared" ref="C47" si="3">+C44+1</f>
        <v>12</v>
      </c>
      <c r="D47" s="22">
        <f>+D41+7</f>
        <v>46289</v>
      </c>
      <c r="E47" s="19" t="s">
        <v>86</v>
      </c>
      <c r="F47" s="19" t="s">
        <v>92</v>
      </c>
      <c r="G47" s="15" t="s">
        <v>93</v>
      </c>
      <c r="H47" s="14" t="s">
        <v>32</v>
      </c>
      <c r="I47" s="19" t="s">
        <v>94</v>
      </c>
      <c r="J47" s="19" t="s">
        <v>59</v>
      </c>
      <c r="K47" s="26"/>
    </row>
    <row r="48" spans="2:11" ht="48">
      <c r="B48" s="20"/>
      <c r="C48" s="20"/>
      <c r="D48" s="20"/>
      <c r="E48" s="20"/>
      <c r="F48" s="20"/>
      <c r="G48" s="15" t="s">
        <v>95</v>
      </c>
      <c r="H48" s="14" t="s">
        <v>35</v>
      </c>
      <c r="I48" s="20"/>
      <c r="J48" s="20"/>
      <c r="K48" s="27"/>
    </row>
    <row r="49" spans="2:11" ht="24">
      <c r="B49" s="20"/>
      <c r="C49" s="20"/>
      <c r="D49" s="20"/>
      <c r="E49" s="20"/>
      <c r="F49" s="20"/>
      <c r="G49" s="15" t="s">
        <v>96</v>
      </c>
      <c r="H49" s="14" t="s">
        <v>37</v>
      </c>
      <c r="I49" s="20"/>
      <c r="J49" s="20"/>
      <c r="K49" s="27"/>
    </row>
    <row r="50" spans="2:11" ht="24">
      <c r="B50" s="21" t="s">
        <v>97</v>
      </c>
      <c r="C50" s="21">
        <f t="shared" ref="C50" si="4">+C47+1</f>
        <v>13</v>
      </c>
      <c r="D50" s="22">
        <f>+D44+7</f>
        <v>46293</v>
      </c>
      <c r="E50" s="19" t="s">
        <v>86</v>
      </c>
      <c r="F50" s="19" t="s">
        <v>98</v>
      </c>
      <c r="G50" s="15" t="s">
        <v>99</v>
      </c>
      <c r="H50" s="14" t="s">
        <v>24</v>
      </c>
      <c r="I50" s="19" t="s">
        <v>100</v>
      </c>
      <c r="J50" s="19" t="s">
        <v>101</v>
      </c>
      <c r="K50" s="26"/>
    </row>
    <row r="51" spans="2:11" ht="72">
      <c r="B51" s="20"/>
      <c r="C51" s="20"/>
      <c r="D51" s="20"/>
      <c r="E51" s="20"/>
      <c r="F51" s="20"/>
      <c r="G51" s="15" t="s">
        <v>102</v>
      </c>
      <c r="H51" s="14" t="s">
        <v>28</v>
      </c>
      <c r="I51" s="20"/>
      <c r="J51" s="20"/>
      <c r="K51" s="27"/>
    </row>
    <row r="52" spans="2:11" ht="24">
      <c r="B52" s="20"/>
      <c r="C52" s="20"/>
      <c r="D52" s="20"/>
      <c r="E52" s="20"/>
      <c r="F52" s="20"/>
      <c r="G52" s="15" t="s">
        <v>103</v>
      </c>
      <c r="H52" s="14" t="s">
        <v>24</v>
      </c>
      <c r="I52" s="20"/>
      <c r="J52" s="20"/>
      <c r="K52" s="27"/>
    </row>
    <row r="53" spans="2:11" ht="24">
      <c r="B53" s="20"/>
      <c r="C53" s="21">
        <f t="shared" ref="C53" si="5">+C50+1</f>
        <v>14</v>
      </c>
      <c r="D53" s="22">
        <f>+D47+7</f>
        <v>46296</v>
      </c>
      <c r="E53" s="19" t="s">
        <v>86</v>
      </c>
      <c r="F53" s="19" t="s">
        <v>104</v>
      </c>
      <c r="G53" s="15" t="s">
        <v>105</v>
      </c>
      <c r="H53" s="14" t="s">
        <v>32</v>
      </c>
      <c r="I53" s="19" t="s">
        <v>106</v>
      </c>
      <c r="J53" s="19" t="s">
        <v>26</v>
      </c>
      <c r="K53" s="26"/>
    </row>
    <row r="54" spans="2:11" ht="48">
      <c r="B54" s="20"/>
      <c r="C54" s="20"/>
      <c r="D54" s="20"/>
      <c r="E54" s="20"/>
      <c r="F54" s="20"/>
      <c r="G54" s="15" t="s">
        <v>107</v>
      </c>
      <c r="H54" s="14" t="s">
        <v>35</v>
      </c>
      <c r="I54" s="20"/>
      <c r="J54" s="20"/>
      <c r="K54" s="27"/>
    </row>
    <row r="55" spans="2:11" ht="24">
      <c r="B55" s="20"/>
      <c r="C55" s="20"/>
      <c r="D55" s="20"/>
      <c r="E55" s="20"/>
      <c r="F55" s="20"/>
      <c r="G55" s="15" t="s">
        <v>108</v>
      </c>
      <c r="H55" s="14" t="s">
        <v>37</v>
      </c>
      <c r="I55" s="20"/>
      <c r="J55" s="20"/>
      <c r="K55" s="27"/>
    </row>
    <row r="56" spans="2:11" ht="36">
      <c r="B56" s="21" t="s">
        <v>109</v>
      </c>
      <c r="C56" s="21">
        <f t="shared" ref="C56" si="6">+C53+1</f>
        <v>15</v>
      </c>
      <c r="D56" s="22">
        <f>+D50+7</f>
        <v>46300</v>
      </c>
      <c r="E56" s="19" t="s">
        <v>86</v>
      </c>
      <c r="F56" s="19" t="s">
        <v>110</v>
      </c>
      <c r="G56" s="15" t="s">
        <v>111</v>
      </c>
      <c r="H56" s="14" t="s">
        <v>24</v>
      </c>
      <c r="I56" s="19" t="s">
        <v>41</v>
      </c>
      <c r="J56" s="19" t="s">
        <v>59</v>
      </c>
      <c r="K56" s="26"/>
    </row>
    <row r="57" spans="2:11" ht="60">
      <c r="B57" s="20"/>
      <c r="C57" s="20"/>
      <c r="D57" s="20"/>
      <c r="E57" s="20"/>
      <c r="F57" s="20"/>
      <c r="G57" s="15" t="s">
        <v>112</v>
      </c>
      <c r="H57" s="14" t="s">
        <v>28</v>
      </c>
      <c r="I57" s="20"/>
      <c r="J57" s="20"/>
      <c r="K57" s="27"/>
    </row>
    <row r="58" spans="2:11" ht="24">
      <c r="B58" s="20"/>
      <c r="C58" s="20"/>
      <c r="D58" s="20"/>
      <c r="E58" s="20"/>
      <c r="F58" s="20"/>
      <c r="G58" s="15" t="s">
        <v>113</v>
      </c>
      <c r="H58" s="14" t="s">
        <v>24</v>
      </c>
      <c r="I58" s="20"/>
      <c r="J58" s="20"/>
      <c r="K58" s="27"/>
    </row>
    <row r="59" spans="2:11" ht="24">
      <c r="B59" s="20"/>
      <c r="C59" s="21">
        <f t="shared" ref="C59" si="7">+C56+1</f>
        <v>16</v>
      </c>
      <c r="D59" s="36">
        <f>+D53+7</f>
        <v>46303</v>
      </c>
      <c r="E59" s="19" t="s">
        <v>86</v>
      </c>
      <c r="F59" s="19" t="s">
        <v>114</v>
      </c>
      <c r="G59" s="15" t="s">
        <v>115</v>
      </c>
      <c r="H59" s="14" t="s">
        <v>32</v>
      </c>
      <c r="I59" s="19" t="s">
        <v>116</v>
      </c>
      <c r="J59" s="19" t="s">
        <v>26</v>
      </c>
      <c r="K59" s="43" t="s">
        <v>208</v>
      </c>
    </row>
    <row r="60" spans="2:11" ht="36">
      <c r="B60" s="20"/>
      <c r="C60" s="20"/>
      <c r="D60" s="37"/>
      <c r="E60" s="20"/>
      <c r="F60" s="20"/>
      <c r="G60" s="15" t="s">
        <v>117</v>
      </c>
      <c r="H60" s="14" t="s">
        <v>35</v>
      </c>
      <c r="I60" s="20"/>
      <c r="J60" s="20"/>
      <c r="K60" s="37"/>
    </row>
    <row r="61" spans="2:11" ht="24">
      <c r="B61" s="20"/>
      <c r="C61" s="20"/>
      <c r="D61" s="37"/>
      <c r="E61" s="20"/>
      <c r="F61" s="20"/>
      <c r="G61" s="15" t="s">
        <v>118</v>
      </c>
      <c r="H61" s="14" t="s">
        <v>37</v>
      </c>
      <c r="I61" s="20"/>
      <c r="J61" s="20"/>
      <c r="K61" s="37"/>
    </row>
    <row r="62" spans="2:11" ht="24">
      <c r="B62" s="34" t="s">
        <v>119</v>
      </c>
      <c r="C62" s="21">
        <f t="shared" ref="C62" si="8">+C59+1</f>
        <v>17</v>
      </c>
      <c r="D62" s="42">
        <f>+D56+7</f>
        <v>46307</v>
      </c>
      <c r="E62" s="32" t="s">
        <v>120</v>
      </c>
      <c r="F62" s="32" t="s">
        <v>121</v>
      </c>
      <c r="G62" s="16" t="s">
        <v>122</v>
      </c>
      <c r="H62" s="17" t="s">
        <v>24</v>
      </c>
      <c r="I62" s="32" t="s">
        <v>123</v>
      </c>
      <c r="J62" s="32" t="s">
        <v>59</v>
      </c>
      <c r="K62" s="35"/>
    </row>
    <row r="63" spans="2:11" ht="60">
      <c r="B63" s="20"/>
      <c r="C63" s="20"/>
      <c r="D63" s="20"/>
      <c r="E63" s="20"/>
      <c r="F63" s="20"/>
      <c r="G63" s="15" t="s">
        <v>124</v>
      </c>
      <c r="H63" s="14" t="s">
        <v>28</v>
      </c>
      <c r="I63" s="20"/>
      <c r="J63" s="20"/>
      <c r="K63" s="24"/>
    </row>
    <row r="64" spans="2:11" ht="24.6" thickBot="1">
      <c r="B64" s="20"/>
      <c r="C64" s="20"/>
      <c r="D64" s="20"/>
      <c r="E64" s="20"/>
      <c r="F64" s="20"/>
      <c r="G64" s="15" t="s">
        <v>125</v>
      </c>
      <c r="H64" s="14" t="s">
        <v>24</v>
      </c>
      <c r="I64" s="20"/>
      <c r="J64" s="20"/>
      <c r="K64" s="25"/>
    </row>
    <row r="65" spans="2:11" ht="24">
      <c r="B65" s="20"/>
      <c r="C65" s="21">
        <f t="shared" ref="C65" si="9">+C62+1</f>
        <v>18</v>
      </c>
      <c r="D65" s="22">
        <f>+D59+7</f>
        <v>46310</v>
      </c>
      <c r="E65" s="19" t="s">
        <v>120</v>
      </c>
      <c r="F65" s="19" t="s">
        <v>126</v>
      </c>
      <c r="G65" s="15" t="s">
        <v>127</v>
      </c>
      <c r="H65" s="14" t="s">
        <v>32</v>
      </c>
      <c r="I65" s="19" t="s">
        <v>128</v>
      </c>
      <c r="J65" s="19" t="s">
        <v>59</v>
      </c>
      <c r="K65" s="23"/>
    </row>
    <row r="66" spans="2:11" ht="48">
      <c r="B66" s="20"/>
      <c r="C66" s="20"/>
      <c r="D66" s="20"/>
      <c r="E66" s="20"/>
      <c r="F66" s="20"/>
      <c r="G66" s="15" t="s">
        <v>129</v>
      </c>
      <c r="H66" s="14" t="s">
        <v>35</v>
      </c>
      <c r="I66" s="20"/>
      <c r="J66" s="20"/>
      <c r="K66" s="24"/>
    </row>
    <row r="67" spans="2:11" ht="24.6" thickBot="1">
      <c r="B67" s="20"/>
      <c r="C67" s="20"/>
      <c r="D67" s="20"/>
      <c r="E67" s="20"/>
      <c r="F67" s="20"/>
      <c r="G67" s="15" t="s">
        <v>130</v>
      </c>
      <c r="H67" s="14" t="s">
        <v>37</v>
      </c>
      <c r="I67" s="20"/>
      <c r="J67" s="20"/>
      <c r="K67" s="25"/>
    </row>
    <row r="68" spans="2:11" ht="24">
      <c r="B68" s="21" t="s">
        <v>131</v>
      </c>
      <c r="C68" s="21">
        <f t="shared" ref="C68" si="10">+C65+1</f>
        <v>19</v>
      </c>
      <c r="D68" s="22">
        <f>+D62+7</f>
        <v>46314</v>
      </c>
      <c r="E68" s="19" t="s">
        <v>120</v>
      </c>
      <c r="F68" s="19" t="s">
        <v>132</v>
      </c>
      <c r="G68" s="15" t="s">
        <v>133</v>
      </c>
      <c r="H68" s="14" t="s">
        <v>24</v>
      </c>
      <c r="I68" s="19" t="s">
        <v>134</v>
      </c>
      <c r="J68" s="19" t="s">
        <v>59</v>
      </c>
      <c r="K68" s="23"/>
    </row>
    <row r="69" spans="2:11" ht="72">
      <c r="B69" s="20"/>
      <c r="C69" s="20"/>
      <c r="D69" s="20"/>
      <c r="E69" s="20"/>
      <c r="F69" s="20"/>
      <c r="G69" s="15" t="s">
        <v>135</v>
      </c>
      <c r="H69" s="14" t="s">
        <v>28</v>
      </c>
      <c r="I69" s="20"/>
      <c r="J69" s="20"/>
      <c r="K69" s="24"/>
    </row>
    <row r="70" spans="2:11" ht="24.6" thickBot="1">
      <c r="B70" s="20"/>
      <c r="C70" s="20"/>
      <c r="D70" s="20"/>
      <c r="E70" s="20"/>
      <c r="F70" s="20"/>
      <c r="G70" s="15" t="s">
        <v>136</v>
      </c>
      <c r="H70" s="14" t="s">
        <v>24</v>
      </c>
      <c r="I70" s="20"/>
      <c r="J70" s="20"/>
      <c r="K70" s="25"/>
    </row>
    <row r="71" spans="2:11" ht="24">
      <c r="B71" s="20"/>
      <c r="C71" s="21">
        <f t="shared" ref="C71" si="11">+C68+1</f>
        <v>20</v>
      </c>
      <c r="D71" s="22">
        <f>+D65+7</f>
        <v>46317</v>
      </c>
      <c r="E71" s="19" t="s">
        <v>120</v>
      </c>
      <c r="F71" s="19" t="s">
        <v>137</v>
      </c>
      <c r="G71" s="15" t="s">
        <v>80</v>
      </c>
      <c r="H71" s="14" t="s">
        <v>32</v>
      </c>
      <c r="I71" s="19" t="s">
        <v>138</v>
      </c>
      <c r="J71" s="19" t="s">
        <v>82</v>
      </c>
      <c r="K71" s="23"/>
    </row>
    <row r="72" spans="2:11" ht="36">
      <c r="B72" s="20"/>
      <c r="C72" s="20"/>
      <c r="D72" s="20"/>
      <c r="E72" s="20"/>
      <c r="F72" s="20"/>
      <c r="G72" s="15" t="s">
        <v>139</v>
      </c>
      <c r="H72" s="14" t="s">
        <v>35</v>
      </c>
      <c r="I72" s="20"/>
      <c r="J72" s="20"/>
      <c r="K72" s="24"/>
    </row>
    <row r="73" spans="2:11" ht="24.6" thickBot="1">
      <c r="B73" s="20"/>
      <c r="C73" s="20"/>
      <c r="D73" s="20"/>
      <c r="E73" s="20"/>
      <c r="F73" s="20"/>
      <c r="G73" s="15" t="s">
        <v>84</v>
      </c>
      <c r="H73" s="14" t="s">
        <v>37</v>
      </c>
      <c r="I73" s="20"/>
      <c r="J73" s="20"/>
      <c r="K73" s="25"/>
    </row>
    <row r="74" spans="2:11" ht="36">
      <c r="B74" s="21" t="s">
        <v>140</v>
      </c>
      <c r="C74" s="21">
        <f t="shared" ref="C74" si="12">+C71+1</f>
        <v>21</v>
      </c>
      <c r="D74" s="22">
        <f>+D68+7</f>
        <v>46321</v>
      </c>
      <c r="E74" s="19" t="s">
        <v>141</v>
      </c>
      <c r="F74" s="19" t="s">
        <v>142</v>
      </c>
      <c r="G74" s="15" t="s">
        <v>143</v>
      </c>
      <c r="H74" s="14" t="s">
        <v>24</v>
      </c>
      <c r="I74" s="19" t="s">
        <v>144</v>
      </c>
      <c r="J74" s="19" t="s">
        <v>59</v>
      </c>
      <c r="K74" s="23"/>
    </row>
    <row r="75" spans="2:11" ht="72">
      <c r="B75" s="20"/>
      <c r="C75" s="20"/>
      <c r="D75" s="20"/>
      <c r="E75" s="20"/>
      <c r="F75" s="20"/>
      <c r="G75" s="15" t="s">
        <v>145</v>
      </c>
      <c r="H75" s="14" t="s">
        <v>28</v>
      </c>
      <c r="I75" s="20"/>
      <c r="J75" s="20"/>
      <c r="K75" s="24"/>
    </row>
    <row r="76" spans="2:11" ht="24.6" thickBot="1">
      <c r="B76" s="20"/>
      <c r="C76" s="20"/>
      <c r="D76" s="20"/>
      <c r="E76" s="20"/>
      <c r="F76" s="20"/>
      <c r="G76" s="15" t="s">
        <v>146</v>
      </c>
      <c r="H76" s="14" t="s">
        <v>24</v>
      </c>
      <c r="I76" s="20"/>
      <c r="J76" s="20"/>
      <c r="K76" s="25"/>
    </row>
    <row r="77" spans="2:11" ht="24">
      <c r="B77" s="20"/>
      <c r="C77" s="21">
        <f t="shared" ref="C77" si="13">+C74+1</f>
        <v>22</v>
      </c>
      <c r="D77" s="22">
        <f>+D71+7</f>
        <v>46324</v>
      </c>
      <c r="E77" s="19" t="s">
        <v>141</v>
      </c>
      <c r="F77" s="19" t="s">
        <v>147</v>
      </c>
      <c r="G77" s="15" t="s">
        <v>148</v>
      </c>
      <c r="H77" s="14" t="s">
        <v>32</v>
      </c>
      <c r="I77" s="19" t="s">
        <v>70</v>
      </c>
      <c r="J77" s="19" t="s">
        <v>59</v>
      </c>
      <c r="K77" s="23"/>
    </row>
    <row r="78" spans="2:11" ht="36">
      <c r="B78" s="20"/>
      <c r="C78" s="20"/>
      <c r="D78" s="20"/>
      <c r="E78" s="20"/>
      <c r="F78" s="20"/>
      <c r="G78" s="15" t="s">
        <v>149</v>
      </c>
      <c r="H78" s="14" t="s">
        <v>35</v>
      </c>
      <c r="I78" s="20"/>
      <c r="J78" s="20"/>
      <c r="K78" s="24"/>
    </row>
    <row r="79" spans="2:11" ht="24.6" thickBot="1">
      <c r="B79" s="20"/>
      <c r="C79" s="20"/>
      <c r="D79" s="20"/>
      <c r="E79" s="20"/>
      <c r="F79" s="20"/>
      <c r="G79" s="15" t="s">
        <v>150</v>
      </c>
      <c r="H79" s="14" t="s">
        <v>37</v>
      </c>
      <c r="I79" s="20"/>
      <c r="J79" s="20"/>
      <c r="K79" s="25"/>
    </row>
    <row r="80" spans="2:11" ht="24">
      <c r="B80" s="21" t="s">
        <v>151</v>
      </c>
      <c r="C80" s="21">
        <f t="shared" ref="C80" si="14">+C77+1</f>
        <v>23</v>
      </c>
      <c r="D80" s="22">
        <f>+D74+7</f>
        <v>46328</v>
      </c>
      <c r="E80" s="19" t="s">
        <v>141</v>
      </c>
      <c r="F80" s="19" t="s">
        <v>152</v>
      </c>
      <c r="G80" s="15" t="s">
        <v>153</v>
      </c>
      <c r="H80" s="14" t="s">
        <v>24</v>
      </c>
      <c r="I80" s="19" t="s">
        <v>154</v>
      </c>
      <c r="J80" s="19" t="s">
        <v>59</v>
      </c>
      <c r="K80" s="23"/>
    </row>
    <row r="81" spans="2:11" ht="72">
      <c r="B81" s="20"/>
      <c r="C81" s="20"/>
      <c r="D81" s="20"/>
      <c r="E81" s="20"/>
      <c r="F81" s="20"/>
      <c r="G81" s="15" t="s">
        <v>155</v>
      </c>
      <c r="H81" s="14" t="s">
        <v>28</v>
      </c>
      <c r="I81" s="20"/>
      <c r="J81" s="20"/>
      <c r="K81" s="24"/>
    </row>
    <row r="82" spans="2:11" ht="24.6" thickBot="1">
      <c r="B82" s="20"/>
      <c r="C82" s="20"/>
      <c r="D82" s="20"/>
      <c r="E82" s="20"/>
      <c r="F82" s="20"/>
      <c r="G82" s="15" t="s">
        <v>156</v>
      </c>
      <c r="H82" s="14" t="s">
        <v>24</v>
      </c>
      <c r="I82" s="20"/>
      <c r="J82" s="20"/>
      <c r="K82" s="25"/>
    </row>
    <row r="83" spans="2:11" ht="24">
      <c r="B83" s="20"/>
      <c r="C83" s="21">
        <f t="shared" ref="C83" si="15">+C80+1</f>
        <v>24</v>
      </c>
      <c r="D83" s="22">
        <f>+D77+7</f>
        <v>46331</v>
      </c>
      <c r="E83" s="19" t="s">
        <v>141</v>
      </c>
      <c r="F83" s="19" t="s">
        <v>157</v>
      </c>
      <c r="G83" s="15" t="s">
        <v>158</v>
      </c>
      <c r="H83" s="14" t="s">
        <v>32</v>
      </c>
      <c r="I83" s="19" t="s">
        <v>159</v>
      </c>
      <c r="J83" s="19" t="s">
        <v>59</v>
      </c>
      <c r="K83" s="23"/>
    </row>
    <row r="84" spans="2:11" ht="36">
      <c r="B84" s="20"/>
      <c r="C84" s="20"/>
      <c r="D84" s="20"/>
      <c r="E84" s="20"/>
      <c r="F84" s="20"/>
      <c r="G84" s="15" t="s">
        <v>160</v>
      </c>
      <c r="H84" s="14" t="s">
        <v>35</v>
      </c>
      <c r="I84" s="20"/>
      <c r="J84" s="20"/>
      <c r="K84" s="24"/>
    </row>
    <row r="85" spans="2:11" ht="24.6" thickBot="1">
      <c r="B85" s="20"/>
      <c r="C85" s="20"/>
      <c r="D85" s="20"/>
      <c r="E85" s="20"/>
      <c r="F85" s="20"/>
      <c r="G85" s="15" t="s">
        <v>161</v>
      </c>
      <c r="H85" s="14" t="s">
        <v>37</v>
      </c>
      <c r="I85" s="20"/>
      <c r="J85" s="20"/>
      <c r="K85" s="25"/>
    </row>
    <row r="86" spans="2:11" ht="24">
      <c r="B86" s="21" t="s">
        <v>162</v>
      </c>
      <c r="C86" s="21">
        <f t="shared" ref="C86" si="16">+C83+1</f>
        <v>25</v>
      </c>
      <c r="D86" s="22">
        <f>+D80+7</f>
        <v>46335</v>
      </c>
      <c r="E86" s="19" t="s">
        <v>163</v>
      </c>
      <c r="F86" s="19" t="s">
        <v>164</v>
      </c>
      <c r="G86" s="15" t="s">
        <v>165</v>
      </c>
      <c r="H86" s="14" t="s">
        <v>24</v>
      </c>
      <c r="I86" s="19" t="s">
        <v>166</v>
      </c>
      <c r="J86" s="19" t="s">
        <v>59</v>
      </c>
      <c r="K86" s="23"/>
    </row>
    <row r="87" spans="2:11" ht="72">
      <c r="B87" s="20"/>
      <c r="C87" s="20"/>
      <c r="D87" s="20"/>
      <c r="E87" s="20"/>
      <c r="F87" s="20"/>
      <c r="G87" s="15" t="s">
        <v>167</v>
      </c>
      <c r="H87" s="14" t="s">
        <v>28</v>
      </c>
      <c r="I87" s="20"/>
      <c r="J87" s="20"/>
      <c r="K87" s="24"/>
    </row>
    <row r="88" spans="2:11" ht="24.6" thickBot="1">
      <c r="B88" s="20"/>
      <c r="C88" s="20"/>
      <c r="D88" s="20"/>
      <c r="E88" s="20"/>
      <c r="F88" s="20"/>
      <c r="G88" s="15" t="s">
        <v>168</v>
      </c>
      <c r="H88" s="14" t="s">
        <v>24</v>
      </c>
      <c r="I88" s="20"/>
      <c r="J88" s="20"/>
      <c r="K88" s="25"/>
    </row>
    <row r="89" spans="2:11" ht="24">
      <c r="B89" s="20"/>
      <c r="C89" s="21">
        <f t="shared" ref="C89" si="17">+C86+1</f>
        <v>26</v>
      </c>
      <c r="D89" s="22">
        <f>+D83+7</f>
        <v>46338</v>
      </c>
      <c r="E89" s="19" t="s">
        <v>163</v>
      </c>
      <c r="F89" s="19" t="s">
        <v>169</v>
      </c>
      <c r="G89" s="15" t="s">
        <v>170</v>
      </c>
      <c r="H89" s="14" t="s">
        <v>32</v>
      </c>
      <c r="I89" s="19" t="s">
        <v>106</v>
      </c>
      <c r="J89" s="19" t="s">
        <v>59</v>
      </c>
      <c r="K89" s="23"/>
    </row>
    <row r="90" spans="2:11" ht="36">
      <c r="B90" s="20"/>
      <c r="C90" s="20"/>
      <c r="D90" s="20"/>
      <c r="E90" s="20"/>
      <c r="F90" s="20"/>
      <c r="G90" s="15" t="s">
        <v>171</v>
      </c>
      <c r="H90" s="14" t="s">
        <v>35</v>
      </c>
      <c r="I90" s="20"/>
      <c r="J90" s="20"/>
      <c r="K90" s="24"/>
    </row>
    <row r="91" spans="2:11" ht="24.6" thickBot="1">
      <c r="B91" s="20"/>
      <c r="C91" s="20"/>
      <c r="D91" s="20"/>
      <c r="E91" s="20"/>
      <c r="F91" s="20"/>
      <c r="G91" s="15" t="s">
        <v>172</v>
      </c>
      <c r="H91" s="14" t="s">
        <v>37</v>
      </c>
      <c r="I91" s="20"/>
      <c r="J91" s="20"/>
      <c r="K91" s="25"/>
    </row>
    <row r="92" spans="2:11" ht="24">
      <c r="B92" s="21" t="s">
        <v>173</v>
      </c>
      <c r="C92" s="21">
        <f t="shared" ref="C92" si="18">+C89+1</f>
        <v>27</v>
      </c>
      <c r="D92" s="22">
        <f>+D86+7</f>
        <v>46342</v>
      </c>
      <c r="E92" s="19" t="s">
        <v>163</v>
      </c>
      <c r="F92" s="19" t="s">
        <v>174</v>
      </c>
      <c r="G92" s="15" t="s">
        <v>175</v>
      </c>
      <c r="H92" s="14" t="s">
        <v>24</v>
      </c>
      <c r="I92" s="19" t="s">
        <v>176</v>
      </c>
      <c r="J92" s="19" t="s">
        <v>101</v>
      </c>
      <c r="K92" s="23"/>
    </row>
    <row r="93" spans="2:11" ht="60">
      <c r="B93" s="20"/>
      <c r="C93" s="20"/>
      <c r="D93" s="20"/>
      <c r="E93" s="20"/>
      <c r="F93" s="20"/>
      <c r="G93" s="15" t="s">
        <v>177</v>
      </c>
      <c r="H93" s="14" t="s">
        <v>28</v>
      </c>
      <c r="I93" s="20"/>
      <c r="J93" s="20"/>
      <c r="K93" s="24"/>
    </row>
    <row r="94" spans="2:11" ht="24.6" thickBot="1">
      <c r="B94" s="20"/>
      <c r="C94" s="20"/>
      <c r="D94" s="20"/>
      <c r="E94" s="20"/>
      <c r="F94" s="20"/>
      <c r="G94" s="15" t="s">
        <v>178</v>
      </c>
      <c r="H94" s="14" t="s">
        <v>24</v>
      </c>
      <c r="I94" s="20"/>
      <c r="J94" s="20"/>
      <c r="K94" s="25"/>
    </row>
    <row r="95" spans="2:11" ht="24">
      <c r="B95" s="20"/>
      <c r="C95" s="21">
        <f t="shared" ref="C95" si="19">+C92+1</f>
        <v>28</v>
      </c>
      <c r="D95" s="22">
        <f>+D89+7</f>
        <v>46345</v>
      </c>
      <c r="E95" s="19" t="s">
        <v>163</v>
      </c>
      <c r="F95" s="19" t="s">
        <v>179</v>
      </c>
      <c r="G95" s="15" t="s">
        <v>180</v>
      </c>
      <c r="H95" s="14" t="s">
        <v>32</v>
      </c>
      <c r="I95" s="19" t="s">
        <v>181</v>
      </c>
      <c r="J95" s="19" t="s">
        <v>101</v>
      </c>
      <c r="K95" s="23"/>
    </row>
    <row r="96" spans="2:11" ht="36">
      <c r="B96" s="20"/>
      <c r="C96" s="20"/>
      <c r="D96" s="20"/>
      <c r="E96" s="20"/>
      <c r="F96" s="20"/>
      <c r="G96" s="15" t="s">
        <v>182</v>
      </c>
      <c r="H96" s="14" t="s">
        <v>35</v>
      </c>
      <c r="I96" s="20"/>
      <c r="J96" s="20"/>
      <c r="K96" s="24"/>
    </row>
    <row r="97" spans="2:11" ht="24.6" thickBot="1">
      <c r="B97" s="20"/>
      <c r="C97" s="20"/>
      <c r="D97" s="20"/>
      <c r="E97" s="20"/>
      <c r="F97" s="20"/>
      <c r="G97" s="15" t="s">
        <v>183</v>
      </c>
      <c r="H97" s="14" t="s">
        <v>37</v>
      </c>
      <c r="I97" s="20"/>
      <c r="J97" s="20"/>
      <c r="K97" s="25"/>
    </row>
    <row r="98" spans="2:11" ht="24">
      <c r="B98" s="21" t="s">
        <v>184</v>
      </c>
      <c r="C98" s="21">
        <f t="shared" ref="C98" si="20">+C95+1</f>
        <v>29</v>
      </c>
      <c r="D98" s="22">
        <f>+D92+7</f>
        <v>46349</v>
      </c>
      <c r="E98" s="19" t="s">
        <v>185</v>
      </c>
      <c r="F98" s="19" t="s">
        <v>186</v>
      </c>
      <c r="G98" s="15" t="s">
        <v>187</v>
      </c>
      <c r="H98" s="14" t="s">
        <v>24</v>
      </c>
      <c r="I98" s="19" t="s">
        <v>188</v>
      </c>
      <c r="J98" s="19" t="s">
        <v>101</v>
      </c>
      <c r="K98" s="23"/>
    </row>
    <row r="99" spans="2:11" ht="60">
      <c r="B99" s="20"/>
      <c r="C99" s="20"/>
      <c r="D99" s="20"/>
      <c r="E99" s="20"/>
      <c r="F99" s="20"/>
      <c r="G99" s="15" t="s">
        <v>189</v>
      </c>
      <c r="H99" s="14" t="s">
        <v>28</v>
      </c>
      <c r="I99" s="20"/>
      <c r="J99" s="20"/>
      <c r="K99" s="24"/>
    </row>
    <row r="100" spans="2:11" ht="24.6" thickBot="1">
      <c r="B100" s="20"/>
      <c r="C100" s="20"/>
      <c r="D100" s="20"/>
      <c r="E100" s="20"/>
      <c r="F100" s="20"/>
      <c r="G100" s="15" t="s">
        <v>190</v>
      </c>
      <c r="H100" s="14" t="s">
        <v>24</v>
      </c>
      <c r="I100" s="20"/>
      <c r="J100" s="20"/>
      <c r="K100" s="25"/>
    </row>
    <row r="101" spans="2:11" ht="24">
      <c r="B101" s="20"/>
      <c r="C101" s="21">
        <f t="shared" ref="C101" si="21">+C98+1</f>
        <v>30</v>
      </c>
      <c r="D101" s="22">
        <f>+D95+7</f>
        <v>46352</v>
      </c>
      <c r="E101" s="19" t="s">
        <v>185</v>
      </c>
      <c r="F101" s="19" t="s">
        <v>191</v>
      </c>
      <c r="G101" s="15" t="s">
        <v>192</v>
      </c>
      <c r="H101" s="14" t="s">
        <v>32</v>
      </c>
      <c r="I101" s="19" t="s">
        <v>193</v>
      </c>
      <c r="J101" s="19" t="s">
        <v>59</v>
      </c>
      <c r="K101" s="23"/>
    </row>
    <row r="102" spans="2:11" ht="36">
      <c r="B102" s="20"/>
      <c r="C102" s="20"/>
      <c r="D102" s="20"/>
      <c r="E102" s="20"/>
      <c r="F102" s="20"/>
      <c r="G102" s="15" t="s">
        <v>194</v>
      </c>
      <c r="H102" s="14" t="s">
        <v>35</v>
      </c>
      <c r="I102" s="20"/>
      <c r="J102" s="20"/>
      <c r="K102" s="24"/>
    </row>
    <row r="103" spans="2:11" ht="24.6" thickBot="1">
      <c r="B103" s="20"/>
      <c r="C103" s="20"/>
      <c r="D103" s="20"/>
      <c r="E103" s="20"/>
      <c r="F103" s="20"/>
      <c r="G103" s="15" t="s">
        <v>195</v>
      </c>
      <c r="H103" s="14" t="s">
        <v>37</v>
      </c>
      <c r="I103" s="20"/>
      <c r="J103" s="20"/>
      <c r="K103" s="25"/>
    </row>
    <row r="104" spans="2:11" ht="24">
      <c r="B104" s="21" t="s">
        <v>196</v>
      </c>
      <c r="C104" s="21">
        <f t="shared" ref="C104" si="22">+C101+1</f>
        <v>31</v>
      </c>
      <c r="D104" s="22">
        <f>+D98+7</f>
        <v>46356</v>
      </c>
      <c r="E104" s="19" t="s">
        <v>185</v>
      </c>
      <c r="F104" s="19" t="s">
        <v>197</v>
      </c>
      <c r="G104" s="15" t="s">
        <v>198</v>
      </c>
      <c r="H104" s="14" t="s">
        <v>24</v>
      </c>
      <c r="I104" s="19" t="s">
        <v>199</v>
      </c>
      <c r="J104" s="19" t="s">
        <v>101</v>
      </c>
      <c r="K104" s="23"/>
    </row>
    <row r="105" spans="2:11" ht="48">
      <c r="B105" s="20"/>
      <c r="C105" s="20"/>
      <c r="D105" s="20"/>
      <c r="E105" s="20"/>
      <c r="F105" s="20"/>
      <c r="G105" s="15" t="s">
        <v>200</v>
      </c>
      <c r="H105" s="14" t="s">
        <v>28</v>
      </c>
      <c r="I105" s="20"/>
      <c r="J105" s="20"/>
      <c r="K105" s="24"/>
    </row>
    <row r="106" spans="2:11" ht="24.6" thickBot="1">
      <c r="B106" s="20"/>
      <c r="C106" s="20"/>
      <c r="D106" s="20"/>
      <c r="E106" s="20"/>
      <c r="F106" s="20"/>
      <c r="G106" s="15" t="s">
        <v>201</v>
      </c>
      <c r="H106" s="14" t="s">
        <v>24</v>
      </c>
      <c r="I106" s="20"/>
      <c r="J106" s="20"/>
      <c r="K106" s="25"/>
    </row>
    <row r="107" spans="2:11" ht="24">
      <c r="B107" s="20"/>
      <c r="C107" s="21">
        <f t="shared" ref="C107" si="23">+C104+1</f>
        <v>32</v>
      </c>
      <c r="D107" s="22">
        <f>+D101+7</f>
        <v>46359</v>
      </c>
      <c r="E107" s="19" t="s">
        <v>185</v>
      </c>
      <c r="F107" s="19" t="s">
        <v>202</v>
      </c>
      <c r="G107" s="15" t="s">
        <v>203</v>
      </c>
      <c r="H107" s="14" t="s">
        <v>32</v>
      </c>
      <c r="I107" s="19" t="s">
        <v>204</v>
      </c>
      <c r="J107" s="19" t="s">
        <v>101</v>
      </c>
      <c r="K107" s="23"/>
    </row>
    <row r="108" spans="2:11" ht="36">
      <c r="B108" s="20"/>
      <c r="C108" s="20"/>
      <c r="D108" s="20"/>
      <c r="E108" s="20"/>
      <c r="F108" s="20"/>
      <c r="G108" s="15" t="s">
        <v>205</v>
      </c>
      <c r="H108" s="14" t="s">
        <v>35</v>
      </c>
      <c r="I108" s="20"/>
      <c r="J108" s="20"/>
      <c r="K108" s="24"/>
    </row>
    <row r="109" spans="2:11" ht="24">
      <c r="B109" s="20"/>
      <c r="C109" s="20"/>
      <c r="D109" s="20"/>
      <c r="E109" s="20"/>
      <c r="F109" s="20"/>
      <c r="G109" s="15" t="s">
        <v>206</v>
      </c>
      <c r="H109" s="14" t="s">
        <v>37</v>
      </c>
      <c r="I109" s="20"/>
      <c r="J109" s="20"/>
      <c r="K109" s="25"/>
    </row>
    <row r="110" spans="2:11">
      <c r="E110" s="9"/>
      <c r="F110" s="10"/>
      <c r="G110" s="10"/>
      <c r="H110" s="10"/>
    </row>
    <row r="111" spans="2:11">
      <c r="E111" s="9"/>
      <c r="F111" s="10"/>
      <c r="G111" s="10"/>
      <c r="H111" s="10"/>
    </row>
    <row r="112" spans="2:11">
      <c r="E112" s="9"/>
      <c r="F112" s="10"/>
      <c r="G112" s="10"/>
      <c r="H112" s="10"/>
    </row>
    <row r="113" spans="5:8">
      <c r="E113" s="9"/>
      <c r="F113" s="10"/>
      <c r="G113" s="10"/>
      <c r="H113" s="10"/>
    </row>
    <row r="114" spans="5:8">
      <c r="E114" s="9"/>
      <c r="F114" s="10"/>
      <c r="G114" s="10"/>
      <c r="H114" s="10"/>
    </row>
    <row r="115" spans="5:8">
      <c r="E115" s="9"/>
      <c r="F115" s="10"/>
      <c r="G115" s="10"/>
      <c r="H115" s="10"/>
    </row>
    <row r="116" spans="5:8">
      <c r="E116" s="9"/>
      <c r="F116" s="10"/>
      <c r="G116" s="10"/>
      <c r="H116" s="10"/>
    </row>
    <row r="117" spans="5:8">
      <c r="E117" s="9"/>
      <c r="F117" s="10"/>
      <c r="G117" s="10"/>
      <c r="H117" s="10"/>
    </row>
    <row r="118" spans="5:8">
      <c r="E118" s="9"/>
      <c r="F118" s="10"/>
      <c r="G118" s="10"/>
      <c r="H118" s="10"/>
    </row>
    <row r="119" spans="5:8">
      <c r="E119" s="9"/>
      <c r="F119" s="10"/>
      <c r="G119" s="10"/>
      <c r="H119" s="10"/>
    </row>
    <row r="120" spans="5:8">
      <c r="E120" s="9"/>
      <c r="F120" s="10"/>
      <c r="G120" s="10"/>
      <c r="H120" s="10"/>
    </row>
    <row r="121" spans="5:8">
      <c r="E121" s="9"/>
      <c r="F121" s="10"/>
      <c r="G121" s="10"/>
      <c r="H121" s="10"/>
    </row>
    <row r="122" spans="5:8">
      <c r="E122" s="9"/>
      <c r="F122" s="10"/>
      <c r="G122" s="10"/>
      <c r="H122" s="10"/>
    </row>
    <row r="123" spans="5:8">
      <c r="E123" s="9"/>
      <c r="F123" s="10"/>
      <c r="G123" s="10"/>
      <c r="H123" s="10"/>
    </row>
    <row r="124" spans="5:8">
      <c r="E124" s="9"/>
      <c r="F124" s="10"/>
      <c r="G124" s="10"/>
      <c r="H124" s="10"/>
    </row>
    <row r="125" spans="5:8">
      <c r="E125" s="9"/>
      <c r="F125" s="10"/>
      <c r="G125" s="10"/>
      <c r="H125" s="10"/>
    </row>
    <row r="126" spans="5:8">
      <c r="E126" s="9"/>
      <c r="F126" s="10"/>
      <c r="G126" s="10"/>
      <c r="H126" s="10"/>
    </row>
    <row r="127" spans="5:8">
      <c r="E127" s="9"/>
      <c r="F127" s="10"/>
      <c r="G127" s="10"/>
      <c r="H127" s="10"/>
    </row>
    <row r="128" spans="5:8">
      <c r="E128" s="9"/>
      <c r="F128" s="10"/>
      <c r="G128" s="10"/>
      <c r="H128" s="10"/>
    </row>
    <row r="129" spans="5:8">
      <c r="E129" s="9"/>
      <c r="F129" s="10"/>
      <c r="G129" s="10"/>
      <c r="H129" s="10"/>
    </row>
    <row r="130" spans="5:8">
      <c r="E130" s="9"/>
      <c r="F130" s="10"/>
      <c r="G130" s="10"/>
      <c r="H130" s="10"/>
    </row>
    <row r="131" spans="5:8">
      <c r="E131" s="9"/>
      <c r="F131" s="10"/>
      <c r="G131" s="10"/>
      <c r="H131" s="10"/>
    </row>
    <row r="132" spans="5:8">
      <c r="E132" s="9"/>
      <c r="F132" s="10"/>
      <c r="G132" s="10"/>
      <c r="H132" s="10"/>
    </row>
    <row r="133" spans="5:8">
      <c r="E133" s="9"/>
      <c r="F133" s="10"/>
      <c r="G133" s="10"/>
      <c r="H133" s="10"/>
    </row>
    <row r="134" spans="5:8">
      <c r="E134" s="9"/>
      <c r="F134" s="10"/>
      <c r="G134" s="10"/>
      <c r="H134" s="10"/>
    </row>
    <row r="135" spans="5:8">
      <c r="E135" s="9"/>
      <c r="F135" s="10"/>
      <c r="G135" s="10"/>
      <c r="H135" s="10"/>
    </row>
    <row r="136" spans="5:8">
      <c r="E136" s="9"/>
      <c r="F136" s="10"/>
      <c r="G136" s="10"/>
      <c r="H136" s="10"/>
    </row>
    <row r="137" spans="5:8">
      <c r="E137" s="9"/>
      <c r="F137" s="10"/>
      <c r="G137" s="10"/>
      <c r="H137" s="10"/>
    </row>
    <row r="138" spans="5:8">
      <c r="E138" s="9"/>
      <c r="F138" s="10"/>
      <c r="G138" s="10"/>
      <c r="H138" s="10"/>
    </row>
    <row r="139" spans="5:8">
      <c r="E139" s="9"/>
      <c r="F139" s="10"/>
      <c r="G139" s="10"/>
      <c r="H139" s="10"/>
    </row>
    <row r="140" spans="5:8">
      <c r="E140" s="9"/>
      <c r="F140" s="10"/>
      <c r="G140" s="10"/>
      <c r="H140" s="10"/>
    </row>
    <row r="141" spans="5:8">
      <c r="E141" s="9"/>
      <c r="F141" s="10"/>
      <c r="G141" s="10"/>
      <c r="H141" s="10"/>
    </row>
    <row r="142" spans="5:8">
      <c r="E142" s="9"/>
      <c r="F142" s="10"/>
      <c r="G142" s="10"/>
      <c r="H142" s="10"/>
    </row>
    <row r="143" spans="5:8">
      <c r="E143" s="9"/>
      <c r="F143" s="10"/>
      <c r="G143" s="10"/>
      <c r="H143" s="10"/>
    </row>
    <row r="144" spans="5:8">
      <c r="E144" s="9"/>
      <c r="F144" s="10"/>
      <c r="G144" s="10"/>
      <c r="H144" s="10"/>
    </row>
    <row r="145" spans="5:8">
      <c r="E145" s="9"/>
      <c r="F145" s="10"/>
      <c r="G145" s="10"/>
      <c r="H145" s="10"/>
    </row>
    <row r="146" spans="5:8">
      <c r="E146" s="9"/>
      <c r="F146" s="10"/>
      <c r="G146" s="10"/>
      <c r="H146" s="10"/>
    </row>
    <row r="147" spans="5:8">
      <c r="E147" s="9"/>
      <c r="F147" s="10"/>
      <c r="G147" s="10"/>
      <c r="H147" s="10"/>
    </row>
    <row r="148" spans="5:8">
      <c r="E148" s="9"/>
      <c r="F148" s="10"/>
      <c r="G148" s="10"/>
      <c r="H148" s="10"/>
    </row>
    <row r="149" spans="5:8">
      <c r="E149" s="9"/>
      <c r="F149" s="10"/>
      <c r="G149" s="10"/>
      <c r="H149" s="10"/>
    </row>
    <row r="150" spans="5:8">
      <c r="E150" s="9"/>
      <c r="F150" s="10"/>
      <c r="G150" s="10"/>
      <c r="H150" s="10"/>
    </row>
    <row r="151" spans="5:8">
      <c r="E151" s="9"/>
      <c r="F151" s="10"/>
      <c r="G151" s="10"/>
      <c r="H151" s="10"/>
    </row>
    <row r="152" spans="5:8">
      <c r="E152" s="9"/>
      <c r="F152" s="10"/>
      <c r="G152" s="10"/>
      <c r="H152" s="10"/>
    </row>
    <row r="153" spans="5:8">
      <c r="E153" s="9"/>
      <c r="F153" s="10"/>
      <c r="G153" s="10"/>
      <c r="H153" s="10"/>
    </row>
    <row r="154" spans="5:8">
      <c r="E154" s="9"/>
      <c r="F154" s="10"/>
      <c r="G154" s="10"/>
      <c r="H154" s="10"/>
    </row>
    <row r="155" spans="5:8">
      <c r="E155" s="9"/>
      <c r="F155" s="10"/>
      <c r="G155" s="10"/>
      <c r="H155" s="10"/>
    </row>
    <row r="156" spans="5:8">
      <c r="E156" s="9"/>
      <c r="F156" s="10"/>
      <c r="G156" s="10"/>
      <c r="H156" s="10"/>
    </row>
    <row r="157" spans="5:8">
      <c r="E157" s="9"/>
      <c r="F157" s="10"/>
      <c r="G157" s="10"/>
      <c r="H157" s="10"/>
    </row>
    <row r="158" spans="5:8">
      <c r="E158" s="9"/>
      <c r="F158" s="10"/>
      <c r="G158" s="10"/>
      <c r="H158" s="10"/>
    </row>
    <row r="159" spans="5:8">
      <c r="E159" s="9"/>
      <c r="F159" s="10"/>
      <c r="G159" s="10"/>
      <c r="H159" s="10"/>
    </row>
    <row r="160" spans="5:8">
      <c r="E160" s="9"/>
      <c r="F160" s="10"/>
      <c r="G160" s="10"/>
      <c r="H160" s="10"/>
    </row>
    <row r="161" spans="5:8">
      <c r="E161" s="9"/>
      <c r="F161" s="10"/>
      <c r="G161" s="10"/>
      <c r="H161" s="10"/>
    </row>
    <row r="162" spans="5:8">
      <c r="E162" s="9"/>
      <c r="F162" s="10"/>
      <c r="G162" s="10"/>
      <c r="H162" s="10"/>
    </row>
    <row r="163" spans="5:8">
      <c r="E163" s="9"/>
      <c r="F163" s="10"/>
      <c r="G163" s="10"/>
      <c r="H163" s="10"/>
    </row>
    <row r="164" spans="5:8">
      <c r="E164" s="9"/>
      <c r="F164" s="10"/>
      <c r="G164" s="10"/>
      <c r="H164" s="10"/>
    </row>
    <row r="165" spans="5:8">
      <c r="E165" s="9"/>
      <c r="F165" s="10"/>
      <c r="G165" s="10"/>
      <c r="H165" s="10"/>
    </row>
    <row r="166" spans="5:8">
      <c r="E166" s="9"/>
      <c r="F166" s="10"/>
      <c r="G166" s="10"/>
      <c r="H166" s="10"/>
    </row>
    <row r="167" spans="5:8">
      <c r="E167" s="9"/>
      <c r="F167" s="10"/>
      <c r="G167" s="10"/>
      <c r="H167" s="10"/>
    </row>
    <row r="168" spans="5:8">
      <c r="E168" s="9"/>
      <c r="F168" s="10"/>
      <c r="G168" s="10"/>
      <c r="H168" s="10"/>
    </row>
    <row r="169" spans="5:8">
      <c r="E169" s="9"/>
      <c r="F169" s="10"/>
      <c r="G169" s="10"/>
      <c r="H169" s="10"/>
    </row>
    <row r="170" spans="5:8">
      <c r="E170" s="9"/>
      <c r="F170" s="10"/>
      <c r="G170" s="10"/>
      <c r="H170" s="10"/>
    </row>
    <row r="171" spans="5:8">
      <c r="E171" s="9"/>
      <c r="F171" s="10"/>
      <c r="G171" s="10"/>
      <c r="H171" s="10"/>
    </row>
    <row r="172" spans="5:8">
      <c r="E172" s="9"/>
      <c r="F172" s="10"/>
      <c r="G172" s="10"/>
      <c r="H172" s="10"/>
    </row>
    <row r="173" spans="5:8">
      <c r="E173" s="9"/>
      <c r="F173" s="10"/>
      <c r="G173" s="10"/>
      <c r="H173" s="10"/>
    </row>
    <row r="174" spans="5:8">
      <c r="E174" s="9"/>
      <c r="F174" s="10"/>
      <c r="G174" s="10"/>
      <c r="H174" s="10"/>
    </row>
    <row r="175" spans="5:8">
      <c r="E175" s="9"/>
      <c r="F175" s="10"/>
      <c r="G175" s="10"/>
      <c r="H175" s="10"/>
    </row>
    <row r="176" spans="5:8">
      <c r="E176" s="9"/>
      <c r="F176" s="10"/>
      <c r="G176" s="10"/>
      <c r="H176" s="10"/>
    </row>
    <row r="177" spans="5:8">
      <c r="E177" s="9"/>
      <c r="F177" s="10"/>
      <c r="G177" s="10"/>
      <c r="H177" s="10"/>
    </row>
    <row r="178" spans="5:8">
      <c r="E178" s="9"/>
      <c r="F178" s="10"/>
      <c r="G178" s="10"/>
      <c r="H178" s="10"/>
    </row>
    <row r="179" spans="5:8">
      <c r="E179" s="9"/>
      <c r="F179" s="10"/>
      <c r="G179" s="10"/>
      <c r="H179" s="10"/>
    </row>
    <row r="180" spans="5:8">
      <c r="E180" s="9"/>
      <c r="F180" s="10"/>
      <c r="G180" s="10"/>
      <c r="H180" s="10"/>
    </row>
    <row r="181" spans="5:8">
      <c r="E181" s="9"/>
      <c r="F181" s="10"/>
      <c r="G181" s="10"/>
      <c r="H181" s="10"/>
    </row>
    <row r="182" spans="5:8">
      <c r="E182" s="9"/>
      <c r="F182" s="10"/>
      <c r="G182" s="10"/>
      <c r="H182" s="10"/>
    </row>
    <row r="183" spans="5:8">
      <c r="E183" s="9"/>
      <c r="F183" s="10"/>
      <c r="G183" s="10"/>
      <c r="H183" s="10"/>
    </row>
    <row r="184" spans="5:8">
      <c r="E184" s="9"/>
      <c r="F184" s="10"/>
      <c r="G184" s="10"/>
      <c r="H184" s="10"/>
    </row>
    <row r="185" spans="5:8">
      <c r="E185" s="9"/>
      <c r="F185" s="10"/>
      <c r="G185" s="10"/>
      <c r="H185" s="10"/>
    </row>
    <row r="186" spans="5:8">
      <c r="E186" s="9"/>
      <c r="F186" s="10"/>
      <c r="G186" s="10"/>
      <c r="H186" s="10"/>
    </row>
    <row r="187" spans="5:8">
      <c r="E187" s="9"/>
      <c r="F187" s="10"/>
      <c r="G187" s="10"/>
      <c r="H187" s="10"/>
    </row>
    <row r="188" spans="5:8">
      <c r="E188" s="9"/>
      <c r="F188" s="10"/>
      <c r="G188" s="10"/>
      <c r="H188" s="10"/>
    </row>
    <row r="189" spans="5:8">
      <c r="E189" s="9"/>
      <c r="F189" s="10"/>
      <c r="G189" s="10"/>
      <c r="H189" s="10"/>
    </row>
    <row r="190" spans="5:8">
      <c r="E190" s="9"/>
      <c r="F190" s="10"/>
      <c r="G190" s="10"/>
      <c r="H190" s="10"/>
    </row>
    <row r="191" spans="5:8">
      <c r="E191" s="9"/>
      <c r="F191" s="10"/>
      <c r="G191" s="10"/>
      <c r="H191" s="10"/>
    </row>
    <row r="192" spans="5:8">
      <c r="E192" s="9"/>
      <c r="F192" s="10"/>
      <c r="G192" s="10"/>
      <c r="H192" s="10"/>
    </row>
    <row r="193" spans="5:8">
      <c r="E193" s="9"/>
      <c r="F193" s="10"/>
      <c r="G193" s="10"/>
      <c r="H193" s="10"/>
    </row>
    <row r="194" spans="5:8">
      <c r="E194" s="9"/>
      <c r="F194" s="10"/>
      <c r="G194" s="10"/>
      <c r="H194" s="10"/>
    </row>
    <row r="195" spans="5:8">
      <c r="E195" s="9"/>
      <c r="F195" s="10"/>
      <c r="G195" s="10"/>
      <c r="H195" s="10"/>
    </row>
    <row r="196" spans="5:8">
      <c r="E196" s="9"/>
      <c r="F196" s="10"/>
      <c r="G196" s="10"/>
      <c r="H196" s="10"/>
    </row>
    <row r="197" spans="5:8">
      <c r="E197" s="9"/>
      <c r="F197" s="10"/>
      <c r="G197" s="10"/>
      <c r="H197" s="10"/>
    </row>
    <row r="198" spans="5:8">
      <c r="E198" s="9"/>
      <c r="F198" s="10"/>
      <c r="G198" s="10"/>
      <c r="H198" s="10"/>
    </row>
    <row r="199" spans="5:8">
      <c r="E199" s="9"/>
      <c r="F199" s="10"/>
      <c r="G199" s="10"/>
      <c r="H199" s="10"/>
    </row>
    <row r="200" spans="5:8">
      <c r="E200" s="9"/>
      <c r="F200" s="10"/>
      <c r="G200" s="10"/>
      <c r="H200" s="10"/>
    </row>
    <row r="201" spans="5:8">
      <c r="E201" s="9"/>
      <c r="F201" s="10"/>
      <c r="G201" s="10"/>
      <c r="H201" s="10"/>
    </row>
    <row r="202" spans="5:8">
      <c r="E202" s="9"/>
      <c r="F202" s="10"/>
      <c r="G202" s="10"/>
      <c r="H202" s="10"/>
    </row>
    <row r="203" spans="5:8">
      <c r="E203" s="9"/>
      <c r="F203" s="10"/>
      <c r="G203" s="10"/>
      <c r="H203" s="10"/>
    </row>
    <row r="204" spans="5:8">
      <c r="E204" s="9"/>
      <c r="F204" s="10"/>
      <c r="G204" s="10"/>
      <c r="H204" s="10"/>
    </row>
    <row r="205" spans="5:8">
      <c r="E205" s="9"/>
      <c r="F205" s="10"/>
      <c r="G205" s="10"/>
      <c r="H205" s="10"/>
    </row>
    <row r="206" spans="5:8">
      <c r="E206" s="9"/>
      <c r="F206" s="10"/>
      <c r="G206" s="10"/>
      <c r="H206" s="10"/>
    </row>
    <row r="207" spans="5:8">
      <c r="E207" s="9"/>
      <c r="F207" s="10"/>
      <c r="G207" s="10"/>
      <c r="H207" s="10"/>
    </row>
    <row r="208" spans="5:8">
      <c r="E208" s="9"/>
      <c r="F208" s="10"/>
      <c r="G208" s="10"/>
      <c r="H208" s="10"/>
    </row>
    <row r="209" spans="5:8">
      <c r="E209" s="9"/>
      <c r="F209" s="10"/>
      <c r="G209" s="10"/>
      <c r="H209" s="10"/>
    </row>
    <row r="210" spans="5:8">
      <c r="E210" s="9"/>
      <c r="F210" s="10"/>
      <c r="G210" s="10"/>
      <c r="H210" s="10"/>
    </row>
    <row r="211" spans="5:8">
      <c r="E211" s="9"/>
      <c r="F211" s="10"/>
      <c r="G211" s="10"/>
      <c r="H211" s="10"/>
    </row>
    <row r="212" spans="5:8">
      <c r="E212" s="9"/>
      <c r="F212" s="10"/>
      <c r="G212" s="10"/>
      <c r="H212" s="10"/>
    </row>
    <row r="213" spans="5:8">
      <c r="E213" s="9"/>
      <c r="F213" s="10"/>
      <c r="G213" s="10"/>
      <c r="H213" s="10"/>
    </row>
    <row r="214" spans="5:8">
      <c r="E214" s="9"/>
      <c r="F214" s="10"/>
      <c r="G214" s="10"/>
      <c r="H214" s="10"/>
    </row>
    <row r="215" spans="5:8">
      <c r="E215" s="9"/>
      <c r="F215" s="10"/>
      <c r="G215" s="10"/>
      <c r="H215" s="10"/>
    </row>
    <row r="216" spans="5:8">
      <c r="E216" s="9"/>
      <c r="F216" s="10"/>
      <c r="G216" s="10"/>
      <c r="H216" s="10"/>
    </row>
    <row r="217" spans="5:8">
      <c r="E217" s="9"/>
      <c r="F217" s="10"/>
      <c r="G217" s="10"/>
      <c r="H217" s="10"/>
    </row>
    <row r="218" spans="5:8">
      <c r="E218" s="9"/>
      <c r="F218" s="10"/>
      <c r="G218" s="10"/>
      <c r="H218" s="10"/>
    </row>
    <row r="219" spans="5:8">
      <c r="E219" s="9"/>
      <c r="F219" s="10"/>
      <c r="G219" s="10"/>
      <c r="H219" s="10"/>
    </row>
    <row r="220" spans="5:8">
      <c r="E220" s="9"/>
      <c r="F220" s="10"/>
      <c r="G220" s="10"/>
      <c r="H220" s="10"/>
    </row>
    <row r="221" spans="5:8">
      <c r="E221" s="9"/>
      <c r="F221" s="10"/>
      <c r="G221" s="10"/>
      <c r="H221" s="10"/>
    </row>
    <row r="222" spans="5:8">
      <c r="E222" s="9"/>
      <c r="F222" s="10"/>
      <c r="G222" s="10"/>
      <c r="H222" s="10"/>
    </row>
    <row r="223" spans="5:8">
      <c r="E223" s="9"/>
      <c r="F223" s="10"/>
      <c r="G223" s="10"/>
      <c r="H223" s="10"/>
    </row>
    <row r="224" spans="5:8">
      <c r="E224" s="9"/>
      <c r="F224" s="10"/>
      <c r="G224" s="10"/>
      <c r="H224" s="10"/>
    </row>
    <row r="225" spans="5:8">
      <c r="E225" s="9"/>
      <c r="F225" s="10"/>
      <c r="G225" s="10"/>
      <c r="H225" s="10"/>
    </row>
    <row r="226" spans="5:8">
      <c r="E226" s="9"/>
      <c r="F226" s="10"/>
      <c r="G226" s="10"/>
      <c r="H226" s="10"/>
    </row>
    <row r="227" spans="5:8">
      <c r="E227" s="9"/>
      <c r="F227" s="10"/>
      <c r="G227" s="10"/>
      <c r="H227" s="10"/>
    </row>
    <row r="228" spans="5:8">
      <c r="E228" s="9"/>
      <c r="F228" s="10"/>
      <c r="G228" s="10"/>
      <c r="H228" s="10"/>
    </row>
    <row r="229" spans="5:8">
      <c r="E229" s="9"/>
      <c r="F229" s="10"/>
      <c r="G229" s="10"/>
      <c r="H229" s="10"/>
    </row>
    <row r="230" spans="5:8">
      <c r="E230" s="9"/>
      <c r="F230" s="10"/>
      <c r="G230" s="10"/>
      <c r="H230" s="10"/>
    </row>
    <row r="231" spans="5:8">
      <c r="E231" s="9"/>
      <c r="F231" s="10"/>
      <c r="G231" s="10"/>
      <c r="H231" s="10"/>
    </row>
    <row r="232" spans="5:8">
      <c r="E232" s="9"/>
      <c r="F232" s="10"/>
      <c r="G232" s="10"/>
      <c r="H232" s="10"/>
    </row>
    <row r="233" spans="5:8">
      <c r="E233" s="9"/>
      <c r="F233" s="10"/>
      <c r="G233" s="10"/>
      <c r="H233" s="10"/>
    </row>
    <row r="234" spans="5:8">
      <c r="E234" s="9"/>
      <c r="F234" s="10"/>
      <c r="G234" s="10"/>
      <c r="H234" s="10"/>
    </row>
    <row r="235" spans="5:8">
      <c r="E235" s="9"/>
      <c r="F235" s="10"/>
      <c r="G235" s="10"/>
      <c r="H235" s="10"/>
    </row>
    <row r="236" spans="5:8">
      <c r="E236" s="9"/>
      <c r="F236" s="10"/>
      <c r="G236" s="10"/>
      <c r="H236" s="10"/>
    </row>
    <row r="237" spans="5:8">
      <c r="E237" s="9"/>
      <c r="F237" s="10"/>
      <c r="G237" s="10"/>
      <c r="H237" s="10"/>
    </row>
    <row r="238" spans="5:8">
      <c r="E238" s="9"/>
      <c r="F238" s="10"/>
      <c r="G238" s="10"/>
      <c r="H238" s="10"/>
    </row>
    <row r="239" spans="5:8">
      <c r="E239" s="9"/>
      <c r="F239" s="10"/>
      <c r="G239" s="10"/>
      <c r="H239" s="10"/>
    </row>
    <row r="240" spans="5:8">
      <c r="E240" s="9"/>
      <c r="F240" s="10"/>
      <c r="G240" s="10"/>
      <c r="H240" s="10"/>
    </row>
    <row r="241" spans="5:8">
      <c r="E241" s="9"/>
      <c r="F241" s="10"/>
      <c r="G241" s="10"/>
      <c r="H241" s="10"/>
    </row>
    <row r="242" spans="5:8">
      <c r="E242" s="9"/>
      <c r="F242" s="10"/>
      <c r="G242" s="10"/>
      <c r="H242" s="10"/>
    </row>
    <row r="243" spans="5:8">
      <c r="E243" s="9"/>
      <c r="F243" s="10"/>
      <c r="G243" s="10"/>
      <c r="H243" s="10"/>
    </row>
    <row r="244" spans="5:8">
      <c r="E244" s="9"/>
      <c r="F244" s="10"/>
      <c r="G244" s="10"/>
      <c r="H244" s="10"/>
    </row>
    <row r="245" spans="5:8">
      <c r="E245" s="9"/>
      <c r="F245" s="10"/>
      <c r="G245" s="10"/>
      <c r="H245" s="10"/>
    </row>
    <row r="246" spans="5:8">
      <c r="E246" s="9"/>
      <c r="F246" s="10"/>
      <c r="G246" s="10"/>
      <c r="H246" s="10"/>
    </row>
    <row r="247" spans="5:8">
      <c r="E247" s="9"/>
      <c r="F247" s="10"/>
      <c r="G247" s="10"/>
      <c r="H247" s="10"/>
    </row>
    <row r="248" spans="5:8">
      <c r="E248" s="9"/>
      <c r="F248" s="10"/>
      <c r="G248" s="10"/>
      <c r="H248" s="10"/>
    </row>
    <row r="249" spans="5:8">
      <c r="E249" s="9"/>
      <c r="F249" s="10"/>
      <c r="G249" s="10"/>
      <c r="H249" s="10"/>
    </row>
    <row r="250" spans="5:8">
      <c r="E250" s="9"/>
      <c r="F250" s="10"/>
      <c r="G250" s="10"/>
      <c r="H250" s="10"/>
    </row>
    <row r="251" spans="5:8">
      <c r="E251" s="9"/>
      <c r="F251" s="10"/>
      <c r="G251" s="10"/>
      <c r="H251" s="10"/>
    </row>
    <row r="252" spans="5:8">
      <c r="E252" s="9"/>
      <c r="F252" s="10"/>
      <c r="G252" s="10"/>
      <c r="H252" s="10"/>
    </row>
    <row r="253" spans="5:8">
      <c r="E253" s="9"/>
      <c r="F253" s="10"/>
      <c r="G253" s="10"/>
      <c r="H253" s="10"/>
    </row>
    <row r="254" spans="5:8">
      <c r="E254" s="9"/>
      <c r="F254" s="10"/>
      <c r="G254" s="10"/>
      <c r="H254" s="10"/>
    </row>
    <row r="255" spans="5:8">
      <c r="E255" s="9"/>
      <c r="F255" s="10"/>
      <c r="G255" s="10"/>
      <c r="H255" s="10"/>
    </row>
    <row r="256" spans="5:8">
      <c r="E256" s="9"/>
      <c r="F256" s="10"/>
      <c r="G256" s="10"/>
      <c r="H256" s="10"/>
    </row>
    <row r="257" spans="5:8">
      <c r="E257" s="9"/>
      <c r="F257" s="10"/>
      <c r="G257" s="10"/>
      <c r="H257" s="10"/>
    </row>
    <row r="258" spans="5:8">
      <c r="E258" s="9"/>
      <c r="F258" s="10"/>
      <c r="G258" s="10"/>
      <c r="H258" s="10"/>
    </row>
    <row r="259" spans="5:8">
      <c r="E259" s="9"/>
      <c r="F259" s="10"/>
      <c r="G259" s="10"/>
      <c r="H259" s="10"/>
    </row>
    <row r="260" spans="5:8">
      <c r="E260" s="9"/>
      <c r="F260" s="10"/>
      <c r="G260" s="10"/>
      <c r="H260" s="10"/>
    </row>
    <row r="261" spans="5:8">
      <c r="E261" s="9"/>
      <c r="F261" s="10"/>
      <c r="G261" s="10"/>
      <c r="H261" s="10"/>
    </row>
    <row r="262" spans="5:8">
      <c r="E262" s="9"/>
      <c r="F262" s="10"/>
      <c r="G262" s="10"/>
      <c r="H262" s="10"/>
    </row>
    <row r="263" spans="5:8">
      <c r="E263" s="9"/>
      <c r="F263" s="10"/>
      <c r="G263" s="10"/>
      <c r="H263" s="10"/>
    </row>
    <row r="264" spans="5:8">
      <c r="E264" s="9"/>
      <c r="F264" s="10"/>
      <c r="G264" s="10"/>
      <c r="H264" s="10"/>
    </row>
    <row r="265" spans="5:8">
      <c r="E265" s="9"/>
      <c r="F265" s="10"/>
      <c r="G265" s="10"/>
      <c r="H265" s="10"/>
    </row>
    <row r="266" spans="5:8">
      <c r="E266" s="9"/>
      <c r="F266" s="10"/>
      <c r="G266" s="10"/>
      <c r="H266" s="10"/>
    </row>
    <row r="267" spans="5:8">
      <c r="E267" s="9"/>
      <c r="F267" s="10"/>
      <c r="G267" s="10"/>
      <c r="H267" s="10"/>
    </row>
    <row r="268" spans="5:8">
      <c r="E268" s="9"/>
      <c r="F268" s="10"/>
      <c r="G268" s="10"/>
      <c r="H268" s="10"/>
    </row>
    <row r="269" spans="5:8">
      <c r="E269" s="9"/>
      <c r="F269" s="10"/>
      <c r="G269" s="10"/>
      <c r="H269" s="10"/>
    </row>
    <row r="270" spans="5:8">
      <c r="E270" s="9"/>
      <c r="F270" s="10"/>
      <c r="G270" s="10"/>
      <c r="H270" s="10"/>
    </row>
    <row r="271" spans="5:8">
      <c r="E271" s="9"/>
      <c r="F271" s="10"/>
      <c r="G271" s="10"/>
      <c r="H271" s="10"/>
    </row>
    <row r="272" spans="5:8">
      <c r="E272" s="9"/>
      <c r="F272" s="10"/>
      <c r="G272" s="10"/>
      <c r="H272" s="10"/>
    </row>
    <row r="273" spans="5:8">
      <c r="E273" s="9"/>
      <c r="F273" s="10"/>
      <c r="G273" s="10"/>
      <c r="H273" s="10"/>
    </row>
    <row r="274" spans="5:8">
      <c r="E274" s="9"/>
      <c r="F274" s="10"/>
      <c r="G274" s="10"/>
      <c r="H274" s="10"/>
    </row>
    <row r="275" spans="5:8">
      <c r="E275" s="9"/>
      <c r="F275" s="10"/>
      <c r="G275" s="10"/>
      <c r="H275" s="10"/>
    </row>
    <row r="276" spans="5:8">
      <c r="E276" s="9"/>
      <c r="F276" s="10"/>
      <c r="G276" s="10"/>
      <c r="H276" s="10"/>
    </row>
    <row r="277" spans="5:8">
      <c r="E277" s="9"/>
      <c r="F277" s="10"/>
      <c r="G277" s="10"/>
      <c r="H277" s="10"/>
    </row>
    <row r="278" spans="5:8">
      <c r="E278" s="9"/>
      <c r="F278" s="10"/>
      <c r="G278" s="10"/>
      <c r="H278" s="10"/>
    </row>
    <row r="279" spans="5:8">
      <c r="E279" s="9"/>
      <c r="F279" s="10"/>
      <c r="G279" s="10"/>
      <c r="H279" s="10"/>
    </row>
    <row r="280" spans="5:8">
      <c r="E280" s="9"/>
      <c r="F280" s="10"/>
      <c r="G280" s="10"/>
      <c r="H280" s="10"/>
    </row>
    <row r="281" spans="5:8">
      <c r="E281" s="9"/>
      <c r="F281" s="10"/>
      <c r="G281" s="10"/>
      <c r="H281" s="10"/>
    </row>
    <row r="282" spans="5:8">
      <c r="E282" s="9"/>
      <c r="F282" s="10"/>
      <c r="G282" s="10"/>
      <c r="H282" s="10"/>
    </row>
    <row r="283" spans="5:8">
      <c r="E283" s="9"/>
      <c r="F283" s="10"/>
      <c r="G283" s="10"/>
      <c r="H283" s="10"/>
    </row>
    <row r="284" spans="5:8">
      <c r="E284" s="9"/>
      <c r="F284" s="10"/>
      <c r="G284" s="10"/>
      <c r="H284" s="10"/>
    </row>
    <row r="285" spans="5:8">
      <c r="E285" s="9"/>
      <c r="F285" s="10"/>
      <c r="G285" s="10"/>
      <c r="H285" s="10"/>
    </row>
    <row r="286" spans="5:8">
      <c r="E286" s="9"/>
      <c r="F286" s="10"/>
      <c r="G286" s="10"/>
      <c r="H286" s="10"/>
    </row>
    <row r="287" spans="5:8">
      <c r="E287" s="9"/>
      <c r="F287" s="10"/>
      <c r="G287" s="10"/>
      <c r="H287" s="10"/>
    </row>
    <row r="288" spans="5:8">
      <c r="E288" s="9"/>
      <c r="F288" s="10"/>
      <c r="G288" s="10"/>
      <c r="H288" s="10"/>
    </row>
    <row r="289" spans="5:8">
      <c r="E289" s="9"/>
      <c r="F289" s="10"/>
      <c r="G289" s="10"/>
      <c r="H289" s="10"/>
    </row>
    <row r="290" spans="5:8">
      <c r="E290" s="9"/>
      <c r="F290" s="10"/>
      <c r="G290" s="10"/>
      <c r="H290" s="10"/>
    </row>
    <row r="291" spans="5:8">
      <c r="E291" s="9"/>
      <c r="F291" s="10"/>
      <c r="G291" s="10"/>
      <c r="H291" s="10"/>
    </row>
    <row r="292" spans="5:8">
      <c r="E292" s="9"/>
      <c r="F292" s="10"/>
      <c r="G292" s="10"/>
      <c r="H292" s="10"/>
    </row>
    <row r="293" spans="5:8">
      <c r="E293" s="9"/>
      <c r="F293" s="10"/>
      <c r="G293" s="10"/>
      <c r="H293" s="10"/>
    </row>
    <row r="294" spans="5:8">
      <c r="E294" s="9"/>
      <c r="F294" s="10"/>
      <c r="G294" s="10"/>
      <c r="H294" s="10"/>
    </row>
    <row r="295" spans="5:8">
      <c r="E295" s="9"/>
      <c r="F295" s="10"/>
      <c r="G295" s="10"/>
      <c r="H295" s="10"/>
    </row>
    <row r="296" spans="5:8">
      <c r="E296" s="9"/>
      <c r="F296" s="10"/>
      <c r="G296" s="10"/>
      <c r="H296" s="10"/>
    </row>
    <row r="297" spans="5:8">
      <c r="E297" s="9"/>
      <c r="F297" s="10"/>
      <c r="G297" s="10"/>
      <c r="H297" s="10"/>
    </row>
    <row r="298" spans="5:8">
      <c r="E298" s="9"/>
      <c r="F298" s="10"/>
      <c r="G298" s="10"/>
      <c r="H298" s="10"/>
    </row>
    <row r="299" spans="5:8">
      <c r="E299" s="9"/>
      <c r="F299" s="10"/>
      <c r="G299" s="10"/>
      <c r="H299" s="10"/>
    </row>
    <row r="300" spans="5:8">
      <c r="E300" s="9"/>
      <c r="F300" s="10"/>
      <c r="G300" s="10"/>
      <c r="H300" s="10"/>
    </row>
    <row r="301" spans="5:8">
      <c r="E301" s="9"/>
      <c r="F301" s="10"/>
      <c r="G301" s="10"/>
      <c r="H301" s="10"/>
    </row>
    <row r="302" spans="5:8">
      <c r="E302" s="9"/>
      <c r="F302" s="10"/>
      <c r="G302" s="10"/>
      <c r="H302" s="10"/>
    </row>
    <row r="303" spans="5:8">
      <c r="E303" s="9"/>
      <c r="F303" s="10"/>
      <c r="G303" s="10"/>
      <c r="H303" s="10"/>
    </row>
    <row r="304" spans="5:8">
      <c r="E304" s="9"/>
      <c r="F304" s="10"/>
      <c r="G304" s="10"/>
      <c r="H304" s="10"/>
    </row>
    <row r="305" spans="5:8">
      <c r="E305" s="9"/>
      <c r="F305" s="10"/>
      <c r="G305" s="10"/>
      <c r="H305" s="10"/>
    </row>
    <row r="306" spans="5:8">
      <c r="E306" s="9"/>
      <c r="F306" s="10"/>
      <c r="G306" s="10"/>
      <c r="H306" s="10"/>
    </row>
    <row r="307" spans="5:8">
      <c r="E307" s="9"/>
      <c r="F307" s="10"/>
      <c r="G307" s="10"/>
      <c r="H307" s="10"/>
    </row>
    <row r="308" spans="5:8">
      <c r="E308" s="9"/>
      <c r="F308" s="10"/>
      <c r="G308" s="10"/>
      <c r="H308" s="10"/>
    </row>
    <row r="309" spans="5:8">
      <c r="E309" s="9"/>
      <c r="F309" s="10"/>
      <c r="G309" s="10"/>
      <c r="H309" s="10"/>
    </row>
    <row r="310" spans="5:8">
      <c r="E310" s="9"/>
      <c r="F310" s="10"/>
      <c r="G310" s="10"/>
      <c r="H310" s="10"/>
    </row>
    <row r="311" spans="5:8">
      <c r="E311" s="9"/>
      <c r="F311" s="10"/>
      <c r="G311" s="10"/>
      <c r="H311" s="10"/>
    </row>
    <row r="312" spans="5:8">
      <c r="E312" s="9"/>
      <c r="F312" s="10"/>
      <c r="G312" s="10"/>
      <c r="H312" s="10"/>
    </row>
    <row r="313" spans="5:8">
      <c r="E313" s="9"/>
      <c r="F313" s="10"/>
      <c r="G313" s="10"/>
      <c r="H313" s="10"/>
    </row>
    <row r="314" spans="5:8">
      <c r="E314" s="9"/>
      <c r="F314" s="10"/>
      <c r="G314" s="10"/>
      <c r="H314" s="10"/>
    </row>
    <row r="315" spans="5:8">
      <c r="E315" s="9"/>
      <c r="F315" s="10"/>
      <c r="G315" s="10"/>
      <c r="H315" s="10"/>
    </row>
    <row r="316" spans="5:8">
      <c r="E316" s="9"/>
      <c r="F316" s="10"/>
      <c r="G316" s="10"/>
      <c r="H316" s="10"/>
    </row>
    <row r="317" spans="5:8">
      <c r="E317" s="9"/>
      <c r="F317" s="10"/>
      <c r="G317" s="10"/>
      <c r="H317" s="10"/>
    </row>
    <row r="318" spans="5:8">
      <c r="E318" s="9"/>
      <c r="F318" s="10"/>
      <c r="G318" s="10"/>
      <c r="H318" s="10"/>
    </row>
    <row r="319" spans="5:8">
      <c r="E319" s="9"/>
      <c r="F319" s="10"/>
      <c r="G319" s="10"/>
      <c r="H319" s="10"/>
    </row>
    <row r="320" spans="5:8">
      <c r="E320" s="9"/>
      <c r="F320" s="10"/>
      <c r="G320" s="10"/>
      <c r="H320" s="10"/>
    </row>
    <row r="321" spans="5:8">
      <c r="E321" s="9"/>
      <c r="F321" s="10"/>
      <c r="G321" s="10"/>
      <c r="H321" s="10"/>
    </row>
    <row r="322" spans="5:8">
      <c r="E322" s="9"/>
      <c r="F322" s="10"/>
      <c r="G322" s="10"/>
      <c r="H322" s="10"/>
    </row>
    <row r="323" spans="5:8">
      <c r="E323" s="9"/>
      <c r="F323" s="10"/>
      <c r="G323" s="10"/>
      <c r="H323" s="10"/>
    </row>
    <row r="324" spans="5:8">
      <c r="E324" s="9"/>
      <c r="F324" s="10"/>
      <c r="G324" s="10"/>
      <c r="H324" s="10"/>
    </row>
    <row r="325" spans="5:8">
      <c r="E325" s="9"/>
      <c r="F325" s="10"/>
      <c r="G325" s="10"/>
      <c r="H325" s="10"/>
    </row>
    <row r="326" spans="5:8">
      <c r="E326" s="9"/>
      <c r="F326" s="10"/>
      <c r="G326" s="10"/>
      <c r="H326" s="10"/>
    </row>
    <row r="327" spans="5:8">
      <c r="E327" s="9"/>
      <c r="F327" s="10"/>
      <c r="G327" s="10"/>
      <c r="H327" s="10"/>
    </row>
    <row r="328" spans="5:8">
      <c r="E328" s="9"/>
      <c r="F328" s="10"/>
      <c r="G328" s="10"/>
      <c r="H328" s="10"/>
    </row>
    <row r="329" spans="5:8">
      <c r="E329" s="9"/>
      <c r="F329" s="10"/>
      <c r="G329" s="10"/>
      <c r="H329" s="10"/>
    </row>
    <row r="330" spans="5:8">
      <c r="E330" s="9"/>
      <c r="F330" s="10"/>
      <c r="G330" s="10"/>
      <c r="H330" s="10"/>
    </row>
    <row r="331" spans="5:8">
      <c r="E331" s="9"/>
      <c r="F331" s="10"/>
      <c r="G331" s="10"/>
      <c r="H331" s="10"/>
    </row>
    <row r="332" spans="5:8">
      <c r="E332" s="9"/>
      <c r="F332" s="10"/>
      <c r="G332" s="10"/>
      <c r="H332" s="10"/>
    </row>
    <row r="333" spans="5:8">
      <c r="E333" s="9"/>
      <c r="F333" s="10"/>
      <c r="G333" s="10"/>
      <c r="H333" s="10"/>
    </row>
    <row r="334" spans="5:8">
      <c r="E334" s="9"/>
      <c r="F334" s="10"/>
      <c r="G334" s="10"/>
      <c r="H334" s="10"/>
    </row>
    <row r="335" spans="5:8">
      <c r="E335" s="9"/>
      <c r="F335" s="10"/>
      <c r="G335" s="10"/>
      <c r="H335" s="10"/>
    </row>
    <row r="336" spans="5:8">
      <c r="E336" s="9"/>
      <c r="F336" s="10"/>
      <c r="G336" s="10"/>
      <c r="H336" s="10"/>
    </row>
    <row r="337" spans="5:8">
      <c r="E337" s="9"/>
      <c r="F337" s="10"/>
      <c r="G337" s="10"/>
      <c r="H337" s="10"/>
    </row>
    <row r="338" spans="5:8">
      <c r="E338" s="9"/>
      <c r="F338" s="10"/>
      <c r="G338" s="10"/>
      <c r="H338" s="10"/>
    </row>
    <row r="339" spans="5:8">
      <c r="E339" s="9"/>
      <c r="F339" s="10"/>
      <c r="G339" s="10"/>
      <c r="H339" s="10"/>
    </row>
    <row r="340" spans="5:8">
      <c r="E340" s="9"/>
      <c r="F340" s="10"/>
      <c r="G340" s="10"/>
      <c r="H340" s="10"/>
    </row>
    <row r="341" spans="5:8">
      <c r="E341" s="9"/>
      <c r="F341" s="10"/>
      <c r="G341" s="10"/>
      <c r="H341" s="10"/>
    </row>
    <row r="342" spans="5:8">
      <c r="E342" s="9"/>
      <c r="F342" s="10"/>
      <c r="G342" s="10"/>
      <c r="H342" s="10"/>
    </row>
    <row r="343" spans="5:8">
      <c r="E343" s="9"/>
      <c r="F343" s="10"/>
      <c r="G343" s="10"/>
      <c r="H343" s="10"/>
    </row>
    <row r="344" spans="5:8">
      <c r="E344" s="9"/>
      <c r="F344" s="10"/>
      <c r="G344" s="10"/>
      <c r="H344" s="10"/>
    </row>
    <row r="345" spans="5:8">
      <c r="E345" s="9"/>
      <c r="F345" s="10"/>
      <c r="G345" s="10"/>
      <c r="H345" s="10"/>
    </row>
    <row r="346" spans="5:8">
      <c r="E346" s="9"/>
      <c r="F346" s="10"/>
      <c r="G346" s="10"/>
      <c r="H346" s="10"/>
    </row>
    <row r="347" spans="5:8">
      <c r="E347" s="9"/>
      <c r="F347" s="10"/>
      <c r="G347" s="10"/>
      <c r="H347" s="10"/>
    </row>
    <row r="348" spans="5:8">
      <c r="E348" s="9"/>
      <c r="F348" s="10"/>
      <c r="G348" s="10"/>
      <c r="H348" s="10"/>
    </row>
    <row r="349" spans="5:8">
      <c r="E349" s="9"/>
      <c r="F349" s="10"/>
      <c r="G349" s="10"/>
      <c r="H349" s="10"/>
    </row>
    <row r="350" spans="5:8">
      <c r="E350" s="9"/>
      <c r="F350" s="10"/>
      <c r="G350" s="10"/>
      <c r="H350" s="10"/>
    </row>
    <row r="351" spans="5:8">
      <c r="E351" s="9"/>
      <c r="F351" s="10"/>
      <c r="G351" s="10"/>
      <c r="H351" s="10"/>
    </row>
    <row r="352" spans="5:8">
      <c r="E352" s="9"/>
      <c r="F352" s="10"/>
      <c r="G352" s="10"/>
      <c r="H352" s="10"/>
    </row>
    <row r="353" spans="5:8">
      <c r="E353" s="9"/>
      <c r="F353" s="10"/>
      <c r="G353" s="10"/>
      <c r="H353" s="10"/>
    </row>
    <row r="354" spans="5:8">
      <c r="E354" s="9"/>
      <c r="F354" s="10"/>
      <c r="G354" s="10"/>
      <c r="H354" s="10"/>
    </row>
    <row r="355" spans="5:8">
      <c r="E355" s="9"/>
      <c r="F355" s="10"/>
      <c r="G355" s="10"/>
      <c r="H355" s="10"/>
    </row>
    <row r="356" spans="5:8">
      <c r="E356" s="9"/>
      <c r="F356" s="10"/>
      <c r="G356" s="10"/>
      <c r="H356" s="10"/>
    </row>
    <row r="357" spans="5:8">
      <c r="E357" s="9"/>
      <c r="F357" s="10"/>
      <c r="G357" s="10"/>
      <c r="H357" s="10"/>
    </row>
    <row r="358" spans="5:8">
      <c r="E358" s="9"/>
      <c r="F358" s="10"/>
      <c r="G358" s="10"/>
      <c r="H358" s="10"/>
    </row>
    <row r="359" spans="5:8">
      <c r="E359" s="9"/>
      <c r="F359" s="10"/>
      <c r="G359" s="10"/>
      <c r="H359" s="10"/>
    </row>
    <row r="360" spans="5:8">
      <c r="E360" s="9"/>
      <c r="F360" s="10"/>
      <c r="G360" s="10"/>
      <c r="H360" s="10"/>
    </row>
    <row r="361" spans="5:8">
      <c r="E361" s="9"/>
      <c r="F361" s="10"/>
      <c r="G361" s="10"/>
      <c r="H361" s="10"/>
    </row>
    <row r="362" spans="5:8">
      <c r="E362" s="9"/>
      <c r="F362" s="10"/>
      <c r="G362" s="10"/>
      <c r="H362" s="10"/>
    </row>
    <row r="363" spans="5:8">
      <c r="E363" s="9"/>
      <c r="F363" s="10"/>
      <c r="G363" s="10"/>
      <c r="H363" s="10"/>
    </row>
    <row r="364" spans="5:8">
      <c r="E364" s="9"/>
      <c r="F364" s="10"/>
      <c r="G364" s="10"/>
      <c r="H364" s="10"/>
    </row>
    <row r="365" spans="5:8">
      <c r="E365" s="9"/>
      <c r="F365" s="10"/>
      <c r="G365" s="10"/>
      <c r="H365" s="10"/>
    </row>
    <row r="366" spans="5:8">
      <c r="E366" s="9"/>
      <c r="F366" s="10"/>
      <c r="G366" s="10"/>
      <c r="H366" s="10"/>
    </row>
    <row r="367" spans="5:8">
      <c r="E367" s="9"/>
      <c r="F367" s="10"/>
      <c r="G367" s="10"/>
      <c r="H367" s="10"/>
    </row>
    <row r="368" spans="5:8">
      <c r="E368" s="9"/>
      <c r="F368" s="10"/>
      <c r="G368" s="10"/>
      <c r="H368" s="10"/>
    </row>
    <row r="369" spans="5:8">
      <c r="E369" s="9"/>
      <c r="F369" s="10"/>
      <c r="G369" s="10"/>
      <c r="H369" s="10"/>
    </row>
    <row r="370" spans="5:8">
      <c r="E370" s="9"/>
      <c r="F370" s="10"/>
      <c r="G370" s="10"/>
      <c r="H370" s="10"/>
    </row>
    <row r="371" spans="5:8">
      <c r="E371" s="9"/>
      <c r="F371" s="10"/>
      <c r="G371" s="10"/>
      <c r="H371" s="10"/>
    </row>
    <row r="372" spans="5:8">
      <c r="E372" s="9"/>
      <c r="F372" s="10"/>
      <c r="G372" s="10"/>
      <c r="H372" s="10"/>
    </row>
    <row r="373" spans="5:8">
      <c r="E373" s="9"/>
      <c r="F373" s="10"/>
      <c r="G373" s="10"/>
      <c r="H373" s="10"/>
    </row>
    <row r="374" spans="5:8">
      <c r="E374" s="9"/>
      <c r="F374" s="10"/>
      <c r="G374" s="10"/>
      <c r="H374" s="10"/>
    </row>
    <row r="375" spans="5:8">
      <c r="E375" s="9"/>
      <c r="F375" s="10"/>
      <c r="G375" s="10"/>
      <c r="H375" s="10"/>
    </row>
    <row r="376" spans="5:8">
      <c r="E376" s="9"/>
      <c r="F376" s="10"/>
      <c r="G376" s="10"/>
      <c r="H376" s="10"/>
    </row>
    <row r="377" spans="5:8">
      <c r="E377" s="9"/>
      <c r="F377" s="10"/>
      <c r="G377" s="10"/>
      <c r="H377" s="10"/>
    </row>
    <row r="378" spans="5:8">
      <c r="E378" s="9"/>
      <c r="F378" s="10"/>
      <c r="G378" s="10"/>
      <c r="H378" s="10"/>
    </row>
    <row r="379" spans="5:8">
      <c r="E379" s="9"/>
      <c r="F379" s="10"/>
      <c r="G379" s="10"/>
      <c r="H379" s="10"/>
    </row>
    <row r="380" spans="5:8">
      <c r="E380" s="9"/>
      <c r="F380" s="10"/>
      <c r="G380" s="10"/>
      <c r="H380" s="10"/>
    </row>
    <row r="381" spans="5:8">
      <c r="E381" s="9"/>
      <c r="F381" s="10"/>
      <c r="G381" s="10"/>
      <c r="H381" s="10"/>
    </row>
    <row r="382" spans="5:8">
      <c r="E382" s="9"/>
      <c r="F382" s="10"/>
      <c r="G382" s="10"/>
      <c r="H382" s="10"/>
    </row>
    <row r="383" spans="5:8">
      <c r="E383" s="9"/>
      <c r="F383" s="10"/>
      <c r="G383" s="10"/>
      <c r="H383" s="10"/>
    </row>
    <row r="384" spans="5:8">
      <c r="E384" s="9"/>
      <c r="F384" s="10"/>
      <c r="G384" s="10"/>
      <c r="H384" s="10"/>
    </row>
    <row r="385" spans="5:8">
      <c r="E385" s="9"/>
      <c r="F385" s="10"/>
      <c r="G385" s="10"/>
      <c r="H385" s="10"/>
    </row>
    <row r="386" spans="5:8">
      <c r="E386" s="9"/>
      <c r="F386" s="10"/>
      <c r="G386" s="10"/>
      <c r="H386" s="10"/>
    </row>
    <row r="387" spans="5:8">
      <c r="E387" s="9"/>
      <c r="F387" s="10"/>
      <c r="G387" s="10"/>
      <c r="H387" s="10"/>
    </row>
    <row r="388" spans="5:8">
      <c r="E388" s="9"/>
      <c r="F388" s="10"/>
      <c r="G388" s="10"/>
      <c r="H388" s="10"/>
    </row>
    <row r="389" spans="5:8">
      <c r="E389" s="9"/>
      <c r="F389" s="10"/>
      <c r="G389" s="10"/>
      <c r="H389" s="10"/>
    </row>
    <row r="390" spans="5:8">
      <c r="E390" s="9"/>
      <c r="F390" s="10"/>
      <c r="G390" s="10"/>
      <c r="H390" s="10"/>
    </row>
    <row r="391" spans="5:8">
      <c r="E391" s="9"/>
      <c r="F391" s="10"/>
      <c r="G391" s="10"/>
      <c r="H391" s="10"/>
    </row>
    <row r="392" spans="5:8">
      <c r="E392" s="9"/>
      <c r="F392" s="10"/>
      <c r="G392" s="10"/>
      <c r="H392" s="10"/>
    </row>
    <row r="393" spans="5:8">
      <c r="E393" s="9"/>
      <c r="F393" s="10"/>
      <c r="G393" s="10"/>
      <c r="H393" s="10"/>
    </row>
    <row r="394" spans="5:8">
      <c r="E394" s="9"/>
      <c r="F394" s="10"/>
      <c r="G394" s="10"/>
      <c r="H394" s="10"/>
    </row>
    <row r="395" spans="5:8">
      <c r="E395" s="9"/>
      <c r="F395" s="10"/>
      <c r="G395" s="10"/>
      <c r="H395" s="10"/>
    </row>
    <row r="396" spans="5:8">
      <c r="E396" s="9"/>
      <c r="F396" s="10"/>
      <c r="G396" s="10"/>
      <c r="H396" s="10"/>
    </row>
    <row r="397" spans="5:8">
      <c r="E397" s="9"/>
      <c r="F397" s="10"/>
      <c r="G397" s="10"/>
      <c r="H397" s="10"/>
    </row>
    <row r="398" spans="5:8">
      <c r="E398" s="9"/>
      <c r="F398" s="10"/>
      <c r="G398" s="10"/>
      <c r="H398" s="10"/>
    </row>
    <row r="399" spans="5:8">
      <c r="E399" s="9"/>
      <c r="F399" s="10"/>
      <c r="G399" s="10"/>
      <c r="H399" s="10"/>
    </row>
    <row r="400" spans="5:8">
      <c r="E400" s="9"/>
      <c r="F400" s="10"/>
      <c r="G400" s="10"/>
      <c r="H400" s="10"/>
    </row>
    <row r="401" spans="5:8">
      <c r="E401" s="9"/>
      <c r="F401" s="10"/>
      <c r="G401" s="10"/>
      <c r="H401" s="10"/>
    </row>
    <row r="402" spans="5:8">
      <c r="E402" s="9"/>
      <c r="F402" s="10"/>
      <c r="G402" s="10"/>
      <c r="H402" s="10"/>
    </row>
    <row r="403" spans="5:8">
      <c r="E403" s="9"/>
      <c r="F403" s="10"/>
      <c r="G403" s="10"/>
      <c r="H403" s="10"/>
    </row>
    <row r="404" spans="5:8">
      <c r="E404" s="9"/>
      <c r="F404" s="10"/>
      <c r="G404" s="10"/>
      <c r="H404" s="10"/>
    </row>
    <row r="405" spans="5:8">
      <c r="E405" s="9"/>
      <c r="F405" s="10"/>
      <c r="G405" s="10"/>
      <c r="H405" s="10"/>
    </row>
    <row r="406" spans="5:8">
      <c r="E406" s="9"/>
      <c r="F406" s="10"/>
      <c r="G406" s="10"/>
      <c r="H406" s="10"/>
    </row>
    <row r="407" spans="5:8">
      <c r="E407" s="9"/>
      <c r="F407" s="10"/>
      <c r="G407" s="10"/>
      <c r="H407" s="10"/>
    </row>
    <row r="408" spans="5:8">
      <c r="E408" s="9"/>
      <c r="F408" s="10"/>
      <c r="G408" s="10"/>
      <c r="H408" s="10"/>
    </row>
    <row r="409" spans="5:8">
      <c r="E409" s="9"/>
      <c r="F409" s="10"/>
      <c r="G409" s="10"/>
      <c r="H409" s="10"/>
    </row>
    <row r="410" spans="5:8">
      <c r="E410" s="9"/>
      <c r="F410" s="10"/>
      <c r="G410" s="10"/>
      <c r="H410" s="10"/>
    </row>
    <row r="411" spans="5:8">
      <c r="E411" s="9"/>
      <c r="F411" s="10"/>
      <c r="G411" s="10"/>
      <c r="H411" s="10"/>
    </row>
    <row r="412" spans="5:8">
      <c r="E412" s="9"/>
      <c r="F412" s="10"/>
      <c r="G412" s="10"/>
      <c r="H412" s="10"/>
    </row>
    <row r="413" spans="5:8">
      <c r="E413" s="9"/>
      <c r="F413" s="10"/>
      <c r="G413" s="10"/>
      <c r="H413" s="10"/>
    </row>
    <row r="414" spans="5:8">
      <c r="E414" s="9"/>
      <c r="F414" s="10"/>
      <c r="G414" s="10"/>
      <c r="H414" s="10"/>
    </row>
    <row r="415" spans="5:8">
      <c r="E415" s="9"/>
      <c r="F415" s="10"/>
      <c r="G415" s="10"/>
      <c r="H415" s="10"/>
    </row>
    <row r="416" spans="5:8">
      <c r="E416" s="9"/>
      <c r="F416" s="10"/>
      <c r="G416" s="10"/>
      <c r="H416" s="10"/>
    </row>
    <row r="417" spans="5:8">
      <c r="E417" s="9"/>
      <c r="F417" s="10"/>
      <c r="G417" s="10"/>
      <c r="H417" s="10"/>
    </row>
    <row r="418" spans="5:8">
      <c r="E418" s="9"/>
      <c r="F418" s="10"/>
      <c r="G418" s="10"/>
      <c r="H418" s="10"/>
    </row>
    <row r="419" spans="5:8">
      <c r="E419" s="9"/>
      <c r="F419" s="10"/>
      <c r="G419" s="10"/>
      <c r="H419" s="10"/>
    </row>
    <row r="420" spans="5:8">
      <c r="E420" s="9"/>
      <c r="F420" s="10"/>
      <c r="G420" s="10"/>
      <c r="H420" s="10"/>
    </row>
    <row r="421" spans="5:8">
      <c r="E421" s="9"/>
      <c r="F421" s="10"/>
      <c r="G421" s="10"/>
      <c r="H421" s="10"/>
    </row>
    <row r="422" spans="5:8">
      <c r="E422" s="9"/>
      <c r="F422" s="10"/>
      <c r="G422" s="10"/>
      <c r="H422" s="10"/>
    </row>
    <row r="423" spans="5:8">
      <c r="E423" s="9"/>
      <c r="F423" s="10"/>
      <c r="G423" s="10"/>
      <c r="H423" s="10"/>
    </row>
    <row r="424" spans="5:8">
      <c r="E424" s="9"/>
      <c r="F424" s="10"/>
      <c r="G424" s="10"/>
      <c r="H424" s="10"/>
    </row>
    <row r="425" spans="5:8">
      <c r="E425" s="9"/>
      <c r="F425" s="10"/>
      <c r="G425" s="10"/>
      <c r="H425" s="10"/>
    </row>
    <row r="426" spans="5:8">
      <c r="E426" s="9"/>
      <c r="F426" s="10"/>
      <c r="G426" s="10"/>
      <c r="H426" s="10"/>
    </row>
    <row r="427" spans="5:8">
      <c r="E427" s="9"/>
      <c r="F427" s="10"/>
      <c r="G427" s="10"/>
      <c r="H427" s="10"/>
    </row>
    <row r="428" spans="5:8">
      <c r="E428" s="9"/>
      <c r="F428" s="10"/>
      <c r="G428" s="10"/>
      <c r="H428" s="10"/>
    </row>
    <row r="429" spans="5:8">
      <c r="E429" s="9"/>
      <c r="F429" s="10"/>
      <c r="G429" s="10"/>
      <c r="H429" s="10"/>
    </row>
    <row r="430" spans="5:8">
      <c r="E430" s="9"/>
      <c r="F430" s="10"/>
      <c r="G430" s="10"/>
      <c r="H430" s="10"/>
    </row>
    <row r="431" spans="5:8">
      <c r="E431" s="9"/>
      <c r="F431" s="10"/>
      <c r="G431" s="10"/>
      <c r="H431" s="10"/>
    </row>
    <row r="432" spans="5:8">
      <c r="E432" s="9"/>
      <c r="F432" s="10"/>
      <c r="G432" s="10"/>
      <c r="H432" s="10"/>
    </row>
    <row r="433" spans="5:8">
      <c r="E433" s="9"/>
      <c r="F433" s="10"/>
      <c r="G433" s="10"/>
      <c r="H433" s="10"/>
    </row>
    <row r="434" spans="5:8">
      <c r="E434" s="9"/>
      <c r="F434" s="10"/>
      <c r="G434" s="10"/>
      <c r="H434" s="10"/>
    </row>
    <row r="435" spans="5:8">
      <c r="E435" s="9"/>
      <c r="F435" s="10"/>
      <c r="G435" s="10"/>
      <c r="H435" s="10"/>
    </row>
    <row r="436" spans="5:8">
      <c r="E436" s="9"/>
      <c r="F436" s="10"/>
      <c r="G436" s="10"/>
      <c r="H436" s="10"/>
    </row>
    <row r="437" spans="5:8">
      <c r="E437" s="9"/>
      <c r="F437" s="10"/>
      <c r="G437" s="10"/>
      <c r="H437" s="10"/>
    </row>
    <row r="438" spans="5:8">
      <c r="E438" s="9"/>
      <c r="F438" s="10"/>
      <c r="G438" s="10"/>
      <c r="H438" s="10"/>
    </row>
    <row r="439" spans="5:8">
      <c r="E439" s="9"/>
      <c r="F439" s="10"/>
      <c r="G439" s="10"/>
      <c r="H439" s="10"/>
    </row>
    <row r="440" spans="5:8">
      <c r="E440" s="9"/>
      <c r="F440" s="10"/>
      <c r="G440" s="10"/>
      <c r="H440" s="10"/>
    </row>
    <row r="441" spans="5:8">
      <c r="E441" s="9"/>
      <c r="F441" s="10"/>
      <c r="G441" s="10"/>
      <c r="H441" s="10"/>
    </row>
    <row r="442" spans="5:8">
      <c r="E442" s="9"/>
      <c r="F442" s="10"/>
      <c r="G442" s="10"/>
      <c r="H442" s="10"/>
    </row>
    <row r="443" spans="5:8">
      <c r="E443" s="9"/>
      <c r="F443" s="10"/>
      <c r="G443" s="10"/>
      <c r="H443" s="10"/>
    </row>
    <row r="444" spans="5:8">
      <c r="E444" s="9"/>
      <c r="F444" s="10"/>
      <c r="G444" s="10"/>
      <c r="H444" s="10"/>
    </row>
    <row r="445" spans="5:8">
      <c r="E445" s="9"/>
      <c r="F445" s="10"/>
      <c r="G445" s="10"/>
      <c r="H445" s="10"/>
    </row>
    <row r="446" spans="5:8">
      <c r="E446" s="9"/>
      <c r="F446" s="10"/>
      <c r="G446" s="10"/>
      <c r="H446" s="10"/>
    </row>
    <row r="447" spans="5:8">
      <c r="E447" s="9"/>
      <c r="F447" s="10"/>
      <c r="G447" s="10"/>
      <c r="H447" s="10"/>
    </row>
    <row r="448" spans="5:8">
      <c r="E448" s="9"/>
      <c r="F448" s="10"/>
      <c r="G448" s="10"/>
      <c r="H448" s="10"/>
    </row>
    <row r="449" spans="5:8">
      <c r="E449" s="9"/>
      <c r="F449" s="10"/>
      <c r="G449" s="10"/>
      <c r="H449" s="10"/>
    </row>
    <row r="450" spans="5:8">
      <c r="E450" s="9"/>
      <c r="F450" s="10"/>
      <c r="G450" s="10"/>
      <c r="H450" s="10"/>
    </row>
    <row r="451" spans="5:8">
      <c r="E451" s="9"/>
      <c r="F451" s="10"/>
      <c r="G451" s="10"/>
      <c r="H451" s="10"/>
    </row>
    <row r="452" spans="5:8">
      <c r="E452" s="9"/>
      <c r="F452" s="10"/>
      <c r="G452" s="10"/>
      <c r="H452" s="10"/>
    </row>
    <row r="453" spans="5:8">
      <c r="E453" s="9"/>
      <c r="F453" s="10"/>
      <c r="G453" s="10"/>
      <c r="H453" s="10"/>
    </row>
    <row r="454" spans="5:8">
      <c r="E454" s="9"/>
      <c r="F454" s="10"/>
      <c r="G454" s="10"/>
      <c r="H454" s="10"/>
    </row>
    <row r="455" spans="5:8">
      <c r="E455" s="9"/>
      <c r="F455" s="10"/>
      <c r="G455" s="10"/>
      <c r="H455" s="10"/>
    </row>
    <row r="456" spans="5:8">
      <c r="E456" s="9"/>
      <c r="F456" s="10"/>
      <c r="G456" s="10"/>
      <c r="H456" s="10"/>
    </row>
    <row r="457" spans="5:8">
      <c r="E457" s="9"/>
      <c r="F457" s="10"/>
      <c r="G457" s="10"/>
      <c r="H457" s="10"/>
    </row>
    <row r="458" spans="5:8">
      <c r="E458" s="9"/>
      <c r="F458" s="10"/>
      <c r="G458" s="10"/>
      <c r="H458" s="10"/>
    </row>
    <row r="459" spans="5:8">
      <c r="E459" s="9"/>
      <c r="F459" s="10"/>
      <c r="G459" s="10"/>
      <c r="H459" s="10"/>
    </row>
    <row r="460" spans="5:8">
      <c r="E460" s="9"/>
      <c r="F460" s="10"/>
      <c r="G460" s="10"/>
      <c r="H460" s="10"/>
    </row>
    <row r="461" spans="5:8">
      <c r="E461" s="9"/>
      <c r="F461" s="10"/>
      <c r="G461" s="10"/>
      <c r="H461" s="10"/>
    </row>
    <row r="462" spans="5:8">
      <c r="E462" s="9"/>
      <c r="F462" s="10"/>
      <c r="G462" s="10"/>
      <c r="H462" s="10"/>
    </row>
    <row r="463" spans="5:8">
      <c r="E463" s="9"/>
      <c r="F463" s="10"/>
      <c r="G463" s="10"/>
      <c r="H463" s="10"/>
    </row>
    <row r="464" spans="5:8">
      <c r="E464" s="9"/>
      <c r="F464" s="10"/>
      <c r="G464" s="10"/>
      <c r="H464" s="10"/>
    </row>
    <row r="465" spans="5:8">
      <c r="E465" s="9"/>
      <c r="F465" s="10"/>
      <c r="G465" s="10"/>
      <c r="H465" s="10"/>
    </row>
    <row r="466" spans="5:8">
      <c r="E466" s="9"/>
      <c r="F466" s="10"/>
      <c r="G466" s="10"/>
      <c r="H466" s="10"/>
    </row>
    <row r="467" spans="5:8">
      <c r="E467" s="9"/>
      <c r="F467" s="10"/>
      <c r="G467" s="10"/>
      <c r="H467" s="10"/>
    </row>
    <row r="468" spans="5:8">
      <c r="E468" s="9"/>
      <c r="F468" s="10"/>
      <c r="G468" s="10"/>
      <c r="H468" s="10"/>
    </row>
    <row r="469" spans="5:8">
      <c r="E469" s="9"/>
      <c r="F469" s="10"/>
      <c r="G469" s="10"/>
      <c r="H469" s="10"/>
    </row>
    <row r="470" spans="5:8">
      <c r="E470" s="9"/>
      <c r="F470" s="10"/>
      <c r="G470" s="10"/>
      <c r="H470" s="10"/>
    </row>
    <row r="471" spans="5:8">
      <c r="E471" s="9"/>
      <c r="F471" s="10"/>
      <c r="G471" s="10"/>
      <c r="H471" s="10"/>
    </row>
    <row r="472" spans="5:8">
      <c r="E472" s="9"/>
      <c r="F472" s="10"/>
      <c r="G472" s="10"/>
      <c r="H472" s="10"/>
    </row>
    <row r="473" spans="5:8">
      <c r="E473" s="9"/>
      <c r="F473" s="10"/>
      <c r="G473" s="10"/>
      <c r="H473" s="10"/>
    </row>
    <row r="474" spans="5:8">
      <c r="E474" s="9"/>
      <c r="F474" s="10"/>
      <c r="G474" s="10"/>
      <c r="H474" s="10"/>
    </row>
    <row r="475" spans="5:8">
      <c r="E475" s="9"/>
      <c r="F475" s="10"/>
      <c r="G475" s="10"/>
      <c r="H475" s="10"/>
    </row>
    <row r="476" spans="5:8">
      <c r="E476" s="9"/>
      <c r="F476" s="10"/>
      <c r="G476" s="10"/>
      <c r="H476" s="10"/>
    </row>
    <row r="477" spans="5:8">
      <c r="E477" s="9"/>
      <c r="F477" s="10"/>
      <c r="G477" s="10"/>
      <c r="H477" s="10"/>
    </row>
    <row r="478" spans="5:8">
      <c r="E478" s="9"/>
      <c r="F478" s="10"/>
      <c r="G478" s="10"/>
      <c r="H478" s="10"/>
    </row>
    <row r="479" spans="5:8">
      <c r="E479" s="9"/>
      <c r="F479" s="10"/>
      <c r="G479" s="10"/>
      <c r="H479" s="10"/>
    </row>
    <row r="480" spans="5:8">
      <c r="E480" s="9"/>
      <c r="F480" s="10"/>
      <c r="G480" s="10"/>
      <c r="H480" s="10"/>
    </row>
    <row r="481" spans="5:8">
      <c r="E481" s="9"/>
      <c r="F481" s="10"/>
      <c r="G481" s="10"/>
      <c r="H481" s="10"/>
    </row>
    <row r="482" spans="5:8">
      <c r="E482" s="9"/>
      <c r="F482" s="10"/>
      <c r="G482" s="10"/>
      <c r="H482" s="10"/>
    </row>
    <row r="483" spans="5:8">
      <c r="E483" s="9"/>
      <c r="F483" s="10"/>
      <c r="G483" s="10"/>
      <c r="H483" s="10"/>
    </row>
    <row r="484" spans="5:8">
      <c r="E484" s="9"/>
      <c r="F484" s="10"/>
      <c r="G484" s="10"/>
      <c r="H484" s="10"/>
    </row>
    <row r="485" spans="5:8">
      <c r="E485" s="9"/>
      <c r="F485" s="10"/>
      <c r="G485" s="10"/>
      <c r="H485" s="10"/>
    </row>
    <row r="486" spans="5:8">
      <c r="E486" s="9"/>
      <c r="F486" s="10"/>
      <c r="G486" s="10"/>
      <c r="H486" s="10"/>
    </row>
    <row r="487" spans="5:8">
      <c r="E487" s="9"/>
      <c r="F487" s="10"/>
      <c r="G487" s="10"/>
      <c r="H487" s="10"/>
    </row>
    <row r="488" spans="5:8">
      <c r="E488" s="9"/>
      <c r="F488" s="10"/>
      <c r="G488" s="10"/>
      <c r="H488" s="10"/>
    </row>
    <row r="489" spans="5:8">
      <c r="E489" s="9"/>
      <c r="F489" s="10"/>
      <c r="G489" s="10"/>
      <c r="H489" s="10"/>
    </row>
    <row r="490" spans="5:8">
      <c r="E490" s="9"/>
      <c r="F490" s="10"/>
      <c r="G490" s="10"/>
      <c r="H490" s="10"/>
    </row>
    <row r="491" spans="5:8">
      <c r="E491" s="9"/>
      <c r="F491" s="10"/>
      <c r="G491" s="10"/>
      <c r="H491" s="10"/>
    </row>
    <row r="492" spans="5:8">
      <c r="E492" s="9"/>
      <c r="F492" s="10"/>
      <c r="G492" s="10"/>
      <c r="H492" s="10"/>
    </row>
    <row r="493" spans="5:8">
      <c r="E493" s="9"/>
      <c r="F493" s="10"/>
      <c r="G493" s="10"/>
      <c r="H493" s="10"/>
    </row>
    <row r="494" spans="5:8">
      <c r="E494" s="9"/>
      <c r="F494" s="10"/>
      <c r="G494" s="10"/>
      <c r="H494" s="10"/>
    </row>
    <row r="495" spans="5:8">
      <c r="E495" s="9"/>
      <c r="F495" s="10"/>
      <c r="G495" s="10"/>
      <c r="H495" s="10"/>
    </row>
    <row r="496" spans="5:8">
      <c r="E496" s="9"/>
      <c r="F496" s="10"/>
      <c r="G496" s="10"/>
      <c r="H496" s="10"/>
    </row>
    <row r="497" spans="5:8">
      <c r="E497" s="9"/>
      <c r="F497" s="10"/>
      <c r="G497" s="10"/>
      <c r="H497" s="10"/>
    </row>
    <row r="498" spans="5:8">
      <c r="E498" s="9"/>
      <c r="F498" s="10"/>
      <c r="G498" s="10"/>
      <c r="H498" s="10"/>
    </row>
    <row r="499" spans="5:8">
      <c r="E499" s="9"/>
      <c r="F499" s="10"/>
      <c r="G499" s="10"/>
      <c r="H499" s="10"/>
    </row>
    <row r="500" spans="5:8">
      <c r="E500" s="9"/>
      <c r="F500" s="10"/>
      <c r="G500" s="10"/>
      <c r="H500" s="10"/>
    </row>
    <row r="501" spans="5:8">
      <c r="E501" s="9"/>
      <c r="F501" s="10"/>
      <c r="G501" s="10"/>
      <c r="H501" s="10"/>
    </row>
    <row r="502" spans="5:8">
      <c r="E502" s="9"/>
      <c r="F502" s="10"/>
      <c r="G502" s="10"/>
      <c r="H502" s="10"/>
    </row>
    <row r="503" spans="5:8">
      <c r="E503" s="9"/>
      <c r="F503" s="10"/>
      <c r="G503" s="10"/>
      <c r="H503" s="10"/>
    </row>
    <row r="504" spans="5:8">
      <c r="E504" s="9"/>
      <c r="F504" s="10"/>
      <c r="G504" s="10"/>
      <c r="H504" s="10"/>
    </row>
    <row r="505" spans="5:8">
      <c r="E505" s="9"/>
      <c r="F505" s="10"/>
      <c r="G505" s="10"/>
      <c r="H505" s="10"/>
    </row>
    <row r="506" spans="5:8">
      <c r="E506" s="9"/>
      <c r="F506" s="10"/>
      <c r="G506" s="10"/>
      <c r="H506" s="10"/>
    </row>
    <row r="507" spans="5:8">
      <c r="E507" s="9"/>
      <c r="F507" s="10"/>
      <c r="G507" s="10"/>
      <c r="H507" s="10"/>
    </row>
    <row r="508" spans="5:8">
      <c r="E508" s="9"/>
      <c r="F508" s="10"/>
      <c r="G508" s="10"/>
      <c r="H508" s="10"/>
    </row>
    <row r="509" spans="5:8">
      <c r="E509" s="9"/>
      <c r="F509" s="10"/>
      <c r="G509" s="10"/>
      <c r="H509" s="10"/>
    </row>
    <row r="510" spans="5:8">
      <c r="E510" s="9"/>
      <c r="F510" s="10"/>
      <c r="G510" s="10"/>
      <c r="H510" s="10"/>
    </row>
    <row r="511" spans="5:8">
      <c r="E511" s="9"/>
      <c r="F511" s="10"/>
      <c r="G511" s="10"/>
      <c r="H511" s="10"/>
    </row>
    <row r="512" spans="5:8">
      <c r="E512" s="9"/>
      <c r="F512" s="10"/>
      <c r="G512" s="10"/>
      <c r="H512" s="10"/>
    </row>
    <row r="513" spans="5:8">
      <c r="E513" s="9"/>
      <c r="F513" s="10"/>
      <c r="G513" s="10"/>
      <c r="H513" s="10"/>
    </row>
    <row r="514" spans="5:8">
      <c r="E514" s="9"/>
      <c r="F514" s="10"/>
      <c r="G514" s="10"/>
      <c r="H514" s="10"/>
    </row>
    <row r="515" spans="5:8">
      <c r="E515" s="9"/>
      <c r="F515" s="10"/>
      <c r="G515" s="10"/>
      <c r="H515" s="10"/>
    </row>
    <row r="516" spans="5:8">
      <c r="E516" s="9"/>
      <c r="F516" s="10"/>
      <c r="G516" s="10"/>
      <c r="H516" s="10"/>
    </row>
    <row r="517" spans="5:8">
      <c r="E517" s="9"/>
      <c r="F517" s="10"/>
      <c r="G517" s="10"/>
      <c r="H517" s="10"/>
    </row>
    <row r="518" spans="5:8">
      <c r="E518" s="9"/>
      <c r="F518" s="10"/>
      <c r="G518" s="10"/>
      <c r="H518" s="10"/>
    </row>
    <row r="519" spans="5:8">
      <c r="E519" s="9"/>
      <c r="F519" s="10"/>
      <c r="G519" s="10"/>
      <c r="H519" s="10"/>
    </row>
    <row r="520" spans="5:8">
      <c r="E520" s="9"/>
      <c r="F520" s="10"/>
      <c r="G520" s="10"/>
      <c r="H520" s="10"/>
    </row>
    <row r="521" spans="5:8">
      <c r="E521" s="9"/>
      <c r="F521" s="10"/>
      <c r="G521" s="10"/>
      <c r="H521" s="10"/>
    </row>
    <row r="522" spans="5:8">
      <c r="E522" s="9"/>
      <c r="F522" s="10"/>
      <c r="G522" s="10"/>
      <c r="H522" s="10"/>
    </row>
    <row r="523" spans="5:8">
      <c r="E523" s="9"/>
      <c r="F523" s="10"/>
      <c r="G523" s="10"/>
      <c r="H523" s="10"/>
    </row>
    <row r="524" spans="5:8">
      <c r="E524" s="9"/>
      <c r="F524" s="10"/>
      <c r="G524" s="10"/>
      <c r="H524" s="10"/>
    </row>
    <row r="525" spans="5:8">
      <c r="E525" s="9"/>
      <c r="F525" s="10"/>
      <c r="G525" s="10"/>
      <c r="H525" s="10"/>
    </row>
    <row r="526" spans="5:8">
      <c r="E526" s="9"/>
      <c r="F526" s="10"/>
      <c r="G526" s="10"/>
      <c r="H526" s="10"/>
    </row>
    <row r="527" spans="5:8">
      <c r="E527" s="9"/>
      <c r="F527" s="10"/>
      <c r="G527" s="10"/>
      <c r="H527" s="10"/>
    </row>
    <row r="528" spans="5:8">
      <c r="E528" s="9"/>
      <c r="F528" s="10"/>
      <c r="G528" s="10"/>
      <c r="H528" s="10"/>
    </row>
    <row r="529" spans="5:8">
      <c r="E529" s="9"/>
      <c r="F529" s="10"/>
      <c r="G529" s="10"/>
      <c r="H529" s="10"/>
    </row>
    <row r="530" spans="5:8">
      <c r="E530" s="9"/>
      <c r="F530" s="10"/>
      <c r="G530" s="10"/>
      <c r="H530" s="10"/>
    </row>
    <row r="531" spans="5:8">
      <c r="E531" s="9"/>
      <c r="F531" s="10"/>
      <c r="G531" s="10"/>
      <c r="H531" s="10"/>
    </row>
    <row r="532" spans="5:8">
      <c r="E532" s="9"/>
      <c r="F532" s="10"/>
      <c r="G532" s="10"/>
      <c r="H532" s="10"/>
    </row>
    <row r="533" spans="5:8">
      <c r="E533" s="9"/>
      <c r="F533" s="10"/>
      <c r="G533" s="10"/>
      <c r="H533" s="10"/>
    </row>
    <row r="534" spans="5:8">
      <c r="E534" s="9"/>
      <c r="F534" s="10"/>
      <c r="G534" s="10"/>
      <c r="H534" s="10"/>
    </row>
    <row r="535" spans="5:8">
      <c r="E535" s="9"/>
      <c r="F535" s="10"/>
      <c r="G535" s="10"/>
      <c r="H535" s="10"/>
    </row>
    <row r="536" spans="5:8">
      <c r="E536" s="9"/>
      <c r="F536" s="10"/>
      <c r="G536" s="10"/>
      <c r="H536" s="10"/>
    </row>
    <row r="537" spans="5:8">
      <c r="E537" s="9"/>
      <c r="F537" s="10"/>
      <c r="G537" s="10"/>
      <c r="H537" s="10"/>
    </row>
    <row r="538" spans="5:8">
      <c r="E538" s="9"/>
      <c r="F538" s="10"/>
      <c r="G538" s="10"/>
      <c r="H538" s="10"/>
    </row>
    <row r="539" spans="5:8">
      <c r="E539" s="9"/>
      <c r="F539" s="10"/>
      <c r="G539" s="10"/>
      <c r="H539" s="10"/>
    </row>
    <row r="540" spans="5:8">
      <c r="E540" s="9"/>
      <c r="F540" s="10"/>
      <c r="G540" s="10"/>
      <c r="H540" s="10"/>
    </row>
    <row r="541" spans="5:8">
      <c r="E541" s="9"/>
      <c r="F541" s="10"/>
      <c r="G541" s="10"/>
      <c r="H541" s="10"/>
    </row>
    <row r="542" spans="5:8">
      <c r="E542" s="9"/>
      <c r="F542" s="10"/>
      <c r="G542" s="10"/>
      <c r="H542" s="10"/>
    </row>
    <row r="543" spans="5:8">
      <c r="E543" s="9"/>
      <c r="F543" s="10"/>
      <c r="G543" s="10"/>
      <c r="H543" s="10"/>
    </row>
    <row r="544" spans="5:8">
      <c r="E544" s="9"/>
      <c r="F544" s="10"/>
      <c r="G544" s="10"/>
      <c r="H544" s="10"/>
    </row>
    <row r="545" spans="5:8">
      <c r="E545" s="9"/>
      <c r="F545" s="10"/>
      <c r="G545" s="10"/>
      <c r="H545" s="10"/>
    </row>
    <row r="546" spans="5:8">
      <c r="E546" s="9"/>
      <c r="F546" s="10"/>
      <c r="G546" s="10"/>
      <c r="H546" s="10"/>
    </row>
    <row r="547" spans="5:8">
      <c r="E547" s="9"/>
      <c r="F547" s="10"/>
      <c r="G547" s="10"/>
      <c r="H547" s="10"/>
    </row>
    <row r="548" spans="5:8">
      <c r="E548" s="9"/>
      <c r="F548" s="10"/>
      <c r="G548" s="10"/>
      <c r="H548" s="10"/>
    </row>
    <row r="549" spans="5:8">
      <c r="E549" s="9"/>
      <c r="F549" s="10"/>
      <c r="G549" s="10"/>
      <c r="H549" s="10"/>
    </row>
    <row r="550" spans="5:8">
      <c r="E550" s="9"/>
      <c r="F550" s="10"/>
      <c r="G550" s="10"/>
      <c r="H550" s="10"/>
    </row>
    <row r="551" spans="5:8">
      <c r="E551" s="9"/>
      <c r="F551" s="10"/>
      <c r="G551" s="10"/>
      <c r="H551" s="10"/>
    </row>
    <row r="552" spans="5:8">
      <c r="E552" s="9"/>
      <c r="F552" s="10"/>
      <c r="G552" s="10"/>
      <c r="H552" s="10"/>
    </row>
    <row r="553" spans="5:8">
      <c r="E553" s="9"/>
      <c r="F553" s="10"/>
      <c r="G553" s="10"/>
      <c r="H553" s="10"/>
    </row>
    <row r="554" spans="5:8">
      <c r="E554" s="9"/>
      <c r="F554" s="10"/>
      <c r="G554" s="10"/>
      <c r="H554" s="10"/>
    </row>
    <row r="555" spans="5:8">
      <c r="E555" s="9"/>
      <c r="F555" s="10"/>
      <c r="G555" s="10"/>
      <c r="H555" s="10"/>
    </row>
    <row r="556" spans="5:8">
      <c r="E556" s="9"/>
      <c r="F556" s="10"/>
      <c r="G556" s="10"/>
      <c r="H556" s="10"/>
    </row>
    <row r="557" spans="5:8">
      <c r="E557" s="9"/>
      <c r="F557" s="10"/>
      <c r="G557" s="10"/>
      <c r="H557" s="10"/>
    </row>
    <row r="558" spans="5:8">
      <c r="E558" s="9"/>
      <c r="F558" s="10"/>
      <c r="G558" s="10"/>
      <c r="H558" s="10"/>
    </row>
    <row r="559" spans="5:8">
      <c r="E559" s="9"/>
      <c r="F559" s="10"/>
      <c r="G559" s="10"/>
      <c r="H559" s="10"/>
    </row>
    <row r="560" spans="5:8">
      <c r="E560" s="9"/>
      <c r="F560" s="10"/>
      <c r="G560" s="10"/>
      <c r="H560" s="10"/>
    </row>
    <row r="561" spans="5:8">
      <c r="E561" s="9"/>
      <c r="F561" s="10"/>
      <c r="G561" s="10"/>
      <c r="H561" s="10"/>
    </row>
    <row r="562" spans="5:8">
      <c r="E562" s="9"/>
      <c r="F562" s="10"/>
      <c r="G562" s="10"/>
      <c r="H562" s="10"/>
    </row>
    <row r="563" spans="5:8">
      <c r="E563" s="9"/>
      <c r="F563" s="10"/>
      <c r="G563" s="10"/>
      <c r="H563" s="10"/>
    </row>
    <row r="564" spans="5:8">
      <c r="E564" s="9"/>
      <c r="F564" s="10"/>
      <c r="G564" s="10"/>
      <c r="H564" s="10"/>
    </row>
    <row r="565" spans="5:8">
      <c r="E565" s="9"/>
      <c r="F565" s="10"/>
      <c r="G565" s="10"/>
      <c r="H565" s="10"/>
    </row>
    <row r="566" spans="5:8">
      <c r="E566" s="9"/>
      <c r="F566" s="10"/>
      <c r="G566" s="10"/>
      <c r="H566" s="10"/>
    </row>
    <row r="567" spans="5:8">
      <c r="E567" s="9"/>
      <c r="F567" s="10"/>
      <c r="G567" s="10"/>
      <c r="H567" s="10"/>
    </row>
    <row r="568" spans="5:8">
      <c r="E568" s="9"/>
      <c r="F568" s="10"/>
      <c r="G568" s="10"/>
      <c r="H568" s="10"/>
    </row>
    <row r="569" spans="5:8">
      <c r="E569" s="9"/>
      <c r="F569" s="10"/>
      <c r="G569" s="10"/>
      <c r="H569" s="10"/>
    </row>
    <row r="570" spans="5:8">
      <c r="E570" s="9"/>
      <c r="F570" s="10"/>
      <c r="G570" s="10"/>
      <c r="H570" s="10"/>
    </row>
    <row r="571" spans="5:8">
      <c r="E571" s="9"/>
      <c r="F571" s="10"/>
      <c r="G571" s="10"/>
      <c r="H571" s="10"/>
    </row>
    <row r="572" spans="5:8">
      <c r="E572" s="9"/>
      <c r="F572" s="10"/>
      <c r="G572" s="10"/>
      <c r="H572" s="10"/>
    </row>
    <row r="573" spans="5:8">
      <c r="E573" s="9"/>
      <c r="F573" s="10"/>
      <c r="G573" s="10"/>
      <c r="H573" s="10"/>
    </row>
    <row r="574" spans="5:8">
      <c r="E574" s="9"/>
      <c r="F574" s="10"/>
      <c r="G574" s="10"/>
      <c r="H574" s="10"/>
    </row>
    <row r="575" spans="5:8">
      <c r="E575" s="9"/>
      <c r="F575" s="10"/>
      <c r="G575" s="10"/>
      <c r="H575" s="10"/>
    </row>
    <row r="576" spans="5:8">
      <c r="E576" s="9"/>
      <c r="F576" s="10"/>
      <c r="G576" s="10"/>
      <c r="H576" s="10"/>
    </row>
    <row r="577" spans="5:8">
      <c r="E577" s="9"/>
      <c r="F577" s="10"/>
      <c r="G577" s="10"/>
      <c r="H577" s="10"/>
    </row>
    <row r="578" spans="5:8">
      <c r="E578" s="9"/>
      <c r="F578" s="10"/>
      <c r="G578" s="10"/>
      <c r="H578" s="10"/>
    </row>
    <row r="579" spans="5:8">
      <c r="E579" s="9"/>
      <c r="F579" s="10"/>
      <c r="G579" s="10"/>
      <c r="H579" s="10"/>
    </row>
    <row r="580" spans="5:8">
      <c r="E580" s="9"/>
      <c r="F580" s="10"/>
      <c r="G580" s="10"/>
      <c r="H580" s="10"/>
    </row>
    <row r="581" spans="5:8">
      <c r="E581" s="9"/>
      <c r="F581" s="10"/>
      <c r="G581" s="10"/>
      <c r="H581" s="10"/>
    </row>
    <row r="582" spans="5:8">
      <c r="E582" s="9"/>
      <c r="F582" s="10"/>
      <c r="G582" s="10"/>
      <c r="H582" s="10"/>
    </row>
    <row r="583" spans="5:8">
      <c r="E583" s="9"/>
      <c r="F583" s="10"/>
      <c r="G583" s="10"/>
      <c r="H583" s="10"/>
    </row>
    <row r="584" spans="5:8">
      <c r="E584" s="9"/>
      <c r="F584" s="10"/>
      <c r="G584" s="10"/>
      <c r="H584" s="10"/>
    </row>
    <row r="585" spans="5:8">
      <c r="E585" s="9"/>
      <c r="F585" s="10"/>
      <c r="G585" s="10"/>
      <c r="H585" s="10"/>
    </row>
    <row r="586" spans="5:8">
      <c r="E586" s="9"/>
      <c r="F586" s="10"/>
      <c r="G586" s="10"/>
      <c r="H586" s="10"/>
    </row>
    <row r="587" spans="5:8">
      <c r="E587" s="9"/>
      <c r="F587" s="10"/>
      <c r="G587" s="10"/>
      <c r="H587" s="10"/>
    </row>
    <row r="588" spans="5:8">
      <c r="E588" s="9"/>
      <c r="F588" s="10"/>
      <c r="G588" s="10"/>
      <c r="H588" s="10"/>
    </row>
    <row r="589" spans="5:8">
      <c r="E589" s="9"/>
      <c r="F589" s="10"/>
      <c r="G589" s="10"/>
      <c r="H589" s="10"/>
    </row>
    <row r="590" spans="5:8">
      <c r="E590" s="9"/>
      <c r="F590" s="10"/>
      <c r="G590" s="10"/>
      <c r="H590" s="10"/>
    </row>
    <row r="591" spans="5:8">
      <c r="E591" s="9"/>
      <c r="F591" s="10"/>
      <c r="G591" s="10"/>
      <c r="H591" s="10"/>
    </row>
    <row r="592" spans="5:8">
      <c r="E592" s="9"/>
      <c r="F592" s="10"/>
      <c r="G592" s="10"/>
      <c r="H592" s="10"/>
    </row>
    <row r="593" spans="5:8">
      <c r="E593" s="9"/>
      <c r="F593" s="10"/>
      <c r="G593" s="10"/>
      <c r="H593" s="10"/>
    </row>
    <row r="594" spans="5:8">
      <c r="E594" s="9"/>
      <c r="F594" s="10"/>
      <c r="G594" s="10"/>
      <c r="H594" s="10"/>
    </row>
    <row r="595" spans="5:8">
      <c r="E595" s="9"/>
      <c r="F595" s="10"/>
      <c r="G595" s="10"/>
      <c r="H595" s="10"/>
    </row>
    <row r="596" spans="5:8">
      <c r="E596" s="9"/>
      <c r="F596" s="10"/>
      <c r="G596" s="10"/>
      <c r="H596" s="10"/>
    </row>
    <row r="597" spans="5:8">
      <c r="E597" s="9"/>
      <c r="F597" s="10"/>
      <c r="G597" s="10"/>
      <c r="H597" s="10"/>
    </row>
    <row r="598" spans="5:8">
      <c r="E598" s="9"/>
      <c r="F598" s="10"/>
      <c r="G598" s="10"/>
      <c r="H598" s="10"/>
    </row>
    <row r="599" spans="5:8">
      <c r="E599" s="9"/>
      <c r="F599" s="10"/>
      <c r="G599" s="10"/>
      <c r="H599" s="10"/>
    </row>
    <row r="600" spans="5:8">
      <c r="E600" s="9"/>
      <c r="F600" s="10"/>
      <c r="G600" s="10"/>
      <c r="H600" s="10"/>
    </row>
    <row r="601" spans="5:8">
      <c r="E601" s="9"/>
      <c r="F601" s="10"/>
      <c r="G601" s="10"/>
      <c r="H601" s="10"/>
    </row>
    <row r="602" spans="5:8">
      <c r="E602" s="9"/>
      <c r="F602" s="10"/>
      <c r="G602" s="10"/>
      <c r="H602" s="10"/>
    </row>
    <row r="603" spans="5:8">
      <c r="E603" s="9"/>
      <c r="F603" s="10"/>
      <c r="G603" s="10"/>
      <c r="H603" s="10"/>
    </row>
    <row r="604" spans="5:8">
      <c r="E604" s="9"/>
      <c r="F604" s="10"/>
      <c r="G604" s="10"/>
      <c r="H604" s="10"/>
    </row>
    <row r="605" spans="5:8">
      <c r="E605" s="9"/>
      <c r="F605" s="10"/>
      <c r="G605" s="10"/>
      <c r="H605" s="10"/>
    </row>
    <row r="606" spans="5:8">
      <c r="E606" s="9"/>
      <c r="F606" s="10"/>
      <c r="G606" s="10"/>
      <c r="H606" s="10"/>
    </row>
    <row r="607" spans="5:8">
      <c r="E607" s="9"/>
      <c r="F607" s="10"/>
      <c r="G607" s="10"/>
      <c r="H607" s="10"/>
    </row>
    <row r="608" spans="5:8">
      <c r="E608" s="9"/>
      <c r="F608" s="10"/>
      <c r="G608" s="10"/>
      <c r="H608" s="10"/>
    </row>
    <row r="609" spans="5:8">
      <c r="E609" s="9"/>
      <c r="F609" s="10"/>
      <c r="G609" s="10"/>
      <c r="H609" s="10"/>
    </row>
    <row r="610" spans="5:8">
      <c r="E610" s="9"/>
      <c r="F610" s="10"/>
      <c r="G610" s="10"/>
      <c r="H610" s="10"/>
    </row>
    <row r="611" spans="5:8">
      <c r="E611" s="9"/>
      <c r="F611" s="10"/>
      <c r="G611" s="10"/>
      <c r="H611" s="10"/>
    </row>
    <row r="612" spans="5:8">
      <c r="E612" s="9"/>
      <c r="F612" s="10"/>
      <c r="G612" s="10"/>
      <c r="H612" s="10"/>
    </row>
    <row r="613" spans="5:8">
      <c r="E613" s="9"/>
      <c r="F613" s="10"/>
      <c r="G613" s="10"/>
      <c r="H613" s="10"/>
    </row>
    <row r="614" spans="5:8">
      <c r="E614" s="9"/>
      <c r="F614" s="10"/>
      <c r="G614" s="10"/>
      <c r="H614" s="10"/>
    </row>
    <row r="615" spans="5:8">
      <c r="E615" s="9"/>
      <c r="F615" s="10"/>
      <c r="G615" s="10"/>
      <c r="H615" s="10"/>
    </row>
    <row r="616" spans="5:8">
      <c r="E616" s="9"/>
      <c r="F616" s="10"/>
      <c r="G616" s="10"/>
      <c r="H616" s="10"/>
    </row>
    <row r="617" spans="5:8">
      <c r="E617" s="9"/>
      <c r="F617" s="10"/>
      <c r="G617" s="10"/>
      <c r="H617" s="10"/>
    </row>
    <row r="618" spans="5:8">
      <c r="E618" s="9"/>
      <c r="F618" s="10"/>
      <c r="G618" s="10"/>
      <c r="H618" s="10"/>
    </row>
    <row r="619" spans="5:8">
      <c r="E619" s="9"/>
      <c r="F619" s="10"/>
      <c r="G619" s="10"/>
      <c r="H619" s="10"/>
    </row>
    <row r="620" spans="5:8">
      <c r="E620" s="9"/>
      <c r="F620" s="10"/>
      <c r="G620" s="10"/>
      <c r="H620" s="10"/>
    </row>
    <row r="621" spans="5:8">
      <c r="E621" s="9"/>
      <c r="F621" s="10"/>
      <c r="G621" s="10"/>
      <c r="H621" s="10"/>
    </row>
    <row r="622" spans="5:8">
      <c r="E622" s="9"/>
      <c r="F622" s="10"/>
      <c r="G622" s="10"/>
      <c r="H622" s="10"/>
    </row>
    <row r="623" spans="5:8">
      <c r="E623" s="9"/>
      <c r="F623" s="10"/>
      <c r="G623" s="10"/>
      <c r="H623" s="10"/>
    </row>
    <row r="624" spans="5:8">
      <c r="E624" s="9"/>
      <c r="F624" s="10"/>
      <c r="G624" s="10"/>
      <c r="H624" s="10"/>
    </row>
    <row r="625" spans="5:8">
      <c r="E625" s="9"/>
      <c r="F625" s="10"/>
      <c r="G625" s="10"/>
      <c r="H625" s="10"/>
    </row>
    <row r="626" spans="5:8">
      <c r="E626" s="9"/>
      <c r="F626" s="10"/>
      <c r="G626" s="10"/>
      <c r="H626" s="10"/>
    </row>
    <row r="627" spans="5:8">
      <c r="E627" s="9"/>
      <c r="F627" s="10"/>
      <c r="G627" s="10"/>
      <c r="H627" s="10"/>
    </row>
    <row r="628" spans="5:8">
      <c r="E628" s="9"/>
      <c r="F628" s="10"/>
      <c r="G628" s="10"/>
      <c r="H628" s="10"/>
    </row>
    <row r="629" spans="5:8">
      <c r="E629" s="9"/>
      <c r="F629" s="10"/>
      <c r="G629" s="10"/>
      <c r="H629" s="10"/>
    </row>
    <row r="630" spans="5:8">
      <c r="E630" s="9"/>
      <c r="F630" s="10"/>
      <c r="G630" s="10"/>
      <c r="H630" s="10"/>
    </row>
    <row r="631" spans="5:8">
      <c r="E631" s="9"/>
      <c r="F631" s="10"/>
      <c r="G631" s="10"/>
      <c r="H631" s="10"/>
    </row>
    <row r="632" spans="5:8">
      <c r="E632" s="9"/>
      <c r="F632" s="10"/>
      <c r="G632" s="10"/>
      <c r="H632" s="10"/>
    </row>
    <row r="633" spans="5:8">
      <c r="E633" s="9"/>
      <c r="F633" s="10"/>
      <c r="G633" s="10"/>
      <c r="H633" s="10"/>
    </row>
    <row r="634" spans="5:8">
      <c r="E634" s="9"/>
      <c r="F634" s="10"/>
      <c r="G634" s="10"/>
      <c r="H634" s="10"/>
    </row>
    <row r="635" spans="5:8">
      <c r="E635" s="9"/>
      <c r="F635" s="10"/>
      <c r="G635" s="10"/>
      <c r="H635" s="10"/>
    </row>
    <row r="636" spans="5:8">
      <c r="E636" s="9"/>
      <c r="F636" s="10"/>
      <c r="G636" s="10"/>
      <c r="H636" s="10"/>
    </row>
    <row r="637" spans="5:8">
      <c r="E637" s="9"/>
      <c r="F637" s="10"/>
      <c r="G637" s="10"/>
      <c r="H637" s="10"/>
    </row>
    <row r="638" spans="5:8">
      <c r="E638" s="9"/>
      <c r="F638" s="10"/>
      <c r="G638" s="10"/>
      <c r="H638" s="10"/>
    </row>
    <row r="639" spans="5:8">
      <c r="E639" s="9"/>
      <c r="F639" s="10"/>
      <c r="G639" s="10"/>
      <c r="H639" s="10"/>
    </row>
    <row r="640" spans="5:8">
      <c r="E640" s="9"/>
      <c r="F640" s="10"/>
      <c r="G640" s="10"/>
      <c r="H640" s="10"/>
    </row>
    <row r="641" spans="5:8">
      <c r="E641" s="9"/>
      <c r="F641" s="10"/>
      <c r="G641" s="10"/>
      <c r="H641" s="10"/>
    </row>
    <row r="642" spans="5:8">
      <c r="E642" s="9"/>
      <c r="F642" s="10"/>
      <c r="G642" s="10"/>
      <c r="H642" s="10"/>
    </row>
    <row r="643" spans="5:8">
      <c r="E643" s="9"/>
      <c r="F643" s="10"/>
      <c r="G643" s="10"/>
      <c r="H643" s="10"/>
    </row>
    <row r="644" spans="5:8">
      <c r="E644" s="9"/>
      <c r="F644" s="10"/>
      <c r="G644" s="10"/>
      <c r="H644" s="10"/>
    </row>
    <row r="645" spans="5:8">
      <c r="E645" s="9"/>
      <c r="F645" s="10"/>
      <c r="G645" s="10"/>
      <c r="H645" s="10"/>
    </row>
    <row r="646" spans="5:8">
      <c r="E646" s="9"/>
      <c r="F646" s="10"/>
      <c r="G646" s="10"/>
      <c r="H646" s="10"/>
    </row>
    <row r="647" spans="5:8">
      <c r="E647" s="9"/>
      <c r="F647" s="10"/>
      <c r="G647" s="10"/>
      <c r="H647" s="10"/>
    </row>
    <row r="648" spans="5:8">
      <c r="E648" s="9"/>
      <c r="F648" s="10"/>
      <c r="G648" s="10"/>
      <c r="H648" s="10"/>
    </row>
    <row r="649" spans="5:8">
      <c r="E649" s="9"/>
      <c r="F649" s="10"/>
      <c r="G649" s="10"/>
      <c r="H649" s="10"/>
    </row>
    <row r="650" spans="5:8">
      <c r="E650" s="9"/>
      <c r="F650" s="10"/>
      <c r="G650" s="10"/>
      <c r="H650" s="10"/>
    </row>
    <row r="651" spans="5:8">
      <c r="E651" s="9"/>
      <c r="F651" s="10"/>
      <c r="G651" s="10"/>
      <c r="H651" s="10"/>
    </row>
    <row r="652" spans="5:8">
      <c r="E652" s="9"/>
      <c r="F652" s="10"/>
      <c r="G652" s="10"/>
      <c r="H652" s="10"/>
    </row>
    <row r="653" spans="5:8">
      <c r="E653" s="9"/>
      <c r="F653" s="10"/>
      <c r="G653" s="10"/>
      <c r="H653" s="10"/>
    </row>
    <row r="654" spans="5:8">
      <c r="E654" s="9"/>
      <c r="F654" s="10"/>
      <c r="G654" s="10"/>
      <c r="H654" s="10"/>
    </row>
    <row r="655" spans="5:8">
      <c r="E655" s="9"/>
      <c r="F655" s="10"/>
      <c r="G655" s="10"/>
      <c r="H655" s="10"/>
    </row>
    <row r="656" spans="5:8">
      <c r="E656" s="9"/>
      <c r="F656" s="10"/>
      <c r="G656" s="10"/>
      <c r="H656" s="10"/>
    </row>
    <row r="657" spans="5:8">
      <c r="E657" s="9"/>
      <c r="F657" s="10"/>
      <c r="G657" s="10"/>
      <c r="H657" s="10"/>
    </row>
    <row r="658" spans="5:8">
      <c r="E658" s="9"/>
      <c r="F658" s="10"/>
      <c r="G658" s="10"/>
      <c r="H658" s="10"/>
    </row>
    <row r="659" spans="5:8">
      <c r="E659" s="9"/>
      <c r="F659" s="10"/>
      <c r="G659" s="10"/>
      <c r="H659" s="10"/>
    </row>
    <row r="660" spans="5:8">
      <c r="E660" s="9"/>
      <c r="F660" s="10"/>
      <c r="G660" s="10"/>
      <c r="H660" s="10"/>
    </row>
    <row r="661" spans="5:8">
      <c r="E661" s="9"/>
      <c r="F661" s="10"/>
      <c r="G661" s="10"/>
      <c r="H661" s="10"/>
    </row>
    <row r="662" spans="5:8">
      <c r="E662" s="9"/>
      <c r="F662" s="10"/>
      <c r="G662" s="10"/>
      <c r="H662" s="10"/>
    </row>
    <row r="663" spans="5:8">
      <c r="E663" s="9"/>
      <c r="F663" s="10"/>
      <c r="G663" s="10"/>
      <c r="H663" s="10"/>
    </row>
    <row r="664" spans="5:8">
      <c r="E664" s="9"/>
      <c r="F664" s="10"/>
      <c r="G664" s="10"/>
      <c r="H664" s="10"/>
    </row>
    <row r="665" spans="5:8">
      <c r="E665" s="9"/>
      <c r="F665" s="10"/>
      <c r="G665" s="10"/>
      <c r="H665" s="10"/>
    </row>
    <row r="666" spans="5:8">
      <c r="E666" s="9"/>
      <c r="F666" s="10"/>
      <c r="G666" s="10"/>
      <c r="H666" s="10"/>
    </row>
    <row r="667" spans="5:8">
      <c r="E667" s="9"/>
      <c r="F667" s="10"/>
      <c r="G667" s="10"/>
      <c r="H667" s="10"/>
    </row>
    <row r="668" spans="5:8">
      <c r="E668" s="9"/>
      <c r="F668" s="10"/>
      <c r="G668" s="10"/>
      <c r="H668" s="10"/>
    </row>
    <row r="669" spans="5:8">
      <c r="E669" s="9"/>
      <c r="F669" s="10"/>
      <c r="G669" s="10"/>
      <c r="H669" s="10"/>
    </row>
    <row r="670" spans="5:8">
      <c r="E670" s="9"/>
      <c r="F670" s="10"/>
      <c r="G670" s="10"/>
      <c r="H670" s="10"/>
    </row>
    <row r="671" spans="5:8">
      <c r="E671" s="9"/>
      <c r="F671" s="10"/>
      <c r="G671" s="10"/>
      <c r="H671" s="10"/>
    </row>
    <row r="672" spans="5:8">
      <c r="E672" s="9"/>
      <c r="F672" s="10"/>
      <c r="G672" s="10"/>
      <c r="H672" s="10"/>
    </row>
    <row r="673" spans="5:8">
      <c r="E673" s="9"/>
      <c r="F673" s="10"/>
      <c r="G673" s="10"/>
      <c r="H673" s="10"/>
    </row>
    <row r="674" spans="5:8">
      <c r="E674" s="9"/>
      <c r="F674" s="10"/>
      <c r="G674" s="10"/>
      <c r="H674" s="10"/>
    </row>
    <row r="675" spans="5:8">
      <c r="E675" s="9"/>
      <c r="F675" s="10"/>
      <c r="G675" s="10"/>
      <c r="H675" s="10"/>
    </row>
    <row r="676" spans="5:8">
      <c r="E676" s="9"/>
      <c r="F676" s="10"/>
      <c r="G676" s="10"/>
      <c r="H676" s="10"/>
    </row>
    <row r="677" spans="5:8">
      <c r="E677" s="9"/>
      <c r="F677" s="10"/>
      <c r="G677" s="10"/>
      <c r="H677" s="10"/>
    </row>
    <row r="678" spans="5:8">
      <c r="E678" s="9"/>
      <c r="F678" s="10"/>
      <c r="G678" s="10"/>
      <c r="H678" s="10"/>
    </row>
    <row r="679" spans="5:8">
      <c r="E679" s="9"/>
      <c r="F679" s="10"/>
      <c r="G679" s="10"/>
      <c r="H679" s="10"/>
    </row>
    <row r="680" spans="5:8">
      <c r="E680" s="9"/>
      <c r="F680" s="10"/>
      <c r="G680" s="10"/>
      <c r="H680" s="10"/>
    </row>
    <row r="681" spans="5:8">
      <c r="E681" s="9"/>
      <c r="F681" s="10"/>
      <c r="G681" s="10"/>
      <c r="H681" s="10"/>
    </row>
    <row r="682" spans="5:8">
      <c r="E682" s="9"/>
      <c r="F682" s="10"/>
      <c r="G682" s="10"/>
      <c r="H682" s="10"/>
    </row>
    <row r="683" spans="5:8">
      <c r="E683" s="9"/>
      <c r="F683" s="10"/>
      <c r="G683" s="10"/>
      <c r="H683" s="10"/>
    </row>
    <row r="684" spans="5:8">
      <c r="E684" s="9"/>
      <c r="F684" s="10"/>
      <c r="G684" s="10"/>
      <c r="H684" s="10"/>
    </row>
    <row r="685" spans="5:8">
      <c r="E685" s="9"/>
      <c r="F685" s="10"/>
      <c r="G685" s="10"/>
      <c r="H685" s="10"/>
    </row>
    <row r="686" spans="5:8">
      <c r="E686" s="9"/>
      <c r="F686" s="10"/>
      <c r="G686" s="10"/>
      <c r="H686" s="10"/>
    </row>
    <row r="687" spans="5:8">
      <c r="E687" s="9"/>
      <c r="F687" s="10"/>
      <c r="G687" s="10"/>
      <c r="H687" s="10"/>
    </row>
    <row r="688" spans="5:8">
      <c r="E688" s="9"/>
      <c r="F688" s="10"/>
      <c r="G688" s="10"/>
      <c r="H688" s="10"/>
    </row>
    <row r="689" spans="5:8">
      <c r="E689" s="9"/>
      <c r="F689" s="10"/>
      <c r="G689" s="10"/>
      <c r="H689" s="10"/>
    </row>
    <row r="690" spans="5:8">
      <c r="E690" s="9"/>
      <c r="F690" s="10"/>
      <c r="G690" s="10"/>
      <c r="H690" s="10"/>
    </row>
    <row r="691" spans="5:8">
      <c r="E691" s="9"/>
      <c r="F691" s="10"/>
      <c r="G691" s="10"/>
      <c r="H691" s="10"/>
    </row>
    <row r="692" spans="5:8">
      <c r="E692" s="9"/>
      <c r="F692" s="10"/>
      <c r="G692" s="10"/>
      <c r="H692" s="10"/>
    </row>
    <row r="693" spans="5:8">
      <c r="E693" s="9"/>
      <c r="F693" s="10"/>
      <c r="G693" s="10"/>
      <c r="H693" s="10"/>
    </row>
    <row r="694" spans="5:8">
      <c r="E694" s="9"/>
      <c r="F694" s="10"/>
      <c r="G694" s="10"/>
      <c r="H694" s="10"/>
    </row>
    <row r="695" spans="5:8">
      <c r="E695" s="9"/>
      <c r="F695" s="10"/>
      <c r="G695" s="10"/>
      <c r="H695" s="10"/>
    </row>
    <row r="696" spans="5:8">
      <c r="E696" s="9"/>
      <c r="F696" s="10"/>
      <c r="G696" s="10"/>
      <c r="H696" s="10"/>
    </row>
    <row r="697" spans="5:8">
      <c r="E697" s="9"/>
      <c r="F697" s="10"/>
      <c r="G697" s="10"/>
      <c r="H697" s="10"/>
    </row>
    <row r="698" spans="5:8">
      <c r="E698" s="9"/>
      <c r="F698" s="10"/>
      <c r="G698" s="10"/>
      <c r="H698" s="10"/>
    </row>
    <row r="699" spans="5:8">
      <c r="E699" s="9"/>
      <c r="F699" s="10"/>
      <c r="G699" s="10"/>
      <c r="H699" s="10"/>
    </row>
    <row r="700" spans="5:8">
      <c r="E700" s="9"/>
      <c r="F700" s="10"/>
      <c r="G700" s="10"/>
      <c r="H700" s="10"/>
    </row>
    <row r="701" spans="5:8">
      <c r="E701" s="9"/>
      <c r="F701" s="10"/>
      <c r="G701" s="10"/>
      <c r="H701" s="10"/>
    </row>
    <row r="702" spans="5:8">
      <c r="E702" s="9"/>
      <c r="F702" s="10"/>
      <c r="G702" s="10"/>
      <c r="H702" s="10"/>
    </row>
    <row r="703" spans="5:8">
      <c r="E703" s="9"/>
      <c r="F703" s="10"/>
      <c r="G703" s="10"/>
      <c r="H703" s="10"/>
    </row>
    <row r="704" spans="5:8">
      <c r="E704" s="9"/>
      <c r="F704" s="10"/>
      <c r="G704" s="10"/>
      <c r="H704" s="10"/>
    </row>
    <row r="705" spans="5:8">
      <c r="E705" s="9"/>
      <c r="F705" s="10"/>
      <c r="G705" s="10"/>
      <c r="H705" s="10"/>
    </row>
    <row r="706" spans="5:8">
      <c r="E706" s="9"/>
      <c r="F706" s="10"/>
      <c r="G706" s="10"/>
      <c r="H706" s="10"/>
    </row>
    <row r="707" spans="5:8">
      <c r="E707" s="9"/>
      <c r="F707" s="10"/>
      <c r="G707" s="10"/>
      <c r="H707" s="10"/>
    </row>
    <row r="708" spans="5:8">
      <c r="E708" s="9"/>
      <c r="F708" s="10"/>
      <c r="G708" s="10"/>
      <c r="H708" s="10"/>
    </row>
    <row r="709" spans="5:8">
      <c r="E709" s="9"/>
      <c r="F709" s="10"/>
      <c r="G709" s="10"/>
      <c r="H709" s="10"/>
    </row>
    <row r="710" spans="5:8">
      <c r="E710" s="9"/>
      <c r="F710" s="10"/>
      <c r="G710" s="10"/>
      <c r="H710" s="10"/>
    </row>
    <row r="711" spans="5:8">
      <c r="E711" s="9"/>
      <c r="F711" s="10"/>
      <c r="G711" s="10"/>
      <c r="H711" s="10"/>
    </row>
    <row r="712" spans="5:8">
      <c r="E712" s="9"/>
      <c r="F712" s="10"/>
      <c r="G712" s="10"/>
      <c r="H712" s="10"/>
    </row>
    <row r="713" spans="5:8">
      <c r="E713" s="9"/>
      <c r="F713" s="10"/>
      <c r="G713" s="10"/>
      <c r="H713" s="10"/>
    </row>
    <row r="714" spans="5:8">
      <c r="E714" s="9"/>
      <c r="F714" s="10"/>
      <c r="G714" s="10"/>
      <c r="H714" s="10"/>
    </row>
    <row r="715" spans="5:8">
      <c r="E715" s="9"/>
      <c r="F715" s="10"/>
      <c r="G715" s="10"/>
      <c r="H715" s="10"/>
    </row>
    <row r="716" spans="5:8">
      <c r="E716" s="9"/>
      <c r="F716" s="10"/>
      <c r="G716" s="10"/>
      <c r="H716" s="10"/>
    </row>
    <row r="717" spans="5:8">
      <c r="E717" s="9"/>
      <c r="F717" s="10"/>
      <c r="G717" s="10"/>
      <c r="H717" s="10"/>
    </row>
    <row r="718" spans="5:8">
      <c r="E718" s="9"/>
      <c r="F718" s="10"/>
      <c r="G718" s="10"/>
      <c r="H718" s="10"/>
    </row>
    <row r="719" spans="5:8">
      <c r="E719" s="9"/>
      <c r="F719" s="10"/>
      <c r="G719" s="10"/>
      <c r="H719" s="10"/>
    </row>
    <row r="720" spans="5:8">
      <c r="E720" s="9"/>
      <c r="F720" s="10"/>
      <c r="G720" s="10"/>
      <c r="H720" s="10"/>
    </row>
    <row r="721" spans="5:8">
      <c r="E721" s="9"/>
      <c r="F721" s="10"/>
      <c r="G721" s="10"/>
      <c r="H721" s="10"/>
    </row>
    <row r="722" spans="5:8">
      <c r="E722" s="9"/>
      <c r="F722" s="10"/>
      <c r="G722" s="10"/>
      <c r="H722" s="10"/>
    </row>
    <row r="723" spans="5:8">
      <c r="E723" s="9"/>
      <c r="F723" s="10"/>
      <c r="G723" s="10"/>
      <c r="H723" s="10"/>
    </row>
    <row r="724" spans="5:8">
      <c r="E724" s="9"/>
      <c r="F724" s="10"/>
      <c r="G724" s="10"/>
      <c r="H724" s="10"/>
    </row>
    <row r="725" spans="5:8">
      <c r="E725" s="9"/>
      <c r="F725" s="10"/>
      <c r="G725" s="10"/>
      <c r="H725" s="10"/>
    </row>
    <row r="726" spans="5:8">
      <c r="E726" s="9"/>
      <c r="F726" s="10"/>
      <c r="G726" s="10"/>
      <c r="H726" s="10"/>
    </row>
    <row r="727" spans="5:8">
      <c r="E727" s="9"/>
      <c r="F727" s="10"/>
      <c r="G727" s="10"/>
      <c r="H727" s="10"/>
    </row>
    <row r="728" spans="5:8">
      <c r="E728" s="9"/>
      <c r="F728" s="10"/>
      <c r="G728" s="10"/>
      <c r="H728" s="10"/>
    </row>
    <row r="729" spans="5:8">
      <c r="E729" s="9"/>
      <c r="F729" s="10"/>
      <c r="G729" s="10"/>
      <c r="H729" s="10"/>
    </row>
    <row r="730" spans="5:8">
      <c r="E730" s="9"/>
      <c r="F730" s="10"/>
      <c r="G730" s="10"/>
      <c r="H730" s="10"/>
    </row>
    <row r="731" spans="5:8">
      <c r="E731" s="9"/>
      <c r="F731" s="10"/>
      <c r="G731" s="10"/>
      <c r="H731" s="10"/>
    </row>
    <row r="732" spans="5:8">
      <c r="E732" s="9"/>
      <c r="F732" s="10"/>
      <c r="G732" s="10"/>
      <c r="H732" s="10"/>
    </row>
    <row r="733" spans="5:8">
      <c r="E733" s="9"/>
      <c r="F733" s="10"/>
      <c r="G733" s="10"/>
      <c r="H733" s="10"/>
    </row>
    <row r="734" spans="5:8">
      <c r="E734" s="9"/>
      <c r="F734" s="10"/>
      <c r="G734" s="10"/>
      <c r="H734" s="10"/>
    </row>
    <row r="735" spans="5:8">
      <c r="E735" s="9"/>
      <c r="F735" s="10"/>
      <c r="G735" s="10"/>
      <c r="H735" s="10"/>
    </row>
    <row r="736" spans="5:8">
      <c r="E736" s="9"/>
      <c r="F736" s="10"/>
      <c r="G736" s="10"/>
      <c r="H736" s="10"/>
    </row>
    <row r="737" spans="5:8">
      <c r="E737" s="9"/>
      <c r="F737" s="10"/>
      <c r="G737" s="10"/>
      <c r="H737" s="10"/>
    </row>
    <row r="738" spans="5:8">
      <c r="E738" s="9"/>
      <c r="F738" s="10"/>
      <c r="G738" s="10"/>
      <c r="H738" s="10"/>
    </row>
    <row r="739" spans="5:8">
      <c r="E739" s="9"/>
      <c r="F739" s="10"/>
      <c r="G739" s="10"/>
      <c r="H739" s="10"/>
    </row>
    <row r="740" spans="5:8">
      <c r="E740" s="9"/>
      <c r="F740" s="10"/>
      <c r="G740" s="10"/>
      <c r="H740" s="10"/>
    </row>
    <row r="741" spans="5:8">
      <c r="E741" s="9"/>
      <c r="F741" s="10"/>
      <c r="G741" s="10"/>
      <c r="H741" s="10"/>
    </row>
    <row r="742" spans="5:8">
      <c r="E742" s="9"/>
      <c r="F742" s="10"/>
      <c r="G742" s="10"/>
      <c r="H742" s="10"/>
    </row>
    <row r="743" spans="5:8">
      <c r="E743" s="9"/>
      <c r="F743" s="10"/>
      <c r="G743" s="10"/>
      <c r="H743" s="10"/>
    </row>
    <row r="744" spans="5:8">
      <c r="E744" s="9"/>
      <c r="F744" s="10"/>
      <c r="G744" s="10"/>
      <c r="H744" s="10"/>
    </row>
    <row r="745" spans="5:8">
      <c r="E745" s="9"/>
      <c r="F745" s="10"/>
      <c r="G745" s="10"/>
      <c r="H745" s="10"/>
    </row>
    <row r="746" spans="5:8">
      <c r="E746" s="9"/>
      <c r="F746" s="10"/>
      <c r="G746" s="10"/>
      <c r="H746" s="10"/>
    </row>
    <row r="747" spans="5:8">
      <c r="E747" s="9"/>
      <c r="F747" s="10"/>
      <c r="G747" s="10"/>
      <c r="H747" s="10"/>
    </row>
    <row r="748" spans="5:8">
      <c r="E748" s="9"/>
      <c r="F748" s="10"/>
      <c r="G748" s="10"/>
      <c r="H748" s="10"/>
    </row>
    <row r="749" spans="5:8">
      <c r="E749" s="9"/>
      <c r="F749" s="10"/>
      <c r="G749" s="10"/>
      <c r="H749" s="10"/>
    </row>
    <row r="750" spans="5:8">
      <c r="E750" s="9"/>
      <c r="F750" s="10"/>
      <c r="G750" s="10"/>
      <c r="H750" s="10"/>
    </row>
    <row r="751" spans="5:8">
      <c r="E751" s="9"/>
      <c r="F751" s="10"/>
      <c r="G751" s="10"/>
      <c r="H751" s="10"/>
    </row>
    <row r="752" spans="5:8">
      <c r="E752" s="9"/>
      <c r="F752" s="10"/>
      <c r="G752" s="10"/>
      <c r="H752" s="10"/>
    </row>
    <row r="753" spans="5:8">
      <c r="E753" s="9"/>
      <c r="F753" s="10"/>
      <c r="G753" s="10"/>
      <c r="H753" s="10"/>
    </row>
    <row r="754" spans="5:8">
      <c r="E754" s="9"/>
      <c r="F754" s="10"/>
      <c r="G754" s="10"/>
      <c r="H754" s="10"/>
    </row>
    <row r="755" spans="5:8">
      <c r="E755" s="9"/>
      <c r="F755" s="10"/>
      <c r="G755" s="10"/>
      <c r="H755" s="10"/>
    </row>
    <row r="756" spans="5:8">
      <c r="E756" s="9"/>
      <c r="F756" s="10"/>
      <c r="G756" s="10"/>
      <c r="H756" s="10"/>
    </row>
    <row r="757" spans="5:8">
      <c r="E757" s="9"/>
      <c r="F757" s="10"/>
      <c r="G757" s="10"/>
      <c r="H757" s="10"/>
    </row>
    <row r="758" spans="5:8">
      <c r="E758" s="9"/>
      <c r="F758" s="10"/>
      <c r="G758" s="10"/>
      <c r="H758" s="10"/>
    </row>
    <row r="759" spans="5:8">
      <c r="E759" s="9"/>
      <c r="F759" s="10"/>
      <c r="G759" s="10"/>
      <c r="H759" s="10"/>
    </row>
    <row r="760" spans="5:8">
      <c r="E760" s="9"/>
      <c r="F760" s="10"/>
      <c r="G760" s="10"/>
      <c r="H760" s="10"/>
    </row>
    <row r="761" spans="5:8">
      <c r="E761" s="9"/>
      <c r="F761" s="10"/>
      <c r="G761" s="10"/>
      <c r="H761" s="10"/>
    </row>
    <row r="762" spans="5:8">
      <c r="E762" s="9"/>
      <c r="F762" s="10"/>
      <c r="G762" s="10"/>
      <c r="H762" s="10"/>
    </row>
    <row r="763" spans="5:8">
      <c r="E763" s="9"/>
      <c r="F763" s="10"/>
      <c r="G763" s="10"/>
      <c r="H763" s="10"/>
    </row>
    <row r="764" spans="5:8">
      <c r="E764" s="9"/>
      <c r="F764" s="10"/>
      <c r="G764" s="10"/>
      <c r="H764" s="10"/>
    </row>
    <row r="765" spans="5:8">
      <c r="E765" s="9"/>
      <c r="F765" s="10"/>
      <c r="G765" s="10"/>
      <c r="H765" s="10"/>
    </row>
    <row r="766" spans="5:8">
      <c r="E766" s="9"/>
      <c r="F766" s="10"/>
      <c r="G766" s="10"/>
      <c r="H766" s="10"/>
    </row>
    <row r="767" spans="5:8">
      <c r="E767" s="9"/>
      <c r="F767" s="10"/>
      <c r="G767" s="10"/>
      <c r="H767" s="10"/>
    </row>
    <row r="768" spans="5:8">
      <c r="E768" s="9"/>
      <c r="F768" s="10"/>
      <c r="G768" s="10"/>
      <c r="H768" s="10"/>
    </row>
    <row r="769" spans="5:8">
      <c r="E769" s="9"/>
      <c r="F769" s="10"/>
      <c r="G769" s="10"/>
      <c r="H769" s="10"/>
    </row>
    <row r="770" spans="5:8">
      <c r="E770" s="9"/>
      <c r="F770" s="10"/>
      <c r="G770" s="10"/>
      <c r="H770" s="10"/>
    </row>
    <row r="771" spans="5:8">
      <c r="E771" s="9"/>
      <c r="F771" s="10"/>
      <c r="G771" s="10"/>
      <c r="H771" s="10"/>
    </row>
    <row r="772" spans="5:8">
      <c r="E772" s="9"/>
      <c r="F772" s="10"/>
      <c r="G772" s="10"/>
      <c r="H772" s="10"/>
    </row>
    <row r="773" spans="5:8">
      <c r="E773" s="9"/>
      <c r="F773" s="10"/>
      <c r="G773" s="10"/>
      <c r="H773" s="10"/>
    </row>
    <row r="774" spans="5:8">
      <c r="E774" s="9"/>
      <c r="F774" s="10"/>
      <c r="G774" s="10"/>
      <c r="H774" s="10"/>
    </row>
    <row r="775" spans="5:8">
      <c r="E775" s="9"/>
      <c r="F775" s="10"/>
      <c r="G775" s="10"/>
      <c r="H775" s="10"/>
    </row>
    <row r="776" spans="5:8">
      <c r="E776" s="9"/>
      <c r="F776" s="10"/>
      <c r="G776" s="10"/>
      <c r="H776" s="10"/>
    </row>
    <row r="777" spans="5:8">
      <c r="E777" s="9"/>
      <c r="F777" s="10"/>
      <c r="G777" s="10"/>
      <c r="H777" s="10"/>
    </row>
    <row r="778" spans="5:8">
      <c r="E778" s="9"/>
      <c r="F778" s="10"/>
      <c r="G778" s="10"/>
      <c r="H778" s="10"/>
    </row>
    <row r="779" spans="5:8">
      <c r="E779" s="9"/>
      <c r="F779" s="10"/>
      <c r="G779" s="10"/>
      <c r="H779" s="10"/>
    </row>
    <row r="780" spans="5:8">
      <c r="E780" s="9"/>
      <c r="F780" s="10"/>
      <c r="G780" s="10"/>
      <c r="H780" s="10"/>
    </row>
    <row r="781" spans="5:8">
      <c r="E781" s="9"/>
      <c r="F781" s="10"/>
      <c r="G781" s="10"/>
      <c r="H781" s="10"/>
    </row>
    <row r="782" spans="5:8">
      <c r="E782" s="9"/>
      <c r="F782" s="10"/>
      <c r="G782" s="10"/>
      <c r="H782" s="10"/>
    </row>
    <row r="783" spans="5:8">
      <c r="E783" s="9"/>
      <c r="F783" s="10"/>
      <c r="G783" s="10"/>
      <c r="H783" s="10"/>
    </row>
    <row r="784" spans="5:8">
      <c r="E784" s="9"/>
      <c r="F784" s="10"/>
      <c r="G784" s="10"/>
      <c r="H784" s="10"/>
    </row>
    <row r="785" spans="5:8">
      <c r="E785" s="9"/>
      <c r="F785" s="10"/>
      <c r="G785" s="10"/>
      <c r="H785" s="10"/>
    </row>
    <row r="786" spans="5:8">
      <c r="E786" s="9"/>
      <c r="F786" s="10"/>
      <c r="G786" s="10"/>
      <c r="H786" s="10"/>
    </row>
    <row r="787" spans="5:8">
      <c r="E787" s="9"/>
      <c r="F787" s="10"/>
      <c r="G787" s="10"/>
      <c r="H787" s="10"/>
    </row>
    <row r="788" spans="5:8">
      <c r="E788" s="9"/>
      <c r="F788" s="10"/>
      <c r="G788" s="10"/>
      <c r="H788" s="10"/>
    </row>
    <row r="789" spans="5:8">
      <c r="E789" s="9"/>
      <c r="F789" s="10"/>
      <c r="G789" s="10"/>
      <c r="H789" s="10"/>
    </row>
    <row r="790" spans="5:8">
      <c r="E790" s="9"/>
      <c r="F790" s="10"/>
      <c r="G790" s="10"/>
      <c r="H790" s="10"/>
    </row>
    <row r="791" spans="5:8">
      <c r="E791" s="9"/>
      <c r="F791" s="10"/>
      <c r="G791" s="10"/>
      <c r="H791" s="10"/>
    </row>
    <row r="792" spans="5:8">
      <c r="E792" s="9"/>
      <c r="F792" s="10"/>
      <c r="G792" s="10"/>
      <c r="H792" s="10"/>
    </row>
    <row r="793" spans="5:8">
      <c r="E793" s="9"/>
      <c r="F793" s="10"/>
      <c r="G793" s="10"/>
      <c r="H793" s="10"/>
    </row>
    <row r="794" spans="5:8">
      <c r="E794" s="9"/>
      <c r="F794" s="10"/>
      <c r="G794" s="10"/>
      <c r="H794" s="10"/>
    </row>
    <row r="795" spans="5:8">
      <c r="E795" s="9"/>
      <c r="F795" s="10"/>
      <c r="G795" s="10"/>
      <c r="H795" s="10"/>
    </row>
    <row r="796" spans="5:8">
      <c r="E796" s="9"/>
      <c r="F796" s="10"/>
      <c r="G796" s="10"/>
      <c r="H796" s="10"/>
    </row>
    <row r="797" spans="5:8">
      <c r="E797" s="9"/>
      <c r="F797" s="10"/>
      <c r="G797" s="10"/>
      <c r="H797" s="10"/>
    </row>
    <row r="798" spans="5:8">
      <c r="E798" s="9"/>
      <c r="F798" s="10"/>
      <c r="G798" s="10"/>
      <c r="H798" s="10"/>
    </row>
    <row r="799" spans="5:8">
      <c r="E799" s="9"/>
      <c r="F799" s="10"/>
      <c r="G799" s="10"/>
      <c r="H799" s="10"/>
    </row>
    <row r="800" spans="5:8">
      <c r="E800" s="9"/>
      <c r="F800" s="10"/>
      <c r="G800" s="10"/>
      <c r="H800" s="10"/>
    </row>
    <row r="801" spans="5:8">
      <c r="E801" s="9"/>
      <c r="F801" s="10"/>
      <c r="G801" s="10"/>
      <c r="H801" s="10"/>
    </row>
    <row r="802" spans="5:8">
      <c r="E802" s="9"/>
      <c r="F802" s="10"/>
      <c r="G802" s="10"/>
      <c r="H802" s="10"/>
    </row>
    <row r="803" spans="5:8">
      <c r="E803" s="9"/>
      <c r="F803" s="10"/>
      <c r="G803" s="10"/>
      <c r="H803" s="10"/>
    </row>
    <row r="804" spans="5:8">
      <c r="E804" s="9"/>
      <c r="F804" s="10"/>
      <c r="G804" s="10"/>
      <c r="H804" s="10"/>
    </row>
    <row r="805" spans="5:8">
      <c r="E805" s="9"/>
      <c r="F805" s="10"/>
      <c r="G805" s="10"/>
      <c r="H805" s="10"/>
    </row>
    <row r="806" spans="5:8">
      <c r="E806" s="9"/>
      <c r="F806" s="10"/>
      <c r="G806" s="10"/>
      <c r="H806" s="10"/>
    </row>
    <row r="807" spans="5:8">
      <c r="E807" s="9"/>
      <c r="F807" s="10"/>
      <c r="G807" s="10"/>
      <c r="H807" s="10"/>
    </row>
    <row r="808" spans="5:8">
      <c r="E808" s="9"/>
      <c r="F808" s="10"/>
      <c r="G808" s="10"/>
      <c r="H808" s="10"/>
    </row>
    <row r="809" spans="5:8">
      <c r="E809" s="9"/>
      <c r="F809" s="10"/>
      <c r="G809" s="10"/>
      <c r="H809" s="10"/>
    </row>
    <row r="810" spans="5:8">
      <c r="E810" s="9"/>
      <c r="F810" s="10"/>
      <c r="G810" s="10"/>
      <c r="H810" s="10"/>
    </row>
    <row r="811" spans="5:8">
      <c r="E811" s="9"/>
      <c r="F811" s="10"/>
      <c r="G811" s="10"/>
      <c r="H811" s="10"/>
    </row>
    <row r="812" spans="5:8">
      <c r="E812" s="9"/>
      <c r="F812" s="10"/>
      <c r="G812" s="10"/>
      <c r="H812" s="10"/>
    </row>
    <row r="813" spans="5:8">
      <c r="E813" s="9"/>
      <c r="F813" s="10"/>
      <c r="G813" s="10"/>
      <c r="H813" s="10"/>
    </row>
    <row r="814" spans="5:8">
      <c r="E814" s="9"/>
      <c r="F814" s="10"/>
      <c r="G814" s="10"/>
      <c r="H814" s="10"/>
    </row>
    <row r="815" spans="5:8">
      <c r="E815" s="9"/>
      <c r="F815" s="10"/>
      <c r="G815" s="10"/>
      <c r="H815" s="10"/>
    </row>
    <row r="816" spans="5:8">
      <c r="E816" s="9"/>
      <c r="F816" s="10"/>
      <c r="G816" s="10"/>
      <c r="H816" s="10"/>
    </row>
    <row r="817" spans="5:8">
      <c r="E817" s="9"/>
      <c r="F817" s="10"/>
      <c r="G817" s="10"/>
      <c r="H817" s="10"/>
    </row>
    <row r="818" spans="5:8">
      <c r="E818" s="9"/>
      <c r="F818" s="10"/>
      <c r="G818" s="10"/>
      <c r="H818" s="10"/>
    </row>
    <row r="819" spans="5:8">
      <c r="E819" s="9"/>
      <c r="F819" s="10"/>
      <c r="G819" s="10"/>
      <c r="H819" s="10"/>
    </row>
    <row r="820" spans="5:8">
      <c r="E820" s="9"/>
      <c r="F820" s="10"/>
      <c r="G820" s="10"/>
      <c r="H820" s="10"/>
    </row>
    <row r="821" spans="5:8">
      <c r="E821" s="9"/>
      <c r="F821" s="10"/>
      <c r="G821" s="10"/>
      <c r="H821" s="10"/>
    </row>
    <row r="822" spans="5:8">
      <c r="E822" s="9"/>
      <c r="F822" s="10"/>
      <c r="G822" s="10"/>
      <c r="H822" s="10"/>
    </row>
    <row r="823" spans="5:8">
      <c r="E823" s="9"/>
      <c r="F823" s="10"/>
      <c r="G823" s="10"/>
      <c r="H823" s="10"/>
    </row>
    <row r="824" spans="5:8">
      <c r="E824" s="9"/>
      <c r="F824" s="10"/>
      <c r="G824" s="10"/>
      <c r="H824" s="10"/>
    </row>
    <row r="825" spans="5:8">
      <c r="E825" s="9"/>
      <c r="F825" s="10"/>
      <c r="G825" s="10"/>
      <c r="H825" s="10"/>
    </row>
    <row r="826" spans="5:8">
      <c r="E826" s="9"/>
      <c r="F826" s="10"/>
      <c r="G826" s="10"/>
      <c r="H826" s="10"/>
    </row>
    <row r="827" spans="5:8">
      <c r="E827" s="9"/>
      <c r="F827" s="10"/>
      <c r="G827" s="10"/>
      <c r="H827" s="10"/>
    </row>
    <row r="828" spans="5:8">
      <c r="E828" s="9"/>
      <c r="F828" s="10"/>
      <c r="G828" s="10"/>
      <c r="H828" s="10"/>
    </row>
    <row r="829" spans="5:8">
      <c r="E829" s="9"/>
      <c r="F829" s="10"/>
      <c r="G829" s="10"/>
      <c r="H829" s="10"/>
    </row>
    <row r="830" spans="5:8">
      <c r="E830" s="9"/>
      <c r="F830" s="10"/>
      <c r="G830" s="10"/>
      <c r="H830" s="10"/>
    </row>
    <row r="831" spans="5:8">
      <c r="E831" s="9"/>
      <c r="F831" s="10"/>
      <c r="G831" s="10"/>
      <c r="H831" s="10"/>
    </row>
    <row r="832" spans="5:8">
      <c r="E832" s="9"/>
      <c r="F832" s="10"/>
      <c r="G832" s="10"/>
      <c r="H832" s="10"/>
    </row>
    <row r="833" spans="5:8">
      <c r="E833" s="9"/>
      <c r="F833" s="10"/>
      <c r="G833" s="10"/>
      <c r="H833" s="10"/>
    </row>
    <row r="834" spans="5:8">
      <c r="E834" s="9"/>
      <c r="F834" s="10"/>
      <c r="G834" s="10"/>
      <c r="H834" s="10"/>
    </row>
    <row r="835" spans="5:8">
      <c r="E835" s="9"/>
      <c r="F835" s="10"/>
      <c r="G835" s="10"/>
      <c r="H835" s="10"/>
    </row>
    <row r="836" spans="5:8">
      <c r="E836" s="9"/>
      <c r="F836" s="10"/>
      <c r="G836" s="10"/>
      <c r="H836" s="10"/>
    </row>
    <row r="837" spans="5:8">
      <c r="E837" s="9"/>
      <c r="F837" s="10"/>
      <c r="G837" s="10"/>
      <c r="H837" s="10"/>
    </row>
    <row r="838" spans="5:8">
      <c r="E838" s="9"/>
      <c r="F838" s="10"/>
      <c r="G838" s="10"/>
      <c r="H838" s="10"/>
    </row>
    <row r="839" spans="5:8">
      <c r="E839" s="9"/>
      <c r="F839" s="10"/>
      <c r="G839" s="10"/>
      <c r="H839" s="10"/>
    </row>
    <row r="840" spans="5:8">
      <c r="E840" s="9"/>
      <c r="F840" s="10"/>
      <c r="G840" s="10"/>
      <c r="H840" s="10"/>
    </row>
    <row r="841" spans="5:8">
      <c r="E841" s="9"/>
      <c r="F841" s="10"/>
      <c r="G841" s="10"/>
      <c r="H841" s="10"/>
    </row>
    <row r="842" spans="5:8">
      <c r="E842" s="9"/>
      <c r="F842" s="10"/>
      <c r="G842" s="10"/>
      <c r="H842" s="10"/>
    </row>
    <row r="843" spans="5:8">
      <c r="E843" s="9"/>
      <c r="F843" s="10"/>
      <c r="G843" s="10"/>
      <c r="H843" s="10"/>
    </row>
    <row r="844" spans="5:8">
      <c r="E844" s="9"/>
      <c r="F844" s="10"/>
      <c r="G844" s="10"/>
      <c r="H844" s="10"/>
    </row>
    <row r="845" spans="5:8">
      <c r="E845" s="9"/>
      <c r="F845" s="10"/>
      <c r="G845" s="10"/>
      <c r="H845" s="10"/>
    </row>
    <row r="846" spans="5:8">
      <c r="E846" s="9"/>
      <c r="F846" s="10"/>
      <c r="G846" s="10"/>
      <c r="H846" s="10"/>
    </row>
    <row r="847" spans="5:8">
      <c r="E847" s="9"/>
      <c r="F847" s="10"/>
      <c r="G847" s="10"/>
      <c r="H847" s="10"/>
    </row>
    <row r="848" spans="5:8">
      <c r="E848" s="9"/>
      <c r="F848" s="10"/>
      <c r="G848" s="10"/>
      <c r="H848" s="10"/>
    </row>
    <row r="849" spans="5:8">
      <c r="E849" s="9"/>
      <c r="F849" s="10"/>
      <c r="G849" s="10"/>
      <c r="H849" s="10"/>
    </row>
    <row r="850" spans="5:8">
      <c r="E850" s="9"/>
      <c r="F850" s="10"/>
      <c r="G850" s="10"/>
      <c r="H850" s="10"/>
    </row>
    <row r="851" spans="5:8">
      <c r="E851" s="9"/>
      <c r="F851" s="10"/>
      <c r="G851" s="10"/>
      <c r="H851" s="10"/>
    </row>
  </sheetData>
  <mergeCells count="252">
    <mergeCell ref="B7:D7"/>
    <mergeCell ref="J98:J100"/>
    <mergeCell ref="B80:B85"/>
    <mergeCell ref="F74:F76"/>
    <mergeCell ref="J107:J109"/>
    <mergeCell ref="F83:F85"/>
    <mergeCell ref="F26:F28"/>
    <mergeCell ref="I62:I64"/>
    <mergeCell ref="F35:F37"/>
    <mergeCell ref="C65:C67"/>
    <mergeCell ref="C47:C49"/>
    <mergeCell ref="C80:C82"/>
    <mergeCell ref="J41:J43"/>
    <mergeCell ref="I107:I109"/>
    <mergeCell ref="E9:K9"/>
    <mergeCell ref="J83:J85"/>
    <mergeCell ref="F20:F22"/>
    <mergeCell ref="D47:D49"/>
    <mergeCell ref="F47:F49"/>
    <mergeCell ref="E80:E82"/>
    <mergeCell ref="I71:I73"/>
    <mergeCell ref="E11:K11"/>
    <mergeCell ref="D62:D64"/>
    <mergeCell ref="F62:F64"/>
    <mergeCell ref="K107:K109"/>
    <mergeCell ref="E41:E43"/>
    <mergeCell ref="C77:C79"/>
    <mergeCell ref="E50:E52"/>
    <mergeCell ref="D14:D16"/>
    <mergeCell ref="F14:F16"/>
    <mergeCell ref="D23:D25"/>
    <mergeCell ref="I35:I37"/>
    <mergeCell ref="I50:I52"/>
    <mergeCell ref="I44:I46"/>
    <mergeCell ref="E56:E58"/>
    <mergeCell ref="K53:K55"/>
    <mergeCell ref="J92:J94"/>
    <mergeCell ref="D38:D40"/>
    <mergeCell ref="K68:K70"/>
    <mergeCell ref="J14:J16"/>
    <mergeCell ref="J23:J25"/>
    <mergeCell ref="C74:C76"/>
    <mergeCell ref="K83:K85"/>
    <mergeCell ref="E17:E19"/>
    <mergeCell ref="C83:C85"/>
    <mergeCell ref="E68:E70"/>
    <mergeCell ref="E83:E85"/>
    <mergeCell ref="D77:D79"/>
    <mergeCell ref="J47:J49"/>
    <mergeCell ref="E10:F10"/>
    <mergeCell ref="I77:I79"/>
    <mergeCell ref="J65:J67"/>
    <mergeCell ref="K20:K22"/>
    <mergeCell ref="D17:D19"/>
    <mergeCell ref="K29:K31"/>
    <mergeCell ref="K71:K73"/>
    <mergeCell ref="I17:I19"/>
    <mergeCell ref="K17:K19"/>
    <mergeCell ref="B11:D11"/>
    <mergeCell ref="B50:B55"/>
    <mergeCell ref="I104:I106"/>
    <mergeCell ref="K56:K58"/>
    <mergeCell ref="J59:J61"/>
    <mergeCell ref="K104:K106"/>
    <mergeCell ref="I32:I34"/>
    <mergeCell ref="K32:K34"/>
    <mergeCell ref="D101:D103"/>
    <mergeCell ref="K26:K28"/>
    <mergeCell ref="J74:J76"/>
    <mergeCell ref="F101:F103"/>
    <mergeCell ref="J68:J70"/>
    <mergeCell ref="E89:E91"/>
    <mergeCell ref="K92:K94"/>
    <mergeCell ref="I101:I103"/>
    <mergeCell ref="D104:D106"/>
    <mergeCell ref="K101:K103"/>
    <mergeCell ref="J62:J64"/>
    <mergeCell ref="I83:I85"/>
    <mergeCell ref="K77:K79"/>
    <mergeCell ref="K95:K97"/>
    <mergeCell ref="K86:K88"/>
    <mergeCell ref="E104:E106"/>
    <mergeCell ref="I98:I100"/>
    <mergeCell ref="K38:K40"/>
    <mergeCell ref="E7:K7"/>
    <mergeCell ref="D89:D91"/>
    <mergeCell ref="I59:I61"/>
    <mergeCell ref="D98:D100"/>
    <mergeCell ref="F98:F100"/>
    <mergeCell ref="B62:B67"/>
    <mergeCell ref="C53:C55"/>
    <mergeCell ref="B56:B61"/>
    <mergeCell ref="J56:J58"/>
    <mergeCell ref="E53:E55"/>
    <mergeCell ref="K62:K64"/>
    <mergeCell ref="E47:E49"/>
    <mergeCell ref="D26:D28"/>
    <mergeCell ref="C86:C88"/>
    <mergeCell ref="C68:C70"/>
    <mergeCell ref="B38:B43"/>
    <mergeCell ref="B98:B103"/>
    <mergeCell ref="D50:D52"/>
    <mergeCell ref="D59:D61"/>
    <mergeCell ref="C92:C94"/>
    <mergeCell ref="J17:J19"/>
    <mergeCell ref="E8:K8"/>
    <mergeCell ref="F53:F55"/>
    <mergeCell ref="E92:E94"/>
    <mergeCell ref="B2:K5"/>
    <mergeCell ref="B10:D10"/>
    <mergeCell ref="F107:F109"/>
    <mergeCell ref="E62:E64"/>
    <mergeCell ref="D83:D85"/>
    <mergeCell ref="F77:F79"/>
    <mergeCell ref="D35:D37"/>
    <mergeCell ref="I65:I67"/>
    <mergeCell ref="D44:D46"/>
    <mergeCell ref="K65:K67"/>
    <mergeCell ref="B9:D9"/>
    <mergeCell ref="F44:F46"/>
    <mergeCell ref="C62:C64"/>
    <mergeCell ref="I80:I82"/>
    <mergeCell ref="K80:K82"/>
    <mergeCell ref="I89:I91"/>
    <mergeCell ref="C98:C100"/>
    <mergeCell ref="K89:K91"/>
    <mergeCell ref="J44:J46"/>
    <mergeCell ref="B44:B49"/>
    <mergeCell ref="J53:J55"/>
    <mergeCell ref="J77:J79"/>
    <mergeCell ref="E38:E40"/>
    <mergeCell ref="C104:C106"/>
    <mergeCell ref="B8:D8"/>
    <mergeCell ref="E86:E88"/>
    <mergeCell ref="I20:I22"/>
    <mergeCell ref="I14:I16"/>
    <mergeCell ref="I29:I31"/>
    <mergeCell ref="K14:K16"/>
    <mergeCell ref="I23:I25"/>
    <mergeCell ref="K23:K25"/>
    <mergeCell ref="J71:J73"/>
    <mergeCell ref="B68:B73"/>
    <mergeCell ref="I41:I43"/>
    <mergeCell ref="K41:K43"/>
    <mergeCell ref="C26:C28"/>
    <mergeCell ref="K35:K37"/>
    <mergeCell ref="K50:K52"/>
    <mergeCell ref="D86:D88"/>
    <mergeCell ref="I56:I58"/>
    <mergeCell ref="F86:F88"/>
    <mergeCell ref="J20:J22"/>
    <mergeCell ref="B20:B25"/>
    <mergeCell ref="F56:F58"/>
    <mergeCell ref="D32:D34"/>
    <mergeCell ref="J10:K10"/>
    <mergeCell ref="D68:D70"/>
    <mergeCell ref="B104:B109"/>
    <mergeCell ref="I68:I70"/>
    <mergeCell ref="F41:F43"/>
    <mergeCell ref="D107:D109"/>
    <mergeCell ref="J104:J106"/>
    <mergeCell ref="F23:F25"/>
    <mergeCell ref="F50:F52"/>
    <mergeCell ref="J32:J34"/>
    <mergeCell ref="B32:B37"/>
    <mergeCell ref="J26:J28"/>
    <mergeCell ref="B26:B31"/>
    <mergeCell ref="E101:E103"/>
    <mergeCell ref="D56:D58"/>
    <mergeCell ref="I92:I94"/>
    <mergeCell ref="E98:E100"/>
    <mergeCell ref="E107:E109"/>
    <mergeCell ref="B92:B97"/>
    <mergeCell ref="D95:D97"/>
    <mergeCell ref="F95:F97"/>
    <mergeCell ref="F104:F106"/>
    <mergeCell ref="C71:C73"/>
    <mergeCell ref="F32:F34"/>
    <mergeCell ref="E65:E67"/>
    <mergeCell ref="E74:E76"/>
    <mergeCell ref="C107:C109"/>
    <mergeCell ref="C89:C91"/>
    <mergeCell ref="C101:C103"/>
    <mergeCell ref="I74:I76"/>
    <mergeCell ref="K74:K76"/>
    <mergeCell ref="I26:I28"/>
    <mergeCell ref="D65:D67"/>
    <mergeCell ref="J29:J31"/>
    <mergeCell ref="F65:F67"/>
    <mergeCell ref="J38:J40"/>
    <mergeCell ref="K44:K46"/>
    <mergeCell ref="F59:F61"/>
    <mergeCell ref="D80:D82"/>
    <mergeCell ref="C41:C43"/>
    <mergeCell ref="F80:F82"/>
    <mergeCell ref="C35:C37"/>
    <mergeCell ref="C50:C52"/>
    <mergeCell ref="K59:K61"/>
    <mergeCell ref="E35:E37"/>
    <mergeCell ref="C44:C46"/>
    <mergeCell ref="C59:C61"/>
    <mergeCell ref="F89:F91"/>
    <mergeCell ref="E44:E46"/>
    <mergeCell ref="E59:E61"/>
    <mergeCell ref="K98:K100"/>
    <mergeCell ref="E26:E28"/>
    <mergeCell ref="D92:D94"/>
    <mergeCell ref="F92:F94"/>
    <mergeCell ref="D20:D22"/>
    <mergeCell ref="D29:D31"/>
    <mergeCell ref="F29:F31"/>
    <mergeCell ref="E71:E73"/>
    <mergeCell ref="I53:I55"/>
    <mergeCell ref="J86:J88"/>
    <mergeCell ref="K47:K49"/>
    <mergeCell ref="J80:J82"/>
    <mergeCell ref="J95:J97"/>
    <mergeCell ref="J89:J91"/>
    <mergeCell ref="J35:J37"/>
    <mergeCell ref="J50:J52"/>
    <mergeCell ref="D53:D55"/>
    <mergeCell ref="F38:F40"/>
    <mergeCell ref="D74:D76"/>
    <mergeCell ref="D71:D73"/>
    <mergeCell ref="I86:I88"/>
    <mergeCell ref="I95:I97"/>
    <mergeCell ref="E20:E22"/>
    <mergeCell ref="E29:E31"/>
    <mergeCell ref="J101:J103"/>
    <mergeCell ref="C95:C97"/>
    <mergeCell ref="E95:E97"/>
    <mergeCell ref="D41:D43"/>
    <mergeCell ref="C14:C16"/>
    <mergeCell ref="E14:E16"/>
    <mergeCell ref="B74:B79"/>
    <mergeCell ref="B86:B91"/>
    <mergeCell ref="B14:B19"/>
    <mergeCell ref="C17:C19"/>
    <mergeCell ref="C20:C22"/>
    <mergeCell ref="C29:C31"/>
    <mergeCell ref="I47:I49"/>
    <mergeCell ref="F68:F70"/>
    <mergeCell ref="E23:E25"/>
    <mergeCell ref="C56:C58"/>
    <mergeCell ref="E77:E79"/>
    <mergeCell ref="I38:I40"/>
    <mergeCell ref="C23:C25"/>
    <mergeCell ref="C38:C40"/>
    <mergeCell ref="C32:C34"/>
    <mergeCell ref="E32:E34"/>
    <mergeCell ref="F17:F19"/>
    <mergeCell ref="F71:F73"/>
  </mergeCells>
  <dataValidations count="1">
    <dataValidation type="list" allowBlank="1" showErrorMessage="1" sqref="I23 I29 I35" xr:uid="{00000000-0002-0000-0000-000000000000}">
      <formula1>"Sin cambio,Uso de taller,Uso de centro de computo,Uso de estudio de fotografía,Clase fuera del instituto"</formula1>
    </dataValidation>
  </dataValidations>
  <pageMargins left="0.7" right="0.7" top="0.75" bottom="0.75" header="0.3" footer="0.3"/>
  <pageSetup paperSize="9" fitToHeight="0" orientation="landscape"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MODELO</vt:lpstr>
      <vt:lpstr>MODELO!Área_de_impresión</vt:lpstr>
      <vt:lpstr>MODELO!Títulos_a_imprimir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Gisette Velazco</dc:creator>
  <cp:lastModifiedBy>Usuario</cp:lastModifiedBy>
  <dcterms:created xsi:type="dcterms:W3CDTF">2026-03-10T17:27:50Z</dcterms:created>
  <dcterms:modified xsi:type="dcterms:W3CDTF">2026-08-17T11:45:43Z</dcterms:modified>
</cp:coreProperties>
</file>