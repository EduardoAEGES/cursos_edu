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ciones" sheetId="1" state="visible" r:id="rId3"/>
    <sheet name="Caso guía Heladería" sheetId="2" state="visible" r:id="rId4"/>
    <sheet name="Caso 1 Antojitos" sheetId="3" state="visible" r:id="rId5"/>
    <sheet name="Caso 2 Cafeterí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<sst xmlns="http://schemas.openxmlformats.org/spreadsheetml/2006/main" count="796" uniqueCount="258">
  <si>
    <t xml:space="preserve">ANÁLISIS DE COSTOS Y PRESUPUESTOS · MARKETING III · 2026-II</t>
  </si>
  <si>
    <t xml:space="preserve">Semana 8 · Martes 6 de octubre de 2026 · Presupuesto de ventas y de producción</t>
  </si>
  <si>
    <t xml:space="preserve">Indicaciones</t>
  </si>
  <si>
    <t xml:space="preserve">• Empiece revisando el Caso guía (Heladería Brisa Polar): está resuelto y muestra el orden de trabajo.</t>
  </si>
  <si>
    <t xml:space="preserve">• En los casos 1 y 2, los materiales (Dato 1) ya se trabajaron la semana pasada: aquí son dato.</t>
  </si>
  <si>
    <t xml:space="preserve">• Complete solo las celdas amarillas. Use fórmulas, no escriba resultados a mano.</t>
  </si>
  <si>
    <t xml:space="preserve">• Trabaje en orden: Bloque 1 (ventas), Bloque 2 (producción) y Bloque 3 (costo de MPD).</t>
  </si>
  <si>
    <t xml:space="preserve">• Luego haga lo mismo con los datos de su proyecto y páselo al informe.</t>
  </si>
  <si>
    <t xml:space="preserve">¿Dónde va cada tabla en el informe?</t>
  </si>
  <si>
    <t xml:space="preserve">Tabla del Excel</t>
  </si>
  <si>
    <t xml:space="preserve">Punto del informe final</t>
  </si>
  <si>
    <t xml:space="preserve">1a Compra comercial</t>
  </si>
  <si>
    <t xml:space="preserve">Anexo A.4</t>
  </si>
  <si>
    <t xml:space="preserve">1b Consumo por unidad (una por producto)</t>
  </si>
  <si>
    <t xml:space="preserve">5.2.1 Costo de materia prima directa por unidad</t>
  </si>
  <si>
    <t xml:space="preserve">1c Materiales del mes</t>
  </si>
  <si>
    <t xml:space="preserve">5.2.1 Materia prima indirecta del mes</t>
  </si>
  <si>
    <t xml:space="preserve">Bloque 1: C1 Ventas en unidades</t>
  </si>
  <si>
    <t xml:space="preserve">5.6.1 Presupuesto de ventas (columnas de unidades)</t>
  </si>
  <si>
    <t xml:space="preserve">Bloque 2: C2 Producción</t>
  </si>
  <si>
    <t xml:space="preserve">5.5.2 Presupuesto de producción (una tabla por producto)</t>
  </si>
  <si>
    <t xml:space="preserve">Bloque 3: Costo de MPD presupuestado</t>
  </si>
  <si>
    <t xml:space="preserve">5.5.2 Costo de materia prima directa presupuestado</t>
  </si>
  <si>
    <t xml:space="preserve">Lo que va al informe está marcado en rojo oscuro en cada caso.</t>
  </si>
  <si>
    <t xml:space="preserve">Producción = Ventas + Inventario final deseado − Inventario inicial. El inventario inicial de cada mes es el inventario final del mes anterior. En servicios, producción = ventas.</t>
  </si>
  <si>
    <t xml:space="preserve">CASO GUÍA · HELADERÍA BRISA POLAR (resuelto)</t>
  </si>
  <si>
    <t xml:space="preserve">Semana 8 · Martes 6 de octubre de 2026 · Presupuesto de ventas y de producción · CASO RESUELTO: úselo como modelo</t>
  </si>
  <si>
    <t xml:space="preserve">Enunciado</t>
  </si>
  <si>
    <t xml:space="preserve">Heladería Brisa Polar es una pequeña planta de helados artesanales ubicada en Cayma, Arequipa. Vende a cafeterías, tiendas de barrio y por delivery. Para su primer año de operación (enero a diciembre de 2027) necesita saber cuántas unidades producir cada mes y cuánto costará la materia prima directa. Como el helado se conserva congelado, la política es dejar en cámara el 20 % de las ventas del mes siguiente. Las ventas suben en verano (diciembre a marzo) y bajan en invierno (junio y julio).</t>
  </si>
  <si>
    <t xml:space="preserve">Se pide:</t>
  </si>
  <si>
    <t xml:space="preserve">1. Completar el presupuesto de ventas en unidades (totales).</t>
  </si>
  <si>
    <t xml:space="preserve">2. Elaborar el presupuesto de producción mensual de cada producto.</t>
  </si>
  <si>
    <t xml:space="preserve">3. Calcular el costo de materia prima directa de cada mes y del año.</t>
  </si>
  <si>
    <t xml:space="preserve">Producto A</t>
  </si>
  <si>
    <t xml:space="preserve">Pote de helado de vainilla de 1 L (unidad: pote)</t>
  </si>
  <si>
    <t xml:space="preserve">Producto B</t>
  </si>
  <si>
    <t xml:space="preserve">Paleta de fresa con leche (unidad: paleta)</t>
  </si>
  <si>
    <t xml:space="preserve">IGV</t>
  </si>
  <si>
    <t xml:space="preserve">DATO 1 · Materiales (trabajado en la semana 7)</t>
  </si>
  <si>
    <t xml:space="preserve">Va en el informe, punto 5.2.1: las tablas 1b (una por producto) y 1c. La tabla 1a queda en el Anexo A.4.</t>
  </si>
  <si>
    <t xml:space="preserve">1a. Compra comercial</t>
  </si>
  <si>
    <t xml:space="preserve">N.°</t>
  </si>
  <si>
    <t xml:space="preserve">Material</t>
  </si>
  <si>
    <t xml:space="preserve">Presentación</t>
  </si>
  <si>
    <t xml:space="preserve">Contenido</t>
  </si>
  <si>
    <t xml:space="preserve">Unidad</t>
  </si>
  <si>
    <t xml:space="preserve">Precio pagado (S/)</t>
  </si>
  <si>
    <t xml:space="preserve">¿Afecto a IGV?</t>
  </si>
  <si>
    <t xml:space="preserve">Valor sin IGV (S/)</t>
  </si>
  <si>
    <t xml:space="preserve">Costo por unidad de medida (S/)</t>
  </si>
  <si>
    <t xml:space="preserve">Fuente de referencia del precio</t>
  </si>
  <si>
    <t xml:space="preserve">Leche fresca entera</t>
  </si>
  <si>
    <t xml:space="preserve">Caja x 12 L</t>
  </si>
  <si>
    <t xml:space="preserve">L</t>
  </si>
  <si>
    <t xml:space="preserve">Sí</t>
  </si>
  <si>
    <t xml:space="preserve">Distribuidoras de lácteos de Arequipa</t>
  </si>
  <si>
    <t xml:space="preserve">Crema de leche</t>
  </si>
  <si>
    <t xml:space="preserve">Azúcar rubia</t>
  </si>
  <si>
    <t xml:space="preserve">Saco x 50 kg</t>
  </si>
  <si>
    <t xml:space="preserve">kg</t>
  </si>
  <si>
    <t xml:space="preserve">Makro Perú (formato mayorista)</t>
  </si>
  <si>
    <t xml:space="preserve">Extracto de vainilla</t>
  </si>
  <si>
    <t xml:space="preserve">Botella x 1 L</t>
  </si>
  <si>
    <t xml:space="preserve">Tiendas de insumos para heladería de Arequipa</t>
  </si>
  <si>
    <t xml:space="preserve">Fresa fresca</t>
  </si>
  <si>
    <t xml:space="preserve">Caja x 5 kg</t>
  </si>
  <si>
    <t xml:space="preserve">No (exonerado)</t>
  </si>
  <si>
    <t xml:space="preserve">Mercado San Camilo</t>
  </si>
  <si>
    <t xml:space="preserve">Pote de 1 L con tapa</t>
  </si>
  <si>
    <t xml:space="preserve">Paquete x 50</t>
  </si>
  <si>
    <t xml:space="preserve">unidad</t>
  </si>
  <si>
    <t xml:space="preserve">Distribuidoras de empaques y descartables de Arequipa</t>
  </si>
  <si>
    <t xml:space="preserve">Palito de madera para paleta</t>
  </si>
  <si>
    <t xml:space="preserve">Caja x 1,000</t>
  </si>
  <si>
    <t xml:space="preserve">Envoltura impresa para paleta</t>
  </si>
  <si>
    <t xml:space="preserve">Millar</t>
  </si>
  <si>
    <t xml:space="preserve">Imprentas del Cercado de Arequipa</t>
  </si>
  <si>
    <t xml:space="preserve">Estabilizante para helados</t>
  </si>
  <si>
    <t xml:space="preserve">Bolsa x 1 kg</t>
  </si>
  <si>
    <t xml:space="preserve">bolsa</t>
  </si>
  <si>
    <t xml:space="preserve">Guantes y gorros descartables</t>
  </si>
  <si>
    <t xml:space="preserve">Caja</t>
  </si>
  <si>
    <t xml:space="preserve">caja</t>
  </si>
  <si>
    <t xml:space="preserve">Bolsas térmicas de despacho</t>
  </si>
  <si>
    <t xml:space="preserve">Paquete x 100</t>
  </si>
  <si>
    <t xml:space="preserve">Productos de limpieza del local</t>
  </si>
  <si>
    <t xml:space="preserve">Paquete</t>
  </si>
  <si>
    <t xml:space="preserve">paquete</t>
  </si>
  <si>
    <t xml:space="preserve">Precios referenciales de 2026. Antes de cerrar el informe, confirmen con una cotización real.</t>
  </si>
  <si>
    <t xml:space="preserve">1b. Consumo por unidad – Producto A: Pote de helado de vainilla de 1 L</t>
  </si>
  <si>
    <t xml:space="preserve">Consumo neto</t>
  </si>
  <si>
    <t xml:space="preserve">% de merma</t>
  </si>
  <si>
    <t xml:space="preserve">Consumo bruto</t>
  </si>
  <si>
    <t xml:space="preserve">Costo por pote (S/)</t>
  </si>
  <si>
    <t xml:space="preserve">¿Por qué hay merma?</t>
  </si>
  <si>
    <t xml:space="preserve">Leche que queda en la olla de pasteurización y en la máquina.</t>
  </si>
  <si>
    <t xml:space="preserve">Crema que queda en la olla y en la máquina.</t>
  </si>
  <si>
    <t xml:space="preserve">Azúcar que cae al pesar y mezclar.</t>
  </si>
  <si>
    <t xml:space="preserve">Lo que queda en el envase y el medidor.</t>
  </si>
  <si>
    <t xml:space="preserve">Potes que se rajan o deforman al llenarlos.</t>
  </si>
  <si>
    <t xml:space="preserve">COSTO DE MPD POR POTE</t>
  </si>
  <si>
    <t xml:space="preserve">1b. Consumo por unidad – Producto B: Paleta de fresa con leche</t>
  </si>
  <si>
    <t xml:space="preserve">Costo por paleta (S/)</t>
  </si>
  <si>
    <t xml:space="preserve">Hojas, tallos y fresas dañadas que se descartan.</t>
  </si>
  <si>
    <t xml:space="preserve">Palitos rotos o astillados.</t>
  </si>
  <si>
    <t xml:space="preserve">Envolturas que se rompen al sellar.</t>
  </si>
  <si>
    <t xml:space="preserve">COSTO DE MPD POR PALETA</t>
  </si>
  <si>
    <t xml:space="preserve">1c. Materiales que se consumen por mes</t>
  </si>
  <si>
    <t xml:space="preserve">Consumo del mes</t>
  </si>
  <si>
    <t xml:space="preserve">Clasificación</t>
  </si>
  <si>
    <t xml:space="preserve">Va a</t>
  </si>
  <si>
    <t xml:space="preserve">Costo del mes sin IGV (S/)</t>
  </si>
  <si>
    <t xml:space="preserve">MPI</t>
  </si>
  <si>
    <t xml:space="preserve">CIF</t>
  </si>
  <si>
    <t xml:space="preserve">No es materia prima</t>
  </si>
  <si>
    <t xml:space="preserve">Gasto de ventas</t>
  </si>
  <si>
    <t xml:space="preserve">Gasto administrativo</t>
  </si>
  <si>
    <t xml:space="preserve">Materia prima indirecta del mes (pasa a CIF)</t>
  </si>
  <si>
    <t xml:space="preserve">Gasto administrativo del mes</t>
  </si>
  <si>
    <t xml:space="preserve">Gasto de ventas del mes</t>
  </si>
  <si>
    <t xml:space="preserve">DATO 2 · Política de inventario de producto terminado</t>
  </si>
  <si>
    <t xml:space="preserve">Inventario final deseado (% de las ventas del mes siguiente)</t>
  </si>
  <si>
    <t xml:space="preserve">Inventario inicial al 1-ene-2027 – Producto A (potes)</t>
  </si>
  <si>
    <t xml:space="preserve">Inventario inicial al 1-ene-2027 – Producto B (paletas)</t>
  </si>
  <si>
    <t xml:space="preserve">BLOQUE 1 · C1 Presupuesto de ventas en unidades</t>
  </si>
  <si>
    <t xml:space="preserve">Va en el informe, punto 5.6.1: columnas de unidades. Los soles se completan cuando se fije el precio.</t>
  </si>
  <si>
    <t xml:space="preserve">Mes</t>
  </si>
  <si>
    <t xml:space="preserve">Producto A (potes)</t>
  </si>
  <si>
    <t xml:space="preserve">Producto B (paletas)</t>
  </si>
  <si>
    <t xml:space="preserve">Total</t>
  </si>
  <si>
    <t xml:space="preserve">Ene-27</t>
  </si>
  <si>
    <t xml:space="preserve">Feb-27</t>
  </si>
  <si>
    <t xml:space="preserve">Mar-27</t>
  </si>
  <si>
    <t xml:space="preserve">Abr-27</t>
  </si>
  <si>
    <t xml:space="preserve">May-27</t>
  </si>
  <si>
    <t xml:space="preserve">Jun-27</t>
  </si>
  <si>
    <t xml:space="preserve">Jul-27</t>
  </si>
  <si>
    <t xml:space="preserve">Ago-27</t>
  </si>
  <si>
    <t xml:space="preserve">Sep-27</t>
  </si>
  <si>
    <t xml:space="preserve">Oct-27</t>
  </si>
  <si>
    <t xml:space="preserve">Nov-27</t>
  </si>
  <si>
    <t xml:space="preserve">Dic-27</t>
  </si>
  <si>
    <t xml:space="preserve">TOTAL 2027</t>
  </si>
  <si>
    <t xml:space="preserve">Ene-28 (solo para el inventario final de diciembre)</t>
  </si>
  <si>
    <t xml:space="preserve">BLOQUE 2 · C2 Presupuesto de producción</t>
  </si>
  <si>
    <t xml:space="preserve">Va en el informe, punto 5.5.2: una tabla de producción por producto.</t>
  </si>
  <si>
    <t xml:space="preserve">NOTA: Redondee el inventario final deseado a unidades enteras. El inventario inicial de febrero es el inventario final de enero, y así sucesivamente.</t>
  </si>
  <si>
    <t xml:space="preserve">C2 Presupuesto de producción – Producto A: Pote de helado de vainilla de 1 L</t>
  </si>
  <si>
    <t xml:space="preserve">Ventas</t>
  </si>
  <si>
    <t xml:space="preserve">(+) Inventario final deseado</t>
  </si>
  <si>
    <t xml:space="preserve">(=) Necesidad total</t>
  </si>
  <si>
    <t xml:space="preserve">(−) Inventario inicial</t>
  </si>
  <si>
    <t xml:space="preserve">(=) Producción</t>
  </si>
  <si>
    <t xml:space="preserve">C2 Presupuesto de producción – Producto B: Paleta de fresa con leche</t>
  </si>
  <si>
    <t xml:space="preserve">BLOQUE 3 · Costo de materia prima directa presupuestado</t>
  </si>
  <si>
    <t xml:space="preserve">Va en el informe, punto 5.5.2: Costo de materia prima directa presupuestado (reemplaza al presupuesto de compras por material).</t>
  </si>
  <si>
    <t xml:space="preserve">Costo de MPD del mes = unidades producidas × costo de MPD por unidad (tabla 1b).</t>
  </si>
  <si>
    <t xml:space="preserve">Producción A (potes)</t>
  </si>
  <si>
    <t xml:space="preserve">Producción B (paletas)</t>
  </si>
  <si>
    <t xml:space="preserve">Costo MPD A (S/)</t>
  </si>
  <si>
    <t xml:space="preserve">Costo MPD B (S/)</t>
  </si>
  <si>
    <t xml:space="preserve">Costo MPD total (S/)</t>
  </si>
  <si>
    <t xml:space="preserve">CASO 1 · ANTOJITOS DE AREQUIPA (empresa de manufactura)</t>
  </si>
  <si>
    <t xml:space="preserve">Antojitos de Arequipa elabora alfajores en su planta de Arequipa y los vende en sus tiendas y en el aeropuerto. Para su primer año de operación (enero a diciembre de 2027), la gerencia necesita saber cuántas cajas debe producir cada mes y cuánto le costará la materia prima directa. Como los alfajores duran unas tres semanas, la política es mantener en almacén el 10 % de las ventas del mes siguiente. Datos referenciales con fines académicos.</t>
  </si>
  <si>
    <t xml:space="preserve">Caja de 12 alfajorcitos de manjar blanco (unidad: caja)</t>
  </si>
  <si>
    <t xml:space="preserve">Caja de 6 alfajores bañados en chocolate (unidad: caja)</t>
  </si>
  <si>
    <t xml:space="preserve">Harina sin preparar</t>
  </si>
  <si>
    <t xml:space="preserve">Makro Perú / Mercado San Camilo</t>
  </si>
  <si>
    <t xml:space="preserve">Maicena (almidón de maíz)</t>
  </si>
  <si>
    <t xml:space="preserve">Bolsa x 25 kg</t>
  </si>
  <si>
    <t xml:space="preserve">Mantequilla sin sal</t>
  </si>
  <si>
    <t xml:space="preserve">Caja x 10 kg</t>
  </si>
  <si>
    <t xml:space="preserve">Azúcar impalpable</t>
  </si>
  <si>
    <t xml:space="preserve">Tiendas de insumos de repostería de Arequipa</t>
  </si>
  <si>
    <t xml:space="preserve">Huevos frescos</t>
  </si>
  <si>
    <t xml:space="preserve">Jaba x 180</t>
  </si>
  <si>
    <t xml:space="preserve">MIDAGRI – SISAP / Mercado Río Seco</t>
  </si>
  <si>
    <t xml:space="preserve">Manjar blanco</t>
  </si>
  <si>
    <t xml:space="preserve">Balde x 5 kg</t>
  </si>
  <si>
    <t xml:space="preserve">Cobertura de chocolate bitter</t>
  </si>
  <si>
    <t xml:space="preserve">Bolsa x 5 kg</t>
  </si>
  <si>
    <t xml:space="preserve">Pirotín metálico dorado</t>
  </si>
  <si>
    <t xml:space="preserve">Paquete x 500</t>
  </si>
  <si>
    <t xml:space="preserve">Distribuidoras de empaques de Arequipa</t>
  </si>
  <si>
    <t xml:space="preserve">Caja impresa para 12 alfajorcitos</t>
  </si>
  <si>
    <t xml:space="preserve">Caja impresa para 6 alfajores</t>
  </si>
  <si>
    <t xml:space="preserve">Sticker de cierre con registro sanitario</t>
  </si>
  <si>
    <t xml:space="preserve">Polvo de hornear</t>
  </si>
  <si>
    <t xml:space="preserve">Esencia de vainilla</t>
  </si>
  <si>
    <t xml:space="preserve">botella</t>
  </si>
  <si>
    <t xml:space="preserve">Papel manteca y film</t>
  </si>
  <si>
    <t xml:space="preserve">Bolsas de despacho con logo</t>
  </si>
  <si>
    <t xml:space="preserve">1b. Consumo por unidad – Producto A: Caja de 12 alfajorcitos de manjar blanco</t>
  </si>
  <si>
    <t xml:space="preserve">Costo por caja (S/)</t>
  </si>
  <si>
    <t xml:space="preserve">Harina que queda en el tamiz, la mesa y los bowls.</t>
  </si>
  <si>
    <t xml:space="preserve">Lo que queda en el tamiz y la mesa.</t>
  </si>
  <si>
    <t xml:space="preserve">Lo que queda pegado en el envase y en los bowls.</t>
  </si>
  <si>
    <t xml:space="preserve">Lo que cae fuera al espolvorear.</t>
  </si>
  <si>
    <t xml:space="preserve">Huevos rotos en el transporte o en el almacén.</t>
  </si>
  <si>
    <t xml:space="preserve">Lo que queda en el balde y en la manga pastelera.</t>
  </si>
  <si>
    <t xml:space="preserve">Pirotines que se rompen o deforman.</t>
  </si>
  <si>
    <t xml:space="preserve">Cajas que se doblan o manchan al armarlas.</t>
  </si>
  <si>
    <t xml:space="preserve">Stickers mal pegados o mal impresos.</t>
  </si>
  <si>
    <t xml:space="preserve">COSTO DE MPD POR CAJA</t>
  </si>
  <si>
    <t xml:space="preserve">1b. Consumo por unidad – Producto B: Caja de 6 alfajores bañados en chocolate</t>
  </si>
  <si>
    <t xml:space="preserve">Chocolate que queda en el baño maría y el goteo.</t>
  </si>
  <si>
    <t xml:space="preserve">Inventario inicial al 1-ene-2027 – Producto A (cajas)</t>
  </si>
  <si>
    <t xml:space="preserve">Inventario inicial al 1-ene-2027 – Producto B (cajas)</t>
  </si>
  <si>
    <t xml:space="preserve">Producto A (cajas)</t>
  </si>
  <si>
    <t xml:space="preserve">Producto B (cajas)</t>
  </si>
  <si>
    <t xml:space="preserve">C2 Presupuesto de producción – Producto A: Caja de 12 alfajorcitos de manjar blanco</t>
  </si>
  <si>
    <t xml:space="preserve">C2 Presupuesto de producción – Producto B: Caja de 6 alfajores bañados en chocolate</t>
  </si>
  <si>
    <t xml:space="preserve">Producción A (cajas)</t>
  </si>
  <si>
    <t xml:space="preserve">Producción B (cajas)</t>
  </si>
  <si>
    <t xml:space="preserve">RETO (opcional)</t>
  </si>
  <si>
    <t xml:space="preserve">Si la gerencia sube la política de inventario final al 15 %, ¿cuál sería el costo anual de materia prima directa? ¿Cuánto más se gasta frente a la política del 10 %?</t>
  </si>
  <si>
    <t xml:space="preserve">Pista: producción del año = ventas del año + inventario final de diciembre − inventario inicial de enero.</t>
  </si>
  <si>
    <t xml:space="preserve">Política propuesta</t>
  </si>
  <si>
    <t xml:space="preserve">Costo anual de MPD con 15 %</t>
  </si>
  <si>
    <t xml:space="preserve">Diferencia frente al 10 %</t>
  </si>
  <si>
    <t xml:space="preserve">CASO 2 · OCASO CAFÉ TERRAZA (empresa de servicio)</t>
  </si>
  <si>
    <t xml:space="preserve">Ocaso Café Terraza es una cafetería con terraza en el Cercado de Arequipa. Cada bebida se prepara al momento del pedido, por eso no guarda inventario de producto terminado. Para 2027 la administración quiere conocer cuántas bebidas preparará cada mes y cuánto le costará la materia prima directa. El hielo, el agua y la vajilla no son materia prima directa: van a los costos indirectos.</t>
  </si>
  <si>
    <t xml:space="preserve">2. Elaborar el presupuesto de producción mensual de cada producto. Explicar por qué es igual a las ventas.</t>
  </si>
  <si>
    <t xml:space="preserve">Iced latte de 400 ml (unidad: bebida)</t>
  </si>
  <si>
    <t xml:space="preserve">Infusión de frutos rojos en prensa francesa (300 ml) (unidad: bebida)</t>
  </si>
  <si>
    <t xml:space="preserve">Café en grano tostado</t>
  </si>
  <si>
    <t xml:space="preserve">Tostadurías de café de Arequipa</t>
  </si>
  <si>
    <t xml:space="preserve">Leche entera</t>
  </si>
  <si>
    <t xml:space="preserve">Jarabe de vainilla</t>
  </si>
  <si>
    <t xml:space="preserve">Botella x 750 ml</t>
  </si>
  <si>
    <t xml:space="preserve">Distribuidoras de insumos para cafetería</t>
  </si>
  <si>
    <t xml:space="preserve">Frutos rojos deshidratados</t>
  </si>
  <si>
    <t xml:space="preserve">Naranja</t>
  </si>
  <si>
    <t xml:space="preserve">Kilo</t>
  </si>
  <si>
    <t xml:space="preserve">Miel de abeja</t>
  </si>
  <si>
    <t xml:space="preserve">Frasco x 1 kg</t>
  </si>
  <si>
    <t xml:space="preserve">Tiendas naturistas de Arequipa</t>
  </si>
  <si>
    <t xml:space="preserve">Canela en rama y clavo de olor</t>
  </si>
  <si>
    <t xml:space="preserve">Bolsa x 250 g</t>
  </si>
  <si>
    <t xml:space="preserve">Bolsa de hielo de 5 kg</t>
  </si>
  <si>
    <t xml:space="preserve">Bolsa</t>
  </si>
  <si>
    <t xml:space="preserve">Distribuidoras de hielo de Arequipa</t>
  </si>
  <si>
    <t xml:space="preserve">Tarjetas de fidelización</t>
  </si>
  <si>
    <t xml:space="preserve">1b. Consumo por unidad – Producto A: Iced latte de 400 ml</t>
  </si>
  <si>
    <t xml:space="preserve">Costo por bebida (S/)</t>
  </si>
  <si>
    <t xml:space="preserve">Café que queda en el molino y en el portafiltro.</t>
  </si>
  <si>
    <t xml:space="preserve">Leche que queda en la jarra al servir.</t>
  </si>
  <si>
    <t xml:space="preserve">Lo que queda en el dosificador.</t>
  </si>
  <si>
    <t xml:space="preserve">COSTO DE MPD POR BEBIDA</t>
  </si>
  <si>
    <t xml:space="preserve">1b. Consumo por unidad – Producto B: Infusión de frutos rojos en prensa francesa (300 ml)</t>
  </si>
  <si>
    <t xml:space="preserve">Polvo y trozos pequeños que se descartan.</t>
  </si>
  <si>
    <t xml:space="preserve">Partes dañadas y extremos que se descartan.</t>
  </si>
  <si>
    <t xml:space="preserve">Miel que queda pegada en el frasco y la cuchara.</t>
  </si>
  <si>
    <t xml:space="preserve">Producto A (bebidas)</t>
  </si>
  <si>
    <t xml:space="preserve">Producto B (bebidas)</t>
  </si>
  <si>
    <t xml:space="preserve">Producción A (bebidas)</t>
  </si>
  <si>
    <t xml:space="preserve">Producción B (bebidas)</t>
  </si>
  <si>
    <t xml:space="preserve">¿Por qué la producción es igual a las ventas?</t>
  </si>
</sst>
</file>

<file path=xl/styles.xml><?xml version="1.0" encoding="utf-8"?>
<styleSheet xmlns="http://schemas.openxmlformats.org/spreadsheetml/2006/main">
  <numFmts count="7">
    <numFmt numFmtId="164" formatCode="General"/>
    <numFmt numFmtId="165" formatCode="0%"/>
    <numFmt numFmtId="166" formatCode="#,##0.###"/>
    <numFmt numFmtId="167" formatCode="&quot;S/ &quot;#,##0.00"/>
    <numFmt numFmtId="168" formatCode="&quot;S/ &quot;#,##0.0000"/>
    <numFmt numFmtId="169" formatCode="#,##0.0000"/>
    <numFmt numFmtId="170" formatCode="#,##0"/>
  </numFmts>
  <fonts count="15">
    <font>
      <sz val="11"/>
      <color theme="1"/>
      <name val="Calibri"/>
      <family val="2"/>
      <charset val="1"/>
    </font>
    <font>
      <sz val="10"/>
      <name val="Arial"/>
      <family val="0"/>
    </font>
    <font>
      <sz val="10"/>
      <name val="Arial"/>
      <family val="0"/>
    </font>
    <font>
      <sz val="10"/>
      <name val="Arial"/>
      <family val="0"/>
    </font>
    <font>
      <b val="true"/>
      <sz val="13"/>
      <color rgb="FF000000"/>
      <name val="Arial"/>
      <family val="0"/>
      <charset val="1"/>
    </font>
    <font>
      <sz val="9"/>
      <color rgb="FF000000"/>
      <name val="Arial"/>
      <family val="0"/>
      <charset val="1"/>
    </font>
    <font>
      <b val="true"/>
      <sz val="11"/>
      <color rgb="FF000000"/>
      <name val="Arial"/>
      <family val="0"/>
      <charset val="1"/>
    </font>
    <font>
      <sz val="10"/>
      <color rgb="FF000000"/>
      <name val="Arial"/>
      <family val="0"/>
      <charset val="1"/>
    </font>
    <font>
      <b val="true"/>
      <sz val="9"/>
      <color rgb="FFFFFFFF"/>
      <name val="Arial"/>
      <family val="0"/>
      <charset val="1"/>
    </font>
    <font>
      <sz val="10"/>
      <color rgb="FF8B0000"/>
      <name val="Arial"/>
      <family val="0"/>
      <charset val="1"/>
    </font>
    <font>
      <b val="true"/>
      <sz val="9"/>
      <color rgb="FF000000"/>
      <name val="Arial"/>
      <family val="0"/>
      <charset val="1"/>
    </font>
    <font>
      <b val="true"/>
      <sz val="10"/>
      <color rgb="FF000000"/>
      <name val="Arial"/>
      <family val="0"/>
      <charset val="1"/>
    </font>
    <font>
      <b val="true"/>
      <sz val="11"/>
      <color rgb="FFFFFFFF"/>
      <name val="Arial"/>
      <family val="0"/>
      <charset val="1"/>
    </font>
    <font>
      <b val="true"/>
      <sz val="10"/>
      <color rgb="FF8B0000"/>
      <name val="Arial"/>
      <family val="0"/>
      <charset val="1"/>
    </font>
    <font>
      <sz val="8"/>
      <color rgb="FF000000"/>
      <name val="Arial"/>
      <family val="0"/>
      <charset val="1"/>
    </font>
  </fonts>
  <fills count="4">
    <fill>
      <patternFill patternType="none"/>
    </fill>
    <fill>
      <patternFill patternType="gray125"/>
    </fill>
    <fill>
      <patternFill patternType="solid">
        <fgColor rgb="FF000000"/>
        <bgColor rgb="FF003300"/>
      </patternFill>
    </fill>
    <fill>
      <patternFill patternType="solid">
        <fgColor rgb="FFFFFF99"/>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8" fontId="11" fillId="0" borderId="2" xfId="0" applyFont="true" applyBorder="true" applyAlignment="true" applyProtection="false">
      <alignment horizontal="general"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7" fontId="11" fillId="0" borderId="1" xfId="0" applyFont="true" applyBorder="true" applyAlignment="true" applyProtection="false">
      <alignment horizontal="general" vertical="center" textRotation="0" wrapText="false" indent="0" shrinkToFit="false"/>
      <protection locked="true" hidden="false"/>
    </xf>
    <xf numFmtId="170" fontId="7" fillId="3" borderId="1" xfId="0" applyFont="true" applyBorder="true" applyAlignment="true" applyProtection="false">
      <alignment horizontal="center" vertical="center" textRotation="0" wrapText="false" indent="0" shrinkToFit="false"/>
      <protection locked="true" hidden="false"/>
    </xf>
    <xf numFmtId="170" fontId="11" fillId="3" borderId="2" xfId="0" applyFont="true" applyBorder="true" applyAlignment="true" applyProtection="false">
      <alignment horizontal="center" vertical="center" textRotation="0" wrapText="false" indent="0" shrinkToFit="false"/>
      <protection locked="true" hidden="false"/>
    </xf>
    <xf numFmtId="170" fontId="11" fillId="3"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general" vertical="center" textRotation="0" wrapText="false" indent="0" shrinkToFit="false"/>
      <protection locked="true" hidden="false"/>
    </xf>
    <xf numFmtId="167" fontId="11" fillId="3" borderId="1" xfId="0" applyFont="true" applyBorder="true" applyAlignment="true" applyProtection="false">
      <alignment horizontal="general" vertical="center" textRotation="0" wrapText="false" indent="0" shrinkToFit="false"/>
      <protection locked="true" hidden="false"/>
    </xf>
    <xf numFmtId="167" fontId="11" fillId="3" borderId="2"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62"/>
  </cols>
  <sheetData>
    <row r="1" customFormat="false" ht="16.15" hidden="false" customHeight="false" outlineLevel="0" collapsed="false">
      <c r="A1" s="1" t="s">
        <v>0</v>
      </c>
      <c r="B1" s="1"/>
      <c r="C1" s="1"/>
    </row>
    <row r="2" customFormat="false" ht="15" hidden="false" customHeight="false" outlineLevel="0" collapsed="false">
      <c r="A2" s="2" t="s">
        <v>1</v>
      </c>
      <c r="B2" s="2"/>
      <c r="C2" s="2"/>
    </row>
    <row r="4" customFormat="false" ht="15" hidden="false" customHeight="false" outlineLevel="0" collapsed="false">
      <c r="B4" s="3" t="s">
        <v>2</v>
      </c>
    </row>
    <row r="5" customFormat="false" ht="27.75" hidden="false" customHeight="true" outlineLevel="0" collapsed="false">
      <c r="B5" s="4" t="s">
        <v>3</v>
      </c>
      <c r="C5" s="4"/>
    </row>
    <row r="6" customFormat="false" ht="27.75" hidden="false" customHeight="true" outlineLevel="0" collapsed="false">
      <c r="B6" s="4" t="s">
        <v>4</v>
      </c>
      <c r="C6" s="4"/>
    </row>
    <row r="7" customFormat="false" ht="27.75" hidden="false" customHeight="true" outlineLevel="0" collapsed="false">
      <c r="B7" s="4" t="s">
        <v>5</v>
      </c>
      <c r="C7" s="4"/>
    </row>
    <row r="8" customFormat="false" ht="27.75" hidden="false" customHeight="true" outlineLevel="0" collapsed="false">
      <c r="B8" s="4" t="s">
        <v>6</v>
      </c>
      <c r="C8" s="4"/>
    </row>
    <row r="9" customFormat="false" ht="27.75" hidden="false" customHeight="true" outlineLevel="0" collapsed="false">
      <c r="B9" s="4" t="s">
        <v>7</v>
      </c>
      <c r="C9" s="4"/>
    </row>
    <row r="11" customFormat="false" ht="15" hidden="false" customHeight="false" outlineLevel="0" collapsed="false">
      <c r="B11" s="3" t="s">
        <v>8</v>
      </c>
    </row>
    <row r="12" customFormat="false" ht="21.75" hidden="false" customHeight="true" outlineLevel="0" collapsed="false">
      <c r="B12" s="5" t="s">
        <v>9</v>
      </c>
      <c r="C12" s="5" t="s">
        <v>10</v>
      </c>
    </row>
    <row r="13" customFormat="false" ht="25.5" hidden="false" customHeight="true" outlineLevel="0" collapsed="false">
      <c r="B13" s="6" t="s">
        <v>11</v>
      </c>
      <c r="C13" s="6" t="s">
        <v>12</v>
      </c>
    </row>
    <row r="14" customFormat="false" ht="25.5" hidden="false" customHeight="true" outlineLevel="0" collapsed="false">
      <c r="B14" s="6" t="s">
        <v>13</v>
      </c>
      <c r="C14" s="6" t="s">
        <v>14</v>
      </c>
    </row>
    <row r="15" customFormat="false" ht="25.5" hidden="false" customHeight="true" outlineLevel="0" collapsed="false">
      <c r="B15" s="6" t="s">
        <v>15</v>
      </c>
      <c r="C15" s="6" t="s">
        <v>16</v>
      </c>
    </row>
    <row r="16" customFormat="false" ht="25.5" hidden="false" customHeight="true" outlineLevel="0" collapsed="false">
      <c r="B16" s="6" t="s">
        <v>17</v>
      </c>
      <c r="C16" s="6" t="s">
        <v>18</v>
      </c>
    </row>
    <row r="17" customFormat="false" ht="25.5" hidden="false" customHeight="true" outlineLevel="0" collapsed="false">
      <c r="B17" s="6" t="s">
        <v>19</v>
      </c>
      <c r="C17" s="6" t="s">
        <v>20</v>
      </c>
    </row>
    <row r="18" customFormat="false" ht="25.5" hidden="false" customHeight="true" outlineLevel="0" collapsed="false">
      <c r="B18" s="6" t="s">
        <v>21</v>
      </c>
      <c r="C18" s="6" t="s">
        <v>22</v>
      </c>
    </row>
    <row r="20" customFormat="false" ht="15" hidden="false" customHeight="true" outlineLevel="0" collapsed="false">
      <c r="B20" s="7" t="s">
        <v>23</v>
      </c>
      <c r="C20" s="7"/>
    </row>
    <row r="21" customFormat="false" ht="30" hidden="false" customHeight="true" outlineLevel="0" collapsed="false">
      <c r="B21" s="4" t="s">
        <v>24</v>
      </c>
      <c r="C21" s="4"/>
    </row>
  </sheetData>
  <mergeCells count="9">
    <mergeCell ref="A1:C1"/>
    <mergeCell ref="A2:C2"/>
    <mergeCell ref="B5:C5"/>
    <mergeCell ref="B6:C6"/>
    <mergeCell ref="B7:C7"/>
    <mergeCell ref="B8:C8"/>
    <mergeCell ref="B9:C9"/>
    <mergeCell ref="B20:C20"/>
    <mergeCell ref="B21:C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7" min="5" style="0" width="12"/>
    <col collapsed="false" customWidth="true" hidden="false" outlineLevel="0" max="8" min="8" style="0" width="13"/>
    <col collapsed="false" customWidth="true" hidden="false" outlineLevel="0" max="9" min="9" style="0" width="14"/>
    <col collapsed="false" customWidth="true" hidden="false" outlineLevel="0" max="10" min="10" style="0" width="26"/>
  </cols>
  <sheetData>
    <row r="1" customFormat="false" ht="24" hidden="false" customHeight="true" outlineLevel="0" collapsed="false">
      <c r="A1" s="1" t="s">
        <v>25</v>
      </c>
      <c r="B1" s="1"/>
      <c r="C1" s="1"/>
      <c r="D1" s="1"/>
      <c r="E1" s="1"/>
      <c r="F1" s="1"/>
      <c r="G1" s="1"/>
      <c r="H1" s="1"/>
      <c r="I1" s="1"/>
      <c r="J1" s="1"/>
    </row>
    <row r="2" customFormat="false" ht="15" hidden="false" customHeight="false" outlineLevel="0" collapsed="false">
      <c r="A2" s="8" t="s">
        <v>26</v>
      </c>
      <c r="B2" s="8"/>
      <c r="C2" s="8"/>
      <c r="D2" s="8"/>
      <c r="E2" s="8"/>
      <c r="F2" s="8"/>
      <c r="G2" s="8"/>
      <c r="H2" s="8"/>
      <c r="I2" s="8"/>
      <c r="J2" s="8"/>
    </row>
    <row r="4" customFormat="false" ht="15" hidden="false" customHeight="false" outlineLevel="0" collapsed="false">
      <c r="B4" s="3" t="s">
        <v>27</v>
      </c>
    </row>
    <row r="5" customFormat="false" ht="61.5" hidden="false" customHeight="true" outlineLevel="0" collapsed="false">
      <c r="B5" s="4" t="s">
        <v>28</v>
      </c>
      <c r="C5" s="4"/>
      <c r="D5" s="4"/>
      <c r="E5" s="4"/>
      <c r="F5" s="4"/>
      <c r="G5" s="4"/>
      <c r="H5" s="4"/>
      <c r="I5" s="4"/>
    </row>
    <row r="6" customFormat="false" ht="15" hidden="false" customHeight="false" outlineLevel="0" collapsed="false">
      <c r="B6" s="9" t="s">
        <v>29</v>
      </c>
    </row>
    <row r="7" customFormat="false" ht="15" hidden="false" customHeight="true" outlineLevel="0" collapsed="false">
      <c r="B7" s="4" t="s">
        <v>30</v>
      </c>
      <c r="C7" s="4"/>
      <c r="D7" s="4"/>
      <c r="E7" s="4"/>
      <c r="F7" s="4"/>
      <c r="G7" s="4"/>
      <c r="H7" s="4"/>
      <c r="I7" s="4"/>
    </row>
    <row r="8" customFormat="false" ht="15" hidden="false" customHeight="true" outlineLevel="0" collapsed="false">
      <c r="B8" s="4" t="s">
        <v>31</v>
      </c>
      <c r="C8" s="4"/>
      <c r="D8" s="4"/>
      <c r="E8" s="4"/>
      <c r="F8" s="4"/>
      <c r="G8" s="4"/>
      <c r="H8" s="4"/>
      <c r="I8" s="4"/>
    </row>
    <row r="9" customFormat="false" ht="15" hidden="false" customHeight="true" outlineLevel="0" collapsed="false">
      <c r="B9" s="4" t="s">
        <v>32</v>
      </c>
      <c r="C9" s="4"/>
      <c r="D9" s="4"/>
      <c r="E9" s="4"/>
      <c r="F9" s="4"/>
      <c r="G9" s="4"/>
      <c r="H9" s="4"/>
      <c r="I9" s="4"/>
    </row>
    <row r="11" customFormat="false" ht="15" hidden="false" customHeight="false" outlineLevel="0" collapsed="false">
      <c r="B11" s="10" t="s">
        <v>33</v>
      </c>
      <c r="C11" s="11" t="s">
        <v>34</v>
      </c>
      <c r="D11" s="11"/>
      <c r="E11" s="11"/>
      <c r="F11" s="11"/>
      <c r="G11" s="11"/>
    </row>
    <row r="12" customFormat="false" ht="15" hidden="false" customHeight="false" outlineLevel="0" collapsed="false">
      <c r="B12" s="10" t="s">
        <v>35</v>
      </c>
      <c r="C12" s="11" t="s">
        <v>36</v>
      </c>
      <c r="D12" s="11"/>
      <c r="E12" s="11"/>
      <c r="F12" s="11"/>
      <c r="G12" s="11"/>
    </row>
    <row r="14" customFormat="false" ht="15" hidden="false" customHeight="false" outlineLevel="0" collapsed="false">
      <c r="B14" s="10" t="s">
        <v>37</v>
      </c>
      <c r="C14" s="12" t="n">
        <v>0.18</v>
      </c>
    </row>
    <row r="16" customFormat="false" ht="19.5" hidden="false" customHeight="true" outlineLevel="0" collapsed="false">
      <c r="A16" s="13" t="s">
        <v>38</v>
      </c>
      <c r="B16" s="13"/>
      <c r="C16" s="13"/>
      <c r="D16" s="13"/>
      <c r="E16" s="13"/>
      <c r="F16" s="13"/>
      <c r="G16" s="13"/>
      <c r="H16" s="13"/>
      <c r="I16" s="13"/>
      <c r="J16" s="13"/>
    </row>
    <row r="17" customFormat="false" ht="15.75" hidden="false" customHeight="true" outlineLevel="0" collapsed="false">
      <c r="B17" s="14" t="s">
        <v>39</v>
      </c>
      <c r="C17" s="14"/>
      <c r="D17" s="14"/>
      <c r="E17" s="14"/>
      <c r="F17" s="14"/>
      <c r="G17" s="14"/>
      <c r="H17" s="14"/>
      <c r="I17" s="14"/>
    </row>
    <row r="19" customFormat="false" ht="15" hidden="false" customHeight="false" outlineLevel="0" collapsed="false">
      <c r="B19" s="9" t="s">
        <v>40</v>
      </c>
    </row>
    <row r="20" customFormat="false" ht="31.5" hidden="false" customHeight="true" outlineLevel="0" collapsed="false">
      <c r="A20" s="5" t="s">
        <v>41</v>
      </c>
      <c r="B20" s="5" t="s">
        <v>42</v>
      </c>
      <c r="C20" s="5" t="s">
        <v>43</v>
      </c>
      <c r="D20" s="5" t="s">
        <v>44</v>
      </c>
      <c r="E20" s="5" t="s">
        <v>45</v>
      </c>
      <c r="F20" s="5" t="s">
        <v>46</v>
      </c>
      <c r="G20" s="5" t="s">
        <v>47</v>
      </c>
      <c r="H20" s="5" t="s">
        <v>48</v>
      </c>
      <c r="I20" s="5" t="s">
        <v>49</v>
      </c>
      <c r="J20" s="5" t="s">
        <v>50</v>
      </c>
    </row>
    <row r="21" customFormat="false" ht="25.5" hidden="false" customHeight="true" outlineLevel="0" collapsed="false">
      <c r="A21" s="15" t="n">
        <v>1</v>
      </c>
      <c r="B21" s="6" t="s">
        <v>51</v>
      </c>
      <c r="C21" s="6" t="s">
        <v>52</v>
      </c>
      <c r="D21" s="16" t="n">
        <v>12</v>
      </c>
      <c r="E21" s="15" t="s">
        <v>53</v>
      </c>
      <c r="F21" s="17" t="n">
        <v>60</v>
      </c>
      <c r="G21" s="18" t="s">
        <v>54</v>
      </c>
      <c r="H21" s="17" t="n">
        <f aca="false">IF(G21="Sí",F21/(1+$C$14),F21)</f>
        <v>50.8474576271186</v>
      </c>
      <c r="I21" s="19" t="n">
        <f aca="false">H21/D21</f>
        <v>4.23728813559322</v>
      </c>
      <c r="J21" s="20" t="s">
        <v>55</v>
      </c>
    </row>
    <row r="22" customFormat="false" ht="25.5" hidden="false" customHeight="true" outlineLevel="0" collapsed="false">
      <c r="A22" s="15" t="n">
        <v>2</v>
      </c>
      <c r="B22" s="6" t="s">
        <v>56</v>
      </c>
      <c r="C22" s="6" t="s">
        <v>52</v>
      </c>
      <c r="D22" s="16" t="n">
        <v>12</v>
      </c>
      <c r="E22" s="15" t="s">
        <v>53</v>
      </c>
      <c r="F22" s="17" t="n">
        <v>168</v>
      </c>
      <c r="G22" s="18" t="s">
        <v>54</v>
      </c>
      <c r="H22" s="17" t="n">
        <f aca="false">IF(G22="Sí",F22/(1+$C$14),F22)</f>
        <v>142.372881355932</v>
      </c>
      <c r="I22" s="19" t="n">
        <f aca="false">H22/D22</f>
        <v>11.864406779661</v>
      </c>
      <c r="J22" s="20" t="s">
        <v>55</v>
      </c>
    </row>
    <row r="23" customFormat="false" ht="25.5" hidden="false" customHeight="true" outlineLevel="0" collapsed="false">
      <c r="A23" s="15" t="n">
        <v>3</v>
      </c>
      <c r="B23" s="6" t="s">
        <v>57</v>
      </c>
      <c r="C23" s="6" t="s">
        <v>58</v>
      </c>
      <c r="D23" s="16" t="n">
        <v>50</v>
      </c>
      <c r="E23" s="15" t="s">
        <v>59</v>
      </c>
      <c r="F23" s="17" t="n">
        <v>190</v>
      </c>
      <c r="G23" s="18" t="s">
        <v>54</v>
      </c>
      <c r="H23" s="17" t="n">
        <f aca="false">IF(G23="Sí",F23/(1+$C$14),F23)</f>
        <v>161.016949152542</v>
      </c>
      <c r="I23" s="19" t="n">
        <f aca="false">H23/D23</f>
        <v>3.22033898305085</v>
      </c>
      <c r="J23" s="20" t="s">
        <v>60</v>
      </c>
    </row>
    <row r="24" customFormat="false" ht="25.5" hidden="false" customHeight="true" outlineLevel="0" collapsed="false">
      <c r="A24" s="15" t="n">
        <v>4</v>
      </c>
      <c r="B24" s="6" t="s">
        <v>61</v>
      </c>
      <c r="C24" s="6" t="s">
        <v>62</v>
      </c>
      <c r="D24" s="16" t="n">
        <v>1</v>
      </c>
      <c r="E24" s="15" t="s">
        <v>53</v>
      </c>
      <c r="F24" s="17" t="n">
        <v>45</v>
      </c>
      <c r="G24" s="18" t="s">
        <v>54</v>
      </c>
      <c r="H24" s="17" t="n">
        <f aca="false">IF(G24="Sí",F24/(1+$C$14),F24)</f>
        <v>38.135593220339</v>
      </c>
      <c r="I24" s="19" t="n">
        <f aca="false">H24/D24</f>
        <v>38.135593220339</v>
      </c>
      <c r="J24" s="20" t="s">
        <v>63</v>
      </c>
    </row>
    <row r="25" customFormat="false" ht="25.5" hidden="false" customHeight="true" outlineLevel="0" collapsed="false">
      <c r="A25" s="15" t="n">
        <v>5</v>
      </c>
      <c r="B25" s="6" t="s">
        <v>64</v>
      </c>
      <c r="C25" s="6" t="s">
        <v>65</v>
      </c>
      <c r="D25" s="16" t="n">
        <v>5</v>
      </c>
      <c r="E25" s="15" t="s">
        <v>59</v>
      </c>
      <c r="F25" s="17" t="n">
        <v>30</v>
      </c>
      <c r="G25" s="18" t="s">
        <v>66</v>
      </c>
      <c r="H25" s="17" t="n">
        <f aca="false">IF(G25="Sí",F25/(1+$C$14),F25)</f>
        <v>30</v>
      </c>
      <c r="I25" s="19" t="n">
        <f aca="false">H25/D25</f>
        <v>6</v>
      </c>
      <c r="J25" s="20" t="s">
        <v>67</v>
      </c>
    </row>
    <row r="26" customFormat="false" ht="25.5" hidden="false" customHeight="true" outlineLevel="0" collapsed="false">
      <c r="A26" s="15" t="n">
        <v>6</v>
      </c>
      <c r="B26" s="6" t="s">
        <v>68</v>
      </c>
      <c r="C26" s="6" t="s">
        <v>69</v>
      </c>
      <c r="D26" s="16" t="n">
        <v>50</v>
      </c>
      <c r="E26" s="15" t="s">
        <v>70</v>
      </c>
      <c r="F26" s="17" t="n">
        <v>59</v>
      </c>
      <c r="G26" s="18" t="s">
        <v>54</v>
      </c>
      <c r="H26" s="17" t="n">
        <f aca="false">IF(G26="Sí",F26/(1+$C$14),F26)</f>
        <v>50</v>
      </c>
      <c r="I26" s="19" t="n">
        <f aca="false">H26/D26</f>
        <v>1</v>
      </c>
      <c r="J26" s="20" t="s">
        <v>71</v>
      </c>
    </row>
    <row r="27" customFormat="false" ht="25.5" hidden="false" customHeight="true" outlineLevel="0" collapsed="false">
      <c r="A27" s="15" t="n">
        <v>7</v>
      </c>
      <c r="B27" s="6" t="s">
        <v>72</v>
      </c>
      <c r="C27" s="6" t="s">
        <v>73</v>
      </c>
      <c r="D27" s="16" t="n">
        <v>1000</v>
      </c>
      <c r="E27" s="15" t="s">
        <v>70</v>
      </c>
      <c r="F27" s="17" t="n">
        <v>40</v>
      </c>
      <c r="G27" s="18" t="s">
        <v>54</v>
      </c>
      <c r="H27" s="17" t="n">
        <f aca="false">IF(G27="Sí",F27/(1+$C$14),F27)</f>
        <v>33.8983050847458</v>
      </c>
      <c r="I27" s="19" t="n">
        <f aca="false">H27/D27</f>
        <v>0.0338983050847458</v>
      </c>
      <c r="J27" s="20" t="s">
        <v>71</v>
      </c>
    </row>
    <row r="28" customFormat="false" ht="25.5" hidden="false" customHeight="true" outlineLevel="0" collapsed="false">
      <c r="A28" s="15" t="n">
        <v>8</v>
      </c>
      <c r="B28" s="6" t="s">
        <v>74</v>
      </c>
      <c r="C28" s="6" t="s">
        <v>75</v>
      </c>
      <c r="D28" s="16" t="n">
        <v>1000</v>
      </c>
      <c r="E28" s="15" t="s">
        <v>70</v>
      </c>
      <c r="F28" s="17" t="n">
        <v>120</v>
      </c>
      <c r="G28" s="18" t="s">
        <v>54</v>
      </c>
      <c r="H28" s="17" t="n">
        <f aca="false">IF(G28="Sí",F28/(1+$C$14),F28)</f>
        <v>101.694915254237</v>
      </c>
      <c r="I28" s="19" t="n">
        <f aca="false">H28/D28</f>
        <v>0.101694915254237</v>
      </c>
      <c r="J28" s="20" t="s">
        <v>76</v>
      </c>
    </row>
    <row r="29" customFormat="false" ht="25.5" hidden="false" customHeight="true" outlineLevel="0" collapsed="false">
      <c r="A29" s="15" t="n">
        <v>9</v>
      </c>
      <c r="B29" s="6" t="s">
        <v>77</v>
      </c>
      <c r="C29" s="6" t="s">
        <v>78</v>
      </c>
      <c r="D29" s="16" t="n">
        <v>1</v>
      </c>
      <c r="E29" s="15" t="s">
        <v>79</v>
      </c>
      <c r="F29" s="17" t="n">
        <v>38</v>
      </c>
      <c r="G29" s="18" t="s">
        <v>54</v>
      </c>
      <c r="H29" s="17" t="n">
        <f aca="false">IF(G29="Sí",F29/(1+$C$14),F29)</f>
        <v>32.2033898305085</v>
      </c>
      <c r="I29" s="19" t="n">
        <f aca="false">H29/D29</f>
        <v>32.2033898305085</v>
      </c>
      <c r="J29" s="20" t="s">
        <v>63</v>
      </c>
    </row>
    <row r="30" customFormat="false" ht="25.5" hidden="false" customHeight="true" outlineLevel="0" collapsed="false">
      <c r="A30" s="15" t="n">
        <v>10</v>
      </c>
      <c r="B30" s="6" t="s">
        <v>80</v>
      </c>
      <c r="C30" s="6" t="s">
        <v>81</v>
      </c>
      <c r="D30" s="16" t="n">
        <v>1</v>
      </c>
      <c r="E30" s="15" t="s">
        <v>82</v>
      </c>
      <c r="F30" s="17" t="n">
        <v>25</v>
      </c>
      <c r="G30" s="18" t="s">
        <v>54</v>
      </c>
      <c r="H30" s="17" t="n">
        <f aca="false">IF(G30="Sí",F30/(1+$C$14),F30)</f>
        <v>21.1864406779661</v>
      </c>
      <c r="I30" s="19" t="n">
        <f aca="false">H30/D30</f>
        <v>21.1864406779661</v>
      </c>
      <c r="J30" s="20" t="s">
        <v>71</v>
      </c>
    </row>
    <row r="31" customFormat="false" ht="25.5" hidden="false" customHeight="true" outlineLevel="0" collapsed="false">
      <c r="A31" s="15" t="n">
        <v>11</v>
      </c>
      <c r="B31" s="6" t="s">
        <v>83</v>
      </c>
      <c r="C31" s="6" t="s">
        <v>84</v>
      </c>
      <c r="D31" s="16" t="n">
        <v>100</v>
      </c>
      <c r="E31" s="15" t="s">
        <v>70</v>
      </c>
      <c r="F31" s="17" t="n">
        <v>59</v>
      </c>
      <c r="G31" s="18" t="s">
        <v>54</v>
      </c>
      <c r="H31" s="17" t="n">
        <f aca="false">IF(G31="Sí",F31/(1+$C$14),F31)</f>
        <v>50</v>
      </c>
      <c r="I31" s="19" t="n">
        <f aca="false">H31/D31</f>
        <v>0.5</v>
      </c>
      <c r="J31" s="20" t="s">
        <v>71</v>
      </c>
    </row>
    <row r="32" customFormat="false" ht="25.5" hidden="false" customHeight="true" outlineLevel="0" collapsed="false">
      <c r="A32" s="15" t="n">
        <v>12</v>
      </c>
      <c r="B32" s="6" t="s">
        <v>85</v>
      </c>
      <c r="C32" s="6" t="s">
        <v>86</v>
      </c>
      <c r="D32" s="16" t="n">
        <v>1</v>
      </c>
      <c r="E32" s="15" t="s">
        <v>87</v>
      </c>
      <c r="F32" s="17" t="n">
        <v>70.8</v>
      </c>
      <c r="G32" s="18" t="s">
        <v>54</v>
      </c>
      <c r="H32" s="17" t="n">
        <f aca="false">IF(G32="Sí",F32/(1+$C$14),F32)</f>
        <v>60</v>
      </c>
      <c r="I32" s="19" t="n">
        <f aca="false">H32/D32</f>
        <v>60</v>
      </c>
      <c r="J32" s="20" t="s">
        <v>60</v>
      </c>
    </row>
    <row r="33" customFormat="false" ht="15.75" hidden="false" customHeight="true" outlineLevel="0" collapsed="false">
      <c r="B33" s="4" t="s">
        <v>88</v>
      </c>
      <c r="C33" s="4"/>
      <c r="D33" s="4"/>
      <c r="E33" s="4"/>
      <c r="F33" s="4"/>
      <c r="G33" s="4"/>
      <c r="H33" s="4"/>
      <c r="I33" s="4"/>
    </row>
    <row r="35" customFormat="false" ht="15" hidden="false" customHeight="false" outlineLevel="0" collapsed="false">
      <c r="B35" s="21" t="s">
        <v>89</v>
      </c>
    </row>
    <row r="36" customFormat="false" ht="31.5" hidden="false" customHeight="true" outlineLevel="0" collapsed="false">
      <c r="A36" s="5" t="s">
        <v>41</v>
      </c>
      <c r="B36" s="5" t="s">
        <v>42</v>
      </c>
      <c r="C36" s="5" t="s">
        <v>45</v>
      </c>
      <c r="D36" s="5" t="s">
        <v>90</v>
      </c>
      <c r="E36" s="5" t="s">
        <v>91</v>
      </c>
      <c r="F36" s="5" t="s">
        <v>92</v>
      </c>
      <c r="G36" s="5" t="s">
        <v>49</v>
      </c>
      <c r="H36" s="5" t="s">
        <v>93</v>
      </c>
      <c r="I36" s="5" t="s">
        <v>94</v>
      </c>
      <c r="J36" s="5"/>
    </row>
    <row r="37" customFormat="false" ht="25.5" hidden="false" customHeight="true" outlineLevel="0" collapsed="false">
      <c r="A37" s="15" t="n">
        <v>1</v>
      </c>
      <c r="B37" s="6" t="s">
        <v>51</v>
      </c>
      <c r="C37" s="15" t="s">
        <v>53</v>
      </c>
      <c r="D37" s="16" t="n">
        <v>0.5</v>
      </c>
      <c r="E37" s="12" t="n">
        <v>0.02</v>
      </c>
      <c r="F37" s="22" t="n">
        <f aca="false">D37/(1-E37)</f>
        <v>0.510204081632653</v>
      </c>
      <c r="G37" s="19" t="n">
        <f aca="false">I21</f>
        <v>4.23728813559322</v>
      </c>
      <c r="H37" s="19" t="n">
        <f aca="false">F37*G37</f>
        <v>2.16188170183328</v>
      </c>
      <c r="I37" s="20" t="s">
        <v>95</v>
      </c>
      <c r="J37" s="20"/>
    </row>
    <row r="38" customFormat="false" ht="25.5" hidden="false" customHeight="true" outlineLevel="0" collapsed="false">
      <c r="A38" s="15" t="n">
        <v>2</v>
      </c>
      <c r="B38" s="6" t="s">
        <v>56</v>
      </c>
      <c r="C38" s="15" t="s">
        <v>53</v>
      </c>
      <c r="D38" s="16" t="n">
        <v>0.2</v>
      </c>
      <c r="E38" s="12" t="n">
        <v>0.02</v>
      </c>
      <c r="F38" s="22" t="n">
        <f aca="false">D38/(1-E38)</f>
        <v>0.204081632653061</v>
      </c>
      <c r="G38" s="19" t="n">
        <f aca="false">I22</f>
        <v>11.864406779661</v>
      </c>
      <c r="H38" s="19" t="n">
        <f aca="false">F38*G38</f>
        <v>2.42130750605327</v>
      </c>
      <c r="I38" s="20" t="s">
        <v>96</v>
      </c>
      <c r="J38" s="20"/>
    </row>
    <row r="39" customFormat="false" ht="25.5" hidden="false" customHeight="true" outlineLevel="0" collapsed="false">
      <c r="A39" s="15" t="n">
        <v>3</v>
      </c>
      <c r="B39" s="6" t="s">
        <v>57</v>
      </c>
      <c r="C39" s="15" t="s">
        <v>59</v>
      </c>
      <c r="D39" s="16" t="n">
        <v>0.15</v>
      </c>
      <c r="E39" s="12" t="n">
        <v>0.01</v>
      </c>
      <c r="F39" s="22" t="n">
        <f aca="false">D39/(1-E39)</f>
        <v>0.151515151515152</v>
      </c>
      <c r="G39" s="19" t="n">
        <f aca="false">I23</f>
        <v>3.22033898305085</v>
      </c>
      <c r="H39" s="19" t="n">
        <f aca="false">F39*G39</f>
        <v>0.487930148947098</v>
      </c>
      <c r="I39" s="20" t="s">
        <v>97</v>
      </c>
      <c r="J39" s="20"/>
    </row>
    <row r="40" customFormat="false" ht="25.5" hidden="false" customHeight="true" outlineLevel="0" collapsed="false">
      <c r="A40" s="15" t="n">
        <v>4</v>
      </c>
      <c r="B40" s="6" t="s">
        <v>61</v>
      </c>
      <c r="C40" s="15" t="s">
        <v>53</v>
      </c>
      <c r="D40" s="16" t="n">
        <v>0.006</v>
      </c>
      <c r="E40" s="12" t="n">
        <v>0.02</v>
      </c>
      <c r="F40" s="22" t="n">
        <f aca="false">D40/(1-E40)</f>
        <v>0.00612244897959184</v>
      </c>
      <c r="G40" s="19" t="n">
        <f aca="false">I24</f>
        <v>38.135593220339</v>
      </c>
      <c r="H40" s="19" t="n">
        <f aca="false">F40*G40</f>
        <v>0.233483223797994</v>
      </c>
      <c r="I40" s="20" t="s">
        <v>98</v>
      </c>
      <c r="J40" s="20"/>
    </row>
    <row r="41" customFormat="false" ht="25.5" hidden="false" customHeight="true" outlineLevel="0" collapsed="false">
      <c r="A41" s="15" t="n">
        <v>5</v>
      </c>
      <c r="B41" s="6" t="s">
        <v>68</v>
      </c>
      <c r="C41" s="15" t="s">
        <v>70</v>
      </c>
      <c r="D41" s="16" t="n">
        <v>1</v>
      </c>
      <c r="E41" s="12" t="n">
        <v>0.02</v>
      </c>
      <c r="F41" s="22" t="n">
        <f aca="false">D41/(1-E41)</f>
        <v>1.02040816326531</v>
      </c>
      <c r="G41" s="19" t="n">
        <f aca="false">I26</f>
        <v>1</v>
      </c>
      <c r="H41" s="19" t="n">
        <f aca="false">F41*G41</f>
        <v>1.02040816326531</v>
      </c>
      <c r="I41" s="20" t="s">
        <v>99</v>
      </c>
      <c r="J41" s="20"/>
    </row>
    <row r="42" customFormat="false" ht="15" hidden="false" customHeight="true" outlineLevel="0" collapsed="false">
      <c r="A42" s="23" t="s">
        <v>100</v>
      </c>
      <c r="B42" s="23"/>
      <c r="C42" s="24"/>
      <c r="D42" s="24"/>
      <c r="E42" s="24"/>
      <c r="F42" s="24"/>
      <c r="G42" s="24"/>
      <c r="H42" s="25" t="n">
        <f aca="false">SUM(H37:H41)</f>
        <v>6.32501074389694</v>
      </c>
    </row>
    <row r="44" customFormat="false" ht="15" hidden="false" customHeight="false" outlineLevel="0" collapsed="false">
      <c r="B44" s="21" t="s">
        <v>101</v>
      </c>
    </row>
    <row r="45" customFormat="false" ht="31.5" hidden="false" customHeight="true" outlineLevel="0" collapsed="false">
      <c r="A45" s="5" t="s">
        <v>41</v>
      </c>
      <c r="B45" s="5" t="s">
        <v>42</v>
      </c>
      <c r="C45" s="5" t="s">
        <v>45</v>
      </c>
      <c r="D45" s="5" t="s">
        <v>90</v>
      </c>
      <c r="E45" s="5" t="s">
        <v>91</v>
      </c>
      <c r="F45" s="5" t="s">
        <v>92</v>
      </c>
      <c r="G45" s="5" t="s">
        <v>49</v>
      </c>
      <c r="H45" s="5" t="s">
        <v>102</v>
      </c>
      <c r="I45" s="5" t="s">
        <v>94</v>
      </c>
      <c r="J45" s="5"/>
    </row>
    <row r="46" customFormat="false" ht="25.5" hidden="false" customHeight="true" outlineLevel="0" collapsed="false">
      <c r="A46" s="15" t="n">
        <v>1</v>
      </c>
      <c r="B46" s="6" t="s">
        <v>51</v>
      </c>
      <c r="C46" s="15" t="s">
        <v>53</v>
      </c>
      <c r="D46" s="16" t="n">
        <v>0.04</v>
      </c>
      <c r="E46" s="12" t="n">
        <v>0.02</v>
      </c>
      <c r="F46" s="22" t="n">
        <f aca="false">D46/(1-E46)</f>
        <v>0.0408163265306123</v>
      </c>
      <c r="G46" s="19" t="n">
        <f aca="false">I21</f>
        <v>4.23728813559322</v>
      </c>
      <c r="H46" s="19" t="n">
        <f aca="false">F46*G46</f>
        <v>0.172950536146662</v>
      </c>
      <c r="I46" s="20" t="s">
        <v>95</v>
      </c>
      <c r="J46" s="20"/>
    </row>
    <row r="47" customFormat="false" ht="25.5" hidden="false" customHeight="true" outlineLevel="0" collapsed="false">
      <c r="A47" s="15" t="n">
        <v>2</v>
      </c>
      <c r="B47" s="6" t="s">
        <v>57</v>
      </c>
      <c r="C47" s="15" t="s">
        <v>59</v>
      </c>
      <c r="D47" s="16" t="n">
        <v>0.012</v>
      </c>
      <c r="E47" s="12" t="n">
        <v>0.01</v>
      </c>
      <c r="F47" s="22" t="n">
        <f aca="false">D47/(1-E47)</f>
        <v>0.0121212121212121</v>
      </c>
      <c r="G47" s="19" t="n">
        <f aca="false">I23</f>
        <v>3.22033898305085</v>
      </c>
      <c r="H47" s="19" t="n">
        <f aca="false">F47*G47</f>
        <v>0.0390344119157679</v>
      </c>
      <c r="I47" s="20" t="s">
        <v>97</v>
      </c>
      <c r="J47" s="20"/>
    </row>
    <row r="48" customFormat="false" ht="25.5" hidden="false" customHeight="true" outlineLevel="0" collapsed="false">
      <c r="A48" s="15" t="n">
        <v>3</v>
      </c>
      <c r="B48" s="6" t="s">
        <v>64</v>
      </c>
      <c r="C48" s="15" t="s">
        <v>59</v>
      </c>
      <c r="D48" s="16" t="n">
        <v>0.04</v>
      </c>
      <c r="E48" s="12" t="n">
        <v>0.1</v>
      </c>
      <c r="F48" s="22" t="n">
        <f aca="false">D48/(1-E48)</f>
        <v>0.0444444444444444</v>
      </c>
      <c r="G48" s="19" t="n">
        <f aca="false">I25</f>
        <v>6</v>
      </c>
      <c r="H48" s="19" t="n">
        <f aca="false">F48*G48</f>
        <v>0.266666666666667</v>
      </c>
      <c r="I48" s="20" t="s">
        <v>103</v>
      </c>
      <c r="J48" s="20"/>
    </row>
    <row r="49" customFormat="false" ht="25.5" hidden="false" customHeight="true" outlineLevel="0" collapsed="false">
      <c r="A49" s="15" t="n">
        <v>4</v>
      </c>
      <c r="B49" s="6" t="s">
        <v>72</v>
      </c>
      <c r="C49" s="15" t="s">
        <v>70</v>
      </c>
      <c r="D49" s="16" t="n">
        <v>1</v>
      </c>
      <c r="E49" s="12" t="n">
        <v>0.02</v>
      </c>
      <c r="F49" s="22" t="n">
        <f aca="false">D49/(1-E49)</f>
        <v>1.02040816326531</v>
      </c>
      <c r="G49" s="19" t="n">
        <f aca="false">I27</f>
        <v>0.0338983050847458</v>
      </c>
      <c r="H49" s="19" t="n">
        <f aca="false">F49*G49</f>
        <v>0.0345901072293324</v>
      </c>
      <c r="I49" s="20" t="s">
        <v>104</v>
      </c>
      <c r="J49" s="20"/>
    </row>
    <row r="50" customFormat="false" ht="25.5" hidden="false" customHeight="true" outlineLevel="0" collapsed="false">
      <c r="A50" s="15" t="n">
        <v>5</v>
      </c>
      <c r="B50" s="6" t="s">
        <v>74</v>
      </c>
      <c r="C50" s="15" t="s">
        <v>70</v>
      </c>
      <c r="D50" s="16" t="n">
        <v>1</v>
      </c>
      <c r="E50" s="12" t="n">
        <v>0.03</v>
      </c>
      <c r="F50" s="22" t="n">
        <f aca="false">D50/(1-E50)</f>
        <v>1.03092783505155</v>
      </c>
      <c r="G50" s="19" t="n">
        <f aca="false">I28</f>
        <v>0.101694915254237</v>
      </c>
      <c r="H50" s="19" t="n">
        <f aca="false">F50*G50</f>
        <v>0.104840118818801</v>
      </c>
      <c r="I50" s="20" t="s">
        <v>105</v>
      </c>
      <c r="J50" s="20"/>
    </row>
    <row r="51" customFormat="false" ht="15" hidden="false" customHeight="true" outlineLevel="0" collapsed="false">
      <c r="A51" s="23" t="s">
        <v>106</v>
      </c>
      <c r="B51" s="23"/>
      <c r="C51" s="24"/>
      <c r="D51" s="24"/>
      <c r="E51" s="24"/>
      <c r="F51" s="24"/>
      <c r="G51" s="24"/>
      <c r="H51" s="25" t="n">
        <f aca="false">SUM(H46:H50)</f>
        <v>0.61808184077723</v>
      </c>
    </row>
    <row r="53" customFormat="false" ht="15" hidden="false" customHeight="false" outlineLevel="0" collapsed="false">
      <c r="B53" s="21" t="s">
        <v>107</v>
      </c>
    </row>
    <row r="54" customFormat="false" ht="31.5" hidden="false" customHeight="true" outlineLevel="0" collapsed="false">
      <c r="A54" s="5" t="s">
        <v>41</v>
      </c>
      <c r="B54" s="5" t="s">
        <v>42</v>
      </c>
      <c r="C54" s="5" t="s">
        <v>108</v>
      </c>
      <c r="D54" s="5" t="s">
        <v>45</v>
      </c>
      <c r="E54" s="5" t="s">
        <v>109</v>
      </c>
      <c r="F54" s="5" t="s">
        <v>110</v>
      </c>
      <c r="G54" s="5" t="s">
        <v>111</v>
      </c>
    </row>
    <row r="55" customFormat="false" ht="25.5" hidden="false" customHeight="true" outlineLevel="0" collapsed="false">
      <c r="A55" s="15" t="n">
        <v>1</v>
      </c>
      <c r="B55" s="6" t="s">
        <v>77</v>
      </c>
      <c r="C55" s="26" t="n">
        <v>5</v>
      </c>
      <c r="D55" s="15" t="s">
        <v>79</v>
      </c>
      <c r="E55" s="18" t="s">
        <v>112</v>
      </c>
      <c r="F55" s="18" t="s">
        <v>113</v>
      </c>
      <c r="G55" s="17" t="n">
        <f aca="false">C55*I29</f>
        <v>161.016949152542</v>
      </c>
    </row>
    <row r="56" customFormat="false" ht="25.5" hidden="false" customHeight="true" outlineLevel="0" collapsed="false">
      <c r="A56" s="15" t="n">
        <v>2</v>
      </c>
      <c r="B56" s="6" t="s">
        <v>80</v>
      </c>
      <c r="C56" s="26" t="n">
        <v>4</v>
      </c>
      <c r="D56" s="15" t="s">
        <v>82</v>
      </c>
      <c r="E56" s="18" t="s">
        <v>112</v>
      </c>
      <c r="F56" s="18" t="s">
        <v>113</v>
      </c>
      <c r="G56" s="17" t="n">
        <f aca="false">C56*I30</f>
        <v>84.7457627118644</v>
      </c>
    </row>
    <row r="57" customFormat="false" ht="25.5" hidden="false" customHeight="true" outlineLevel="0" collapsed="false">
      <c r="A57" s="15" t="n">
        <v>3</v>
      </c>
      <c r="B57" s="6" t="s">
        <v>83</v>
      </c>
      <c r="C57" s="26" t="n">
        <v>250</v>
      </c>
      <c r="D57" s="15" t="s">
        <v>70</v>
      </c>
      <c r="E57" s="18" t="s">
        <v>114</v>
      </c>
      <c r="F57" s="18" t="s">
        <v>115</v>
      </c>
      <c r="G57" s="17" t="n">
        <f aca="false">C57*I31</f>
        <v>125</v>
      </c>
    </row>
    <row r="58" customFormat="false" ht="25.5" hidden="false" customHeight="true" outlineLevel="0" collapsed="false">
      <c r="A58" s="15" t="n">
        <v>4</v>
      </c>
      <c r="B58" s="6" t="s">
        <v>85</v>
      </c>
      <c r="C58" s="26" t="n">
        <v>2</v>
      </c>
      <c r="D58" s="15" t="s">
        <v>87</v>
      </c>
      <c r="E58" s="18" t="s">
        <v>114</v>
      </c>
      <c r="F58" s="18" t="s">
        <v>116</v>
      </c>
      <c r="G58" s="17" t="n">
        <f aca="false">C58*I32</f>
        <v>120</v>
      </c>
    </row>
    <row r="60" customFormat="false" ht="25.5" hidden="false" customHeight="true" outlineLevel="0" collapsed="false">
      <c r="B60" s="27" t="s">
        <v>117</v>
      </c>
      <c r="C60" s="28" t="n">
        <f aca="false">SUMIF(F55:F58,"CIF",G55:G58)</f>
        <v>245.762711864407</v>
      </c>
    </row>
    <row r="61" customFormat="false" ht="25.5" hidden="false" customHeight="true" outlineLevel="0" collapsed="false">
      <c r="B61" s="27" t="s">
        <v>118</v>
      </c>
      <c r="C61" s="28" t="n">
        <f aca="false">SUMIF(F55:F58,"Gasto administrativo",G55:G58)</f>
        <v>120</v>
      </c>
    </row>
    <row r="62" customFormat="false" ht="25.5" hidden="false" customHeight="true" outlineLevel="0" collapsed="false">
      <c r="B62" s="27" t="s">
        <v>119</v>
      </c>
      <c r="C62" s="28" t="n">
        <f aca="false">SUMIF(F55:F58,"Gasto de ventas",G55:G58)</f>
        <v>125</v>
      </c>
    </row>
    <row r="64" customFormat="false" ht="15" hidden="false" customHeight="false" outlineLevel="0" collapsed="false">
      <c r="B64" s="9" t="s">
        <v>120</v>
      </c>
    </row>
    <row r="65" customFormat="false" ht="27.75" hidden="false" customHeight="true" outlineLevel="0" collapsed="false">
      <c r="B65" s="6" t="s">
        <v>121</v>
      </c>
      <c r="C65" s="12" t="n">
        <v>0.2</v>
      </c>
    </row>
    <row r="66" customFormat="false" ht="27.75" hidden="false" customHeight="true" outlineLevel="0" collapsed="false">
      <c r="B66" s="6" t="s">
        <v>122</v>
      </c>
      <c r="C66" s="26" t="n">
        <v>150</v>
      </c>
    </row>
    <row r="67" customFormat="false" ht="27.75" hidden="false" customHeight="true" outlineLevel="0" collapsed="false">
      <c r="B67" s="6" t="s">
        <v>123</v>
      </c>
      <c r="C67" s="26" t="n">
        <v>500</v>
      </c>
    </row>
    <row r="69" customFormat="false" ht="19.5" hidden="false" customHeight="true" outlineLevel="0" collapsed="false">
      <c r="A69" s="13" t="s">
        <v>124</v>
      </c>
      <c r="B69" s="13"/>
      <c r="C69" s="13"/>
      <c r="D69" s="13"/>
      <c r="E69" s="13"/>
      <c r="F69" s="13"/>
      <c r="G69" s="13"/>
      <c r="H69" s="13"/>
      <c r="I69" s="13"/>
      <c r="J69" s="13"/>
    </row>
    <row r="70" customFormat="false" ht="15.75" hidden="false" customHeight="true" outlineLevel="0" collapsed="false">
      <c r="B70" s="14" t="s">
        <v>125</v>
      </c>
      <c r="C70" s="14"/>
      <c r="D70" s="14"/>
      <c r="E70" s="14"/>
      <c r="F70" s="14"/>
      <c r="G70" s="14"/>
      <c r="H70" s="14"/>
      <c r="I70" s="14"/>
    </row>
    <row r="71" customFormat="false" ht="31.5" hidden="false" customHeight="true" outlineLevel="0" collapsed="false">
      <c r="B71" s="5" t="s">
        <v>126</v>
      </c>
      <c r="C71" s="5" t="s">
        <v>127</v>
      </c>
      <c r="D71" s="5" t="s">
        <v>128</v>
      </c>
      <c r="E71" s="5" t="s">
        <v>129</v>
      </c>
    </row>
    <row r="72" customFormat="false" ht="15" hidden="false" customHeight="false" outlineLevel="0" collapsed="false">
      <c r="B72" s="11" t="s">
        <v>130</v>
      </c>
      <c r="C72" s="26" t="n">
        <v>900</v>
      </c>
      <c r="D72" s="26" t="n">
        <v>3000</v>
      </c>
      <c r="E72" s="29" t="n">
        <f aca="false">C72+D72</f>
        <v>3900</v>
      </c>
    </row>
    <row r="73" customFormat="false" ht="15" hidden="false" customHeight="false" outlineLevel="0" collapsed="false">
      <c r="B73" s="11" t="s">
        <v>131</v>
      </c>
      <c r="C73" s="26" t="n">
        <v>950</v>
      </c>
      <c r="D73" s="26" t="n">
        <v>3200</v>
      </c>
      <c r="E73" s="29" t="n">
        <f aca="false">C73+D73</f>
        <v>4150</v>
      </c>
    </row>
    <row r="74" customFormat="false" ht="15" hidden="false" customHeight="false" outlineLevel="0" collapsed="false">
      <c r="B74" s="11" t="s">
        <v>132</v>
      </c>
      <c r="C74" s="26" t="n">
        <v>820</v>
      </c>
      <c r="D74" s="26" t="n">
        <v>2600</v>
      </c>
      <c r="E74" s="29" t="n">
        <f aca="false">C74+D74</f>
        <v>3420</v>
      </c>
    </row>
    <row r="75" customFormat="false" ht="15" hidden="false" customHeight="false" outlineLevel="0" collapsed="false">
      <c r="B75" s="11" t="s">
        <v>133</v>
      </c>
      <c r="C75" s="26" t="n">
        <v>650</v>
      </c>
      <c r="D75" s="26" t="n">
        <v>1900</v>
      </c>
      <c r="E75" s="29" t="n">
        <f aca="false">C75+D75</f>
        <v>2550</v>
      </c>
    </row>
    <row r="76" customFormat="false" ht="15" hidden="false" customHeight="false" outlineLevel="0" collapsed="false">
      <c r="B76" s="11" t="s">
        <v>134</v>
      </c>
      <c r="C76" s="26" t="n">
        <v>560</v>
      </c>
      <c r="D76" s="26" t="n">
        <v>1500</v>
      </c>
      <c r="E76" s="29" t="n">
        <f aca="false">C76+D76</f>
        <v>2060</v>
      </c>
    </row>
    <row r="77" customFormat="false" ht="15" hidden="false" customHeight="false" outlineLevel="0" collapsed="false">
      <c r="B77" s="11" t="s">
        <v>135</v>
      </c>
      <c r="C77" s="26" t="n">
        <v>480</v>
      </c>
      <c r="D77" s="26" t="n">
        <v>1200</v>
      </c>
      <c r="E77" s="29" t="n">
        <f aca="false">C77+D77</f>
        <v>1680</v>
      </c>
    </row>
    <row r="78" customFormat="false" ht="15" hidden="false" customHeight="false" outlineLevel="0" collapsed="false">
      <c r="B78" s="11" t="s">
        <v>136</v>
      </c>
      <c r="C78" s="26" t="n">
        <v>500</v>
      </c>
      <c r="D78" s="26" t="n">
        <v>1250</v>
      </c>
      <c r="E78" s="29" t="n">
        <f aca="false">C78+D78</f>
        <v>1750</v>
      </c>
    </row>
    <row r="79" customFormat="false" ht="15" hidden="false" customHeight="false" outlineLevel="0" collapsed="false">
      <c r="B79" s="11" t="s">
        <v>137</v>
      </c>
      <c r="C79" s="26" t="n">
        <v>620</v>
      </c>
      <c r="D79" s="26" t="n">
        <v>1700</v>
      </c>
      <c r="E79" s="29" t="n">
        <f aca="false">C79+D79</f>
        <v>2320</v>
      </c>
    </row>
    <row r="80" customFormat="false" ht="15" hidden="false" customHeight="false" outlineLevel="0" collapsed="false">
      <c r="B80" s="11" t="s">
        <v>138</v>
      </c>
      <c r="C80" s="26" t="n">
        <v>700</v>
      </c>
      <c r="D80" s="26" t="n">
        <v>2100</v>
      </c>
      <c r="E80" s="29" t="n">
        <f aca="false">C80+D80</f>
        <v>2800</v>
      </c>
    </row>
    <row r="81" customFormat="false" ht="15" hidden="false" customHeight="false" outlineLevel="0" collapsed="false">
      <c r="B81" s="11" t="s">
        <v>139</v>
      </c>
      <c r="C81" s="26" t="n">
        <v>780</v>
      </c>
      <c r="D81" s="26" t="n">
        <v>2400</v>
      </c>
      <c r="E81" s="29" t="n">
        <f aca="false">C81+D81</f>
        <v>3180</v>
      </c>
    </row>
    <row r="82" customFormat="false" ht="15" hidden="false" customHeight="false" outlineLevel="0" collapsed="false">
      <c r="B82" s="11" t="s">
        <v>140</v>
      </c>
      <c r="C82" s="26" t="n">
        <v>850</v>
      </c>
      <c r="D82" s="26" t="n">
        <v>2700</v>
      </c>
      <c r="E82" s="29" t="n">
        <f aca="false">C82+D82</f>
        <v>3550</v>
      </c>
    </row>
    <row r="83" customFormat="false" ht="15" hidden="false" customHeight="false" outlineLevel="0" collapsed="false">
      <c r="B83" s="11" t="s">
        <v>141</v>
      </c>
      <c r="C83" s="26" t="n">
        <v>1000</v>
      </c>
      <c r="D83" s="26" t="n">
        <v>3300</v>
      </c>
      <c r="E83" s="29" t="n">
        <f aca="false">C83+D83</f>
        <v>4300</v>
      </c>
    </row>
    <row r="84" customFormat="false" ht="15" hidden="false" customHeight="false" outlineLevel="0" collapsed="false">
      <c r="B84" s="23" t="s">
        <v>142</v>
      </c>
      <c r="C84" s="30" t="n">
        <f aca="false">SUM(C72:C83)</f>
        <v>8810</v>
      </c>
      <c r="D84" s="30" t="n">
        <f aca="false">SUM(D72:D83)</f>
        <v>26850</v>
      </c>
      <c r="E84" s="30" t="n">
        <f aca="false">SUM(E72:E83)</f>
        <v>35660</v>
      </c>
    </row>
    <row r="85" customFormat="false" ht="25.5" hidden="false" customHeight="true" outlineLevel="0" collapsed="false">
      <c r="B85" s="6" t="s">
        <v>143</v>
      </c>
      <c r="C85" s="26" t="n">
        <v>920</v>
      </c>
      <c r="D85" s="26" t="n">
        <v>3050</v>
      </c>
    </row>
    <row r="87" customFormat="false" ht="19.5" hidden="false" customHeight="true" outlineLevel="0" collapsed="false">
      <c r="A87" s="13" t="s">
        <v>144</v>
      </c>
      <c r="B87" s="13"/>
      <c r="C87" s="13"/>
      <c r="D87" s="13"/>
      <c r="E87" s="13"/>
      <c r="F87" s="13"/>
      <c r="G87" s="13"/>
      <c r="H87" s="13"/>
      <c r="I87" s="13"/>
      <c r="J87" s="13"/>
    </row>
    <row r="88" customFormat="false" ht="15" hidden="false" customHeight="true" outlineLevel="0" collapsed="false">
      <c r="B88" s="14" t="s">
        <v>145</v>
      </c>
      <c r="C88" s="14"/>
      <c r="D88" s="14"/>
      <c r="E88" s="14"/>
      <c r="F88" s="14"/>
      <c r="G88" s="14"/>
      <c r="H88" s="14"/>
      <c r="I88" s="14"/>
    </row>
    <row r="89" customFormat="false" ht="27.75" hidden="false" customHeight="true" outlineLevel="0" collapsed="false">
      <c r="B89" s="4" t="s">
        <v>146</v>
      </c>
      <c r="C89" s="4"/>
      <c r="D89" s="4"/>
      <c r="E89" s="4"/>
      <c r="F89" s="4"/>
      <c r="G89" s="4"/>
      <c r="H89" s="4"/>
      <c r="I89" s="4"/>
    </row>
    <row r="91" customFormat="false" ht="15" hidden="false" customHeight="false" outlineLevel="0" collapsed="false">
      <c r="B91" s="21" t="s">
        <v>147</v>
      </c>
    </row>
    <row r="92" customFormat="false" ht="31.5" hidden="false" customHeight="true" outlineLevel="0" collapsed="false">
      <c r="B92" s="5" t="s">
        <v>126</v>
      </c>
      <c r="C92" s="5" t="s">
        <v>148</v>
      </c>
      <c r="D92" s="5" t="s">
        <v>149</v>
      </c>
      <c r="E92" s="5" t="s">
        <v>150</v>
      </c>
      <c r="F92" s="5" t="s">
        <v>151</v>
      </c>
      <c r="G92" s="5" t="s">
        <v>152</v>
      </c>
    </row>
    <row r="93" customFormat="false" ht="15" hidden="false" customHeight="false" outlineLevel="0" collapsed="false">
      <c r="B93" s="11" t="s">
        <v>130</v>
      </c>
      <c r="C93" s="29" t="n">
        <f aca="false">C72</f>
        <v>900</v>
      </c>
      <c r="D93" s="29" t="n">
        <f aca="false">ROUND(C73*$C$65,0)</f>
        <v>190</v>
      </c>
      <c r="E93" s="29" t="n">
        <f aca="false">C93+D93</f>
        <v>1090</v>
      </c>
      <c r="F93" s="29" t="n">
        <f aca="false">$C$66</f>
        <v>150</v>
      </c>
      <c r="G93" s="31" t="n">
        <f aca="false">E93-F93</f>
        <v>940</v>
      </c>
    </row>
    <row r="94" customFormat="false" ht="15" hidden="false" customHeight="false" outlineLevel="0" collapsed="false">
      <c r="B94" s="11" t="s">
        <v>131</v>
      </c>
      <c r="C94" s="29" t="n">
        <f aca="false">C73</f>
        <v>950</v>
      </c>
      <c r="D94" s="29" t="n">
        <f aca="false">ROUND(C74*$C$65,0)</f>
        <v>164</v>
      </c>
      <c r="E94" s="29" t="n">
        <f aca="false">C94+D94</f>
        <v>1114</v>
      </c>
      <c r="F94" s="29" t="n">
        <f aca="false">D93</f>
        <v>190</v>
      </c>
      <c r="G94" s="31" t="n">
        <f aca="false">E94-F94</f>
        <v>924</v>
      </c>
    </row>
    <row r="95" customFormat="false" ht="15" hidden="false" customHeight="false" outlineLevel="0" collapsed="false">
      <c r="B95" s="11" t="s">
        <v>132</v>
      </c>
      <c r="C95" s="29" t="n">
        <f aca="false">C74</f>
        <v>820</v>
      </c>
      <c r="D95" s="29" t="n">
        <f aca="false">ROUND(C75*$C$65,0)</f>
        <v>130</v>
      </c>
      <c r="E95" s="29" t="n">
        <f aca="false">C95+D95</f>
        <v>950</v>
      </c>
      <c r="F95" s="29" t="n">
        <f aca="false">D94</f>
        <v>164</v>
      </c>
      <c r="G95" s="31" t="n">
        <f aca="false">E95-F95</f>
        <v>786</v>
      </c>
    </row>
    <row r="96" customFormat="false" ht="15" hidden="false" customHeight="false" outlineLevel="0" collapsed="false">
      <c r="B96" s="11" t="s">
        <v>133</v>
      </c>
      <c r="C96" s="29" t="n">
        <f aca="false">C75</f>
        <v>650</v>
      </c>
      <c r="D96" s="29" t="n">
        <f aca="false">ROUND(C76*$C$65,0)</f>
        <v>112</v>
      </c>
      <c r="E96" s="29" t="n">
        <f aca="false">C96+D96</f>
        <v>762</v>
      </c>
      <c r="F96" s="29" t="n">
        <f aca="false">D95</f>
        <v>130</v>
      </c>
      <c r="G96" s="31" t="n">
        <f aca="false">E96-F96</f>
        <v>632</v>
      </c>
    </row>
    <row r="97" customFormat="false" ht="15" hidden="false" customHeight="false" outlineLevel="0" collapsed="false">
      <c r="B97" s="11" t="s">
        <v>134</v>
      </c>
      <c r="C97" s="29" t="n">
        <f aca="false">C76</f>
        <v>560</v>
      </c>
      <c r="D97" s="29" t="n">
        <f aca="false">ROUND(C77*$C$65,0)</f>
        <v>96</v>
      </c>
      <c r="E97" s="29" t="n">
        <f aca="false">C97+D97</f>
        <v>656</v>
      </c>
      <c r="F97" s="29" t="n">
        <f aca="false">D96</f>
        <v>112</v>
      </c>
      <c r="G97" s="31" t="n">
        <f aca="false">E97-F97</f>
        <v>544</v>
      </c>
    </row>
    <row r="98" customFormat="false" ht="15" hidden="false" customHeight="false" outlineLevel="0" collapsed="false">
      <c r="B98" s="11" t="s">
        <v>135</v>
      </c>
      <c r="C98" s="29" t="n">
        <f aca="false">C77</f>
        <v>480</v>
      </c>
      <c r="D98" s="29" t="n">
        <f aca="false">ROUND(C78*$C$65,0)</f>
        <v>100</v>
      </c>
      <c r="E98" s="29" t="n">
        <f aca="false">C98+D98</f>
        <v>580</v>
      </c>
      <c r="F98" s="29" t="n">
        <f aca="false">D97</f>
        <v>96</v>
      </c>
      <c r="G98" s="31" t="n">
        <f aca="false">E98-F98</f>
        <v>484</v>
      </c>
    </row>
    <row r="99" customFormat="false" ht="15" hidden="false" customHeight="false" outlineLevel="0" collapsed="false">
      <c r="B99" s="11" t="s">
        <v>136</v>
      </c>
      <c r="C99" s="29" t="n">
        <f aca="false">C78</f>
        <v>500</v>
      </c>
      <c r="D99" s="29" t="n">
        <f aca="false">ROUND(C79*$C$65,0)</f>
        <v>124</v>
      </c>
      <c r="E99" s="29" t="n">
        <f aca="false">C99+D99</f>
        <v>624</v>
      </c>
      <c r="F99" s="29" t="n">
        <f aca="false">D98</f>
        <v>100</v>
      </c>
      <c r="G99" s="31" t="n">
        <f aca="false">E99-F99</f>
        <v>524</v>
      </c>
    </row>
    <row r="100" customFormat="false" ht="15" hidden="false" customHeight="false" outlineLevel="0" collapsed="false">
      <c r="B100" s="11" t="s">
        <v>137</v>
      </c>
      <c r="C100" s="29" t="n">
        <f aca="false">C79</f>
        <v>620</v>
      </c>
      <c r="D100" s="29" t="n">
        <f aca="false">ROUND(C80*$C$65,0)</f>
        <v>140</v>
      </c>
      <c r="E100" s="29" t="n">
        <f aca="false">C100+D100</f>
        <v>760</v>
      </c>
      <c r="F100" s="29" t="n">
        <f aca="false">D99</f>
        <v>124</v>
      </c>
      <c r="G100" s="31" t="n">
        <f aca="false">E100-F100</f>
        <v>636</v>
      </c>
    </row>
    <row r="101" customFormat="false" ht="15" hidden="false" customHeight="false" outlineLevel="0" collapsed="false">
      <c r="B101" s="11" t="s">
        <v>138</v>
      </c>
      <c r="C101" s="29" t="n">
        <f aca="false">C80</f>
        <v>700</v>
      </c>
      <c r="D101" s="29" t="n">
        <f aca="false">ROUND(C81*$C$65,0)</f>
        <v>156</v>
      </c>
      <c r="E101" s="29" t="n">
        <f aca="false">C101+D101</f>
        <v>856</v>
      </c>
      <c r="F101" s="29" t="n">
        <f aca="false">D100</f>
        <v>140</v>
      </c>
      <c r="G101" s="31" t="n">
        <f aca="false">E101-F101</f>
        <v>716</v>
      </c>
    </row>
    <row r="102" customFormat="false" ht="15" hidden="false" customHeight="false" outlineLevel="0" collapsed="false">
      <c r="B102" s="11" t="s">
        <v>139</v>
      </c>
      <c r="C102" s="29" t="n">
        <f aca="false">C81</f>
        <v>780</v>
      </c>
      <c r="D102" s="29" t="n">
        <f aca="false">ROUND(C82*$C$65,0)</f>
        <v>170</v>
      </c>
      <c r="E102" s="29" t="n">
        <f aca="false">C102+D102</f>
        <v>950</v>
      </c>
      <c r="F102" s="29" t="n">
        <f aca="false">D101</f>
        <v>156</v>
      </c>
      <c r="G102" s="31" t="n">
        <f aca="false">E102-F102</f>
        <v>794</v>
      </c>
    </row>
    <row r="103" customFormat="false" ht="15" hidden="false" customHeight="false" outlineLevel="0" collapsed="false">
      <c r="B103" s="11" t="s">
        <v>140</v>
      </c>
      <c r="C103" s="29" t="n">
        <f aca="false">C82</f>
        <v>850</v>
      </c>
      <c r="D103" s="29" t="n">
        <f aca="false">ROUND(C83*$C$65,0)</f>
        <v>200</v>
      </c>
      <c r="E103" s="29" t="n">
        <f aca="false">C103+D103</f>
        <v>1050</v>
      </c>
      <c r="F103" s="29" t="n">
        <f aca="false">D102</f>
        <v>170</v>
      </c>
      <c r="G103" s="31" t="n">
        <f aca="false">E103-F103</f>
        <v>880</v>
      </c>
    </row>
    <row r="104" customFormat="false" ht="15" hidden="false" customHeight="false" outlineLevel="0" collapsed="false">
      <c r="B104" s="11" t="s">
        <v>141</v>
      </c>
      <c r="C104" s="29" t="n">
        <f aca="false">C83</f>
        <v>1000</v>
      </c>
      <c r="D104" s="29" t="n">
        <f aca="false">ROUND(C85*$C$65,0)</f>
        <v>184</v>
      </c>
      <c r="E104" s="29" t="n">
        <f aca="false">C104+D104</f>
        <v>1184</v>
      </c>
      <c r="F104" s="29" t="n">
        <f aca="false">D103</f>
        <v>200</v>
      </c>
      <c r="G104" s="31" t="n">
        <f aca="false">E104-F104</f>
        <v>984</v>
      </c>
    </row>
    <row r="105" customFormat="false" ht="15" hidden="false" customHeight="false" outlineLevel="0" collapsed="false">
      <c r="B105" s="23" t="s">
        <v>142</v>
      </c>
      <c r="C105" s="30" t="n">
        <f aca="false">SUM(C93:C104)</f>
        <v>8810</v>
      </c>
      <c r="D105" s="24"/>
      <c r="E105" s="24"/>
      <c r="F105" s="24"/>
      <c r="G105" s="30" t="n">
        <f aca="false">SUM(G93:G104)</f>
        <v>8844</v>
      </c>
    </row>
    <row r="107" customFormat="false" ht="15" hidden="false" customHeight="false" outlineLevel="0" collapsed="false">
      <c r="B107" s="21" t="s">
        <v>153</v>
      </c>
    </row>
    <row r="108" customFormat="false" ht="31.5" hidden="false" customHeight="true" outlineLevel="0" collapsed="false">
      <c r="B108" s="5" t="s">
        <v>126</v>
      </c>
      <c r="C108" s="5" t="s">
        <v>148</v>
      </c>
      <c r="D108" s="5" t="s">
        <v>149</v>
      </c>
      <c r="E108" s="5" t="s">
        <v>150</v>
      </c>
      <c r="F108" s="5" t="s">
        <v>151</v>
      </c>
      <c r="G108" s="5" t="s">
        <v>152</v>
      </c>
    </row>
    <row r="109" customFormat="false" ht="15" hidden="false" customHeight="false" outlineLevel="0" collapsed="false">
      <c r="B109" s="11" t="s">
        <v>130</v>
      </c>
      <c r="C109" s="29" t="n">
        <f aca="false">D72</f>
        <v>3000</v>
      </c>
      <c r="D109" s="29" t="n">
        <f aca="false">ROUND(D73*$C$65,0)</f>
        <v>640</v>
      </c>
      <c r="E109" s="29" t="n">
        <f aca="false">C109+D109</f>
        <v>3640</v>
      </c>
      <c r="F109" s="29" t="n">
        <f aca="false">$C$67</f>
        <v>500</v>
      </c>
      <c r="G109" s="31" t="n">
        <f aca="false">E109-F109</f>
        <v>3140</v>
      </c>
    </row>
    <row r="110" customFormat="false" ht="15" hidden="false" customHeight="false" outlineLevel="0" collapsed="false">
      <c r="B110" s="11" t="s">
        <v>131</v>
      </c>
      <c r="C110" s="29" t="n">
        <f aca="false">D73</f>
        <v>3200</v>
      </c>
      <c r="D110" s="29" t="n">
        <f aca="false">ROUND(D74*$C$65,0)</f>
        <v>520</v>
      </c>
      <c r="E110" s="29" t="n">
        <f aca="false">C110+D110</f>
        <v>3720</v>
      </c>
      <c r="F110" s="29" t="n">
        <f aca="false">D109</f>
        <v>640</v>
      </c>
      <c r="G110" s="31" t="n">
        <f aca="false">E110-F110</f>
        <v>3080</v>
      </c>
    </row>
    <row r="111" customFormat="false" ht="15" hidden="false" customHeight="false" outlineLevel="0" collapsed="false">
      <c r="B111" s="11" t="s">
        <v>132</v>
      </c>
      <c r="C111" s="29" t="n">
        <f aca="false">D74</f>
        <v>2600</v>
      </c>
      <c r="D111" s="29" t="n">
        <f aca="false">ROUND(D75*$C$65,0)</f>
        <v>380</v>
      </c>
      <c r="E111" s="29" t="n">
        <f aca="false">C111+D111</f>
        <v>2980</v>
      </c>
      <c r="F111" s="29" t="n">
        <f aca="false">D110</f>
        <v>520</v>
      </c>
      <c r="G111" s="31" t="n">
        <f aca="false">E111-F111</f>
        <v>2460</v>
      </c>
    </row>
    <row r="112" customFormat="false" ht="15" hidden="false" customHeight="false" outlineLevel="0" collapsed="false">
      <c r="B112" s="11" t="s">
        <v>133</v>
      </c>
      <c r="C112" s="29" t="n">
        <f aca="false">D75</f>
        <v>1900</v>
      </c>
      <c r="D112" s="29" t="n">
        <f aca="false">ROUND(D76*$C$65,0)</f>
        <v>300</v>
      </c>
      <c r="E112" s="29" t="n">
        <f aca="false">C112+D112</f>
        <v>2200</v>
      </c>
      <c r="F112" s="29" t="n">
        <f aca="false">D111</f>
        <v>380</v>
      </c>
      <c r="G112" s="31" t="n">
        <f aca="false">E112-F112</f>
        <v>1820</v>
      </c>
    </row>
    <row r="113" customFormat="false" ht="15" hidden="false" customHeight="false" outlineLevel="0" collapsed="false">
      <c r="B113" s="11" t="s">
        <v>134</v>
      </c>
      <c r="C113" s="29" t="n">
        <f aca="false">D76</f>
        <v>1500</v>
      </c>
      <c r="D113" s="29" t="n">
        <f aca="false">ROUND(D77*$C$65,0)</f>
        <v>240</v>
      </c>
      <c r="E113" s="29" t="n">
        <f aca="false">C113+D113</f>
        <v>1740</v>
      </c>
      <c r="F113" s="29" t="n">
        <f aca="false">D112</f>
        <v>300</v>
      </c>
      <c r="G113" s="31" t="n">
        <f aca="false">E113-F113</f>
        <v>1440</v>
      </c>
    </row>
    <row r="114" customFormat="false" ht="15" hidden="false" customHeight="false" outlineLevel="0" collapsed="false">
      <c r="B114" s="11" t="s">
        <v>135</v>
      </c>
      <c r="C114" s="29" t="n">
        <f aca="false">D77</f>
        <v>1200</v>
      </c>
      <c r="D114" s="29" t="n">
        <f aca="false">ROUND(D78*$C$65,0)</f>
        <v>250</v>
      </c>
      <c r="E114" s="29" t="n">
        <f aca="false">C114+D114</f>
        <v>1450</v>
      </c>
      <c r="F114" s="29" t="n">
        <f aca="false">D113</f>
        <v>240</v>
      </c>
      <c r="G114" s="31" t="n">
        <f aca="false">E114-F114</f>
        <v>1210</v>
      </c>
    </row>
    <row r="115" customFormat="false" ht="15" hidden="false" customHeight="false" outlineLevel="0" collapsed="false">
      <c r="B115" s="11" t="s">
        <v>136</v>
      </c>
      <c r="C115" s="29" t="n">
        <f aca="false">D78</f>
        <v>1250</v>
      </c>
      <c r="D115" s="29" t="n">
        <f aca="false">ROUND(D79*$C$65,0)</f>
        <v>340</v>
      </c>
      <c r="E115" s="29" t="n">
        <f aca="false">C115+D115</f>
        <v>1590</v>
      </c>
      <c r="F115" s="29" t="n">
        <f aca="false">D114</f>
        <v>250</v>
      </c>
      <c r="G115" s="31" t="n">
        <f aca="false">E115-F115</f>
        <v>1340</v>
      </c>
    </row>
    <row r="116" customFormat="false" ht="15" hidden="false" customHeight="false" outlineLevel="0" collapsed="false">
      <c r="B116" s="11" t="s">
        <v>137</v>
      </c>
      <c r="C116" s="29" t="n">
        <f aca="false">D79</f>
        <v>1700</v>
      </c>
      <c r="D116" s="29" t="n">
        <f aca="false">ROUND(D80*$C$65,0)</f>
        <v>420</v>
      </c>
      <c r="E116" s="29" t="n">
        <f aca="false">C116+D116</f>
        <v>2120</v>
      </c>
      <c r="F116" s="29" t="n">
        <f aca="false">D115</f>
        <v>340</v>
      </c>
      <c r="G116" s="31" t="n">
        <f aca="false">E116-F116</f>
        <v>1780</v>
      </c>
    </row>
    <row r="117" customFormat="false" ht="15" hidden="false" customHeight="false" outlineLevel="0" collapsed="false">
      <c r="B117" s="11" t="s">
        <v>138</v>
      </c>
      <c r="C117" s="29" t="n">
        <f aca="false">D80</f>
        <v>2100</v>
      </c>
      <c r="D117" s="29" t="n">
        <f aca="false">ROUND(D81*$C$65,0)</f>
        <v>480</v>
      </c>
      <c r="E117" s="29" t="n">
        <f aca="false">C117+D117</f>
        <v>2580</v>
      </c>
      <c r="F117" s="29" t="n">
        <f aca="false">D116</f>
        <v>420</v>
      </c>
      <c r="G117" s="31" t="n">
        <f aca="false">E117-F117</f>
        <v>2160</v>
      </c>
    </row>
    <row r="118" customFormat="false" ht="15" hidden="false" customHeight="false" outlineLevel="0" collapsed="false">
      <c r="B118" s="11" t="s">
        <v>139</v>
      </c>
      <c r="C118" s="29" t="n">
        <f aca="false">D81</f>
        <v>2400</v>
      </c>
      <c r="D118" s="29" t="n">
        <f aca="false">ROUND(D82*$C$65,0)</f>
        <v>540</v>
      </c>
      <c r="E118" s="29" t="n">
        <f aca="false">C118+D118</f>
        <v>2940</v>
      </c>
      <c r="F118" s="29" t="n">
        <f aca="false">D117</f>
        <v>480</v>
      </c>
      <c r="G118" s="31" t="n">
        <f aca="false">E118-F118</f>
        <v>2460</v>
      </c>
    </row>
    <row r="119" customFormat="false" ht="15" hidden="false" customHeight="false" outlineLevel="0" collapsed="false">
      <c r="B119" s="11" t="s">
        <v>140</v>
      </c>
      <c r="C119" s="29" t="n">
        <f aca="false">D82</f>
        <v>2700</v>
      </c>
      <c r="D119" s="29" t="n">
        <f aca="false">ROUND(D83*$C$65,0)</f>
        <v>660</v>
      </c>
      <c r="E119" s="29" t="n">
        <f aca="false">C119+D119</f>
        <v>3360</v>
      </c>
      <c r="F119" s="29" t="n">
        <f aca="false">D118</f>
        <v>540</v>
      </c>
      <c r="G119" s="31" t="n">
        <f aca="false">E119-F119</f>
        <v>2820</v>
      </c>
    </row>
    <row r="120" customFormat="false" ht="15" hidden="false" customHeight="false" outlineLevel="0" collapsed="false">
      <c r="B120" s="11" t="s">
        <v>141</v>
      </c>
      <c r="C120" s="29" t="n">
        <f aca="false">D83</f>
        <v>3300</v>
      </c>
      <c r="D120" s="29" t="n">
        <f aca="false">ROUND(D85*$C$65,0)</f>
        <v>610</v>
      </c>
      <c r="E120" s="29" t="n">
        <f aca="false">C120+D120</f>
        <v>3910</v>
      </c>
      <c r="F120" s="29" t="n">
        <f aca="false">D119</f>
        <v>660</v>
      </c>
      <c r="G120" s="31" t="n">
        <f aca="false">E120-F120</f>
        <v>3250</v>
      </c>
    </row>
    <row r="121" customFormat="false" ht="15" hidden="false" customHeight="false" outlineLevel="0" collapsed="false">
      <c r="B121" s="23" t="s">
        <v>142</v>
      </c>
      <c r="C121" s="30" t="n">
        <f aca="false">SUM(C109:C120)</f>
        <v>26850</v>
      </c>
      <c r="D121" s="24"/>
      <c r="E121" s="24"/>
      <c r="F121" s="24"/>
      <c r="G121" s="30" t="n">
        <f aca="false">SUM(G109:G120)</f>
        <v>26960</v>
      </c>
    </row>
    <row r="123" customFormat="false" ht="19.5" hidden="false" customHeight="true" outlineLevel="0" collapsed="false">
      <c r="A123" s="13" t="s">
        <v>154</v>
      </c>
      <c r="B123" s="13"/>
      <c r="C123" s="13"/>
      <c r="D123" s="13"/>
      <c r="E123" s="13"/>
      <c r="F123" s="13"/>
      <c r="G123" s="13"/>
      <c r="H123" s="13"/>
      <c r="I123" s="13"/>
      <c r="J123" s="13"/>
    </row>
    <row r="124" customFormat="false" ht="15.75" hidden="false" customHeight="true" outlineLevel="0" collapsed="false">
      <c r="B124" s="14" t="s">
        <v>155</v>
      </c>
      <c r="C124" s="14"/>
      <c r="D124" s="14"/>
      <c r="E124" s="14"/>
      <c r="F124" s="14"/>
      <c r="G124" s="14"/>
      <c r="H124" s="14"/>
      <c r="I124" s="14"/>
    </row>
    <row r="125" customFormat="false" ht="15.75" hidden="false" customHeight="true" outlineLevel="0" collapsed="false">
      <c r="B125" s="4" t="s">
        <v>156</v>
      </c>
      <c r="C125" s="4"/>
      <c r="D125" s="4"/>
      <c r="E125" s="4"/>
      <c r="F125" s="4"/>
      <c r="G125" s="4"/>
      <c r="H125" s="4"/>
      <c r="I125" s="4"/>
    </row>
    <row r="126" customFormat="false" ht="31.5" hidden="false" customHeight="true" outlineLevel="0" collapsed="false">
      <c r="B126" s="5" t="s">
        <v>126</v>
      </c>
      <c r="C126" s="5" t="s">
        <v>157</v>
      </c>
      <c r="D126" s="5" t="s">
        <v>158</v>
      </c>
      <c r="E126" s="5" t="s">
        <v>159</v>
      </c>
      <c r="F126" s="5" t="s">
        <v>160</v>
      </c>
      <c r="G126" s="5" t="s">
        <v>161</v>
      </c>
    </row>
    <row r="127" customFormat="false" ht="15" hidden="false" customHeight="false" outlineLevel="0" collapsed="false">
      <c r="B127" s="11" t="s">
        <v>130</v>
      </c>
      <c r="C127" s="29" t="n">
        <f aca="false">$G$93</f>
        <v>940</v>
      </c>
      <c r="D127" s="29" t="n">
        <f aca="false">$G$109</f>
        <v>3140</v>
      </c>
      <c r="E127" s="32" t="n">
        <f aca="false">C127*$H$42</f>
        <v>5945.51009926313</v>
      </c>
      <c r="F127" s="32" t="n">
        <f aca="false">D127*$H$51</f>
        <v>1940.7769800405</v>
      </c>
      <c r="G127" s="33" t="n">
        <f aca="false">E127+F127</f>
        <v>7886.28707930363</v>
      </c>
    </row>
    <row r="128" customFormat="false" ht="15" hidden="false" customHeight="false" outlineLevel="0" collapsed="false">
      <c r="B128" s="11" t="s">
        <v>131</v>
      </c>
      <c r="C128" s="29" t="n">
        <f aca="false">$G$94</f>
        <v>924</v>
      </c>
      <c r="D128" s="29" t="n">
        <f aca="false">$G$110</f>
        <v>3080</v>
      </c>
      <c r="E128" s="32" t="n">
        <f aca="false">C128*$H$42</f>
        <v>5844.30992736077</v>
      </c>
      <c r="F128" s="32" t="n">
        <f aca="false">D128*$H$51</f>
        <v>1903.69206959387</v>
      </c>
      <c r="G128" s="33" t="n">
        <f aca="false">E128+F128</f>
        <v>7748.00199695464</v>
      </c>
    </row>
    <row r="129" customFormat="false" ht="15" hidden="false" customHeight="false" outlineLevel="0" collapsed="false">
      <c r="B129" s="11" t="s">
        <v>132</v>
      </c>
      <c r="C129" s="29" t="n">
        <f aca="false">$G$95</f>
        <v>786</v>
      </c>
      <c r="D129" s="29" t="n">
        <f aca="false">$G$111</f>
        <v>2460</v>
      </c>
      <c r="E129" s="32" t="n">
        <f aca="false">C129*$H$42</f>
        <v>4971.458444703</v>
      </c>
      <c r="F129" s="32" t="n">
        <f aca="false">D129*$H$51</f>
        <v>1520.48132831199</v>
      </c>
      <c r="G129" s="33" t="n">
        <f aca="false">E129+F129</f>
        <v>6491.93977301498</v>
      </c>
    </row>
    <row r="130" customFormat="false" ht="15" hidden="false" customHeight="false" outlineLevel="0" collapsed="false">
      <c r="B130" s="11" t="s">
        <v>133</v>
      </c>
      <c r="C130" s="29" t="n">
        <f aca="false">$G$96</f>
        <v>632</v>
      </c>
      <c r="D130" s="29" t="n">
        <f aca="false">$G$112</f>
        <v>1820</v>
      </c>
      <c r="E130" s="32" t="n">
        <f aca="false">C130*$H$42</f>
        <v>3997.40679014287</v>
      </c>
      <c r="F130" s="32" t="n">
        <f aca="false">D130*$H$51</f>
        <v>1124.90895021456</v>
      </c>
      <c r="G130" s="33" t="n">
        <f aca="false">E130+F130</f>
        <v>5122.31574035743</v>
      </c>
    </row>
    <row r="131" customFormat="false" ht="15" hidden="false" customHeight="false" outlineLevel="0" collapsed="false">
      <c r="B131" s="11" t="s">
        <v>134</v>
      </c>
      <c r="C131" s="29" t="n">
        <f aca="false">$G$97</f>
        <v>544</v>
      </c>
      <c r="D131" s="29" t="n">
        <f aca="false">$G$113</f>
        <v>1440</v>
      </c>
      <c r="E131" s="32" t="n">
        <f aca="false">C131*$H$42</f>
        <v>3440.80584467994</v>
      </c>
      <c r="F131" s="32" t="n">
        <f aca="false">D131*$H$51</f>
        <v>890.037850719212</v>
      </c>
      <c r="G131" s="33" t="n">
        <f aca="false">E131+F131</f>
        <v>4330.84369539915</v>
      </c>
    </row>
    <row r="132" customFormat="false" ht="15" hidden="false" customHeight="false" outlineLevel="0" collapsed="false">
      <c r="B132" s="11" t="s">
        <v>135</v>
      </c>
      <c r="C132" s="29" t="n">
        <f aca="false">$G$98</f>
        <v>484</v>
      </c>
      <c r="D132" s="29" t="n">
        <f aca="false">$G$114</f>
        <v>1210</v>
      </c>
      <c r="E132" s="32" t="n">
        <f aca="false">C132*$H$42</f>
        <v>3061.30520004612</v>
      </c>
      <c r="F132" s="32" t="n">
        <f aca="false">D132*$H$51</f>
        <v>747.879027340449</v>
      </c>
      <c r="G132" s="33" t="n">
        <f aca="false">E132+F132</f>
        <v>3809.18422738657</v>
      </c>
    </row>
    <row r="133" customFormat="false" ht="15" hidden="false" customHeight="false" outlineLevel="0" collapsed="false">
      <c r="B133" s="11" t="s">
        <v>136</v>
      </c>
      <c r="C133" s="29" t="n">
        <f aca="false">$G$99</f>
        <v>524</v>
      </c>
      <c r="D133" s="29" t="n">
        <f aca="false">$G$115</f>
        <v>1340</v>
      </c>
      <c r="E133" s="32" t="n">
        <f aca="false">C133*$H$42</f>
        <v>3314.305629802</v>
      </c>
      <c r="F133" s="32" t="n">
        <f aca="false">D133*$H$51</f>
        <v>828.229666641489</v>
      </c>
      <c r="G133" s="33" t="n">
        <f aca="false">E133+F133</f>
        <v>4142.53529644349</v>
      </c>
    </row>
    <row r="134" customFormat="false" ht="15" hidden="false" customHeight="false" outlineLevel="0" collapsed="false">
      <c r="B134" s="11" t="s">
        <v>137</v>
      </c>
      <c r="C134" s="29" t="n">
        <f aca="false">$G$100</f>
        <v>636</v>
      </c>
      <c r="D134" s="29" t="n">
        <f aca="false">$G$116</f>
        <v>1780</v>
      </c>
      <c r="E134" s="32" t="n">
        <f aca="false">C134*$H$42</f>
        <v>4022.70683311846</v>
      </c>
      <c r="F134" s="32" t="n">
        <f aca="false">D134*$H$51</f>
        <v>1100.18567658347</v>
      </c>
      <c r="G134" s="33" t="n">
        <f aca="false">E134+F134</f>
        <v>5122.89250970193</v>
      </c>
    </row>
    <row r="135" customFormat="false" ht="15" hidden="false" customHeight="false" outlineLevel="0" collapsed="false">
      <c r="B135" s="11" t="s">
        <v>138</v>
      </c>
      <c r="C135" s="29" t="n">
        <f aca="false">$G$101</f>
        <v>716</v>
      </c>
      <c r="D135" s="29" t="n">
        <f aca="false">$G$117</f>
        <v>2160</v>
      </c>
      <c r="E135" s="32" t="n">
        <f aca="false">C135*$H$42</f>
        <v>4528.70769263021</v>
      </c>
      <c r="F135" s="32" t="n">
        <f aca="false">D135*$H$51</f>
        <v>1335.05677607882</v>
      </c>
      <c r="G135" s="33" t="n">
        <f aca="false">E135+F135</f>
        <v>5863.76446870903</v>
      </c>
    </row>
    <row r="136" customFormat="false" ht="15" hidden="false" customHeight="false" outlineLevel="0" collapsed="false">
      <c r="B136" s="11" t="s">
        <v>139</v>
      </c>
      <c r="C136" s="29" t="n">
        <f aca="false">$G$102</f>
        <v>794</v>
      </c>
      <c r="D136" s="29" t="n">
        <f aca="false">$G$118</f>
        <v>2460</v>
      </c>
      <c r="E136" s="32" t="n">
        <f aca="false">C136*$H$42</f>
        <v>5022.05853065417</v>
      </c>
      <c r="F136" s="32" t="n">
        <f aca="false">D136*$H$51</f>
        <v>1520.48132831199</v>
      </c>
      <c r="G136" s="33" t="n">
        <f aca="false">E136+F136</f>
        <v>6542.53985896616</v>
      </c>
    </row>
    <row r="137" customFormat="false" ht="15" hidden="false" customHeight="false" outlineLevel="0" collapsed="false">
      <c r="B137" s="11" t="s">
        <v>140</v>
      </c>
      <c r="C137" s="29" t="n">
        <f aca="false">$G$103</f>
        <v>880</v>
      </c>
      <c r="D137" s="29" t="n">
        <f aca="false">$G$119</f>
        <v>2820</v>
      </c>
      <c r="E137" s="32" t="n">
        <f aca="false">C137*$H$42</f>
        <v>5566.00945462931</v>
      </c>
      <c r="F137" s="32" t="n">
        <f aca="false">D137*$H$51</f>
        <v>1742.99079099179</v>
      </c>
      <c r="G137" s="33" t="n">
        <f aca="false">E137+F137</f>
        <v>7309.0002456211</v>
      </c>
    </row>
    <row r="138" customFormat="false" ht="15" hidden="false" customHeight="false" outlineLevel="0" collapsed="false">
      <c r="B138" s="11" t="s">
        <v>141</v>
      </c>
      <c r="C138" s="29" t="n">
        <f aca="false">$G$104</f>
        <v>984</v>
      </c>
      <c r="D138" s="29" t="n">
        <f aca="false">$G$120</f>
        <v>3250</v>
      </c>
      <c r="E138" s="32" t="n">
        <f aca="false">C138*$H$42</f>
        <v>6223.81057199459</v>
      </c>
      <c r="F138" s="32" t="n">
        <f aca="false">D138*$H$51</f>
        <v>2008.765982526</v>
      </c>
      <c r="G138" s="33" t="n">
        <f aca="false">E138+F138</f>
        <v>8232.57655452059</v>
      </c>
    </row>
    <row r="139" customFormat="false" ht="15" hidden="false" customHeight="false" outlineLevel="0" collapsed="false">
      <c r="B139" s="23" t="s">
        <v>142</v>
      </c>
      <c r="C139" s="30" t="n">
        <f aca="false">SUM(C127:C138)</f>
        <v>8844</v>
      </c>
      <c r="D139" s="30" t="n">
        <f aca="false">SUM(D127:D138)</f>
        <v>26960</v>
      </c>
      <c r="E139" s="34" t="n">
        <f aca="false">SUM(E127:E138)</f>
        <v>55938.3950190246</v>
      </c>
      <c r="F139" s="34" t="n">
        <f aca="false">SUM(F127:F138)</f>
        <v>16663.4864273541</v>
      </c>
      <c r="G139" s="34" t="n">
        <f aca="false">SUM(G127:G138)</f>
        <v>72601.8814463787</v>
      </c>
    </row>
  </sheetData>
  <mergeCells count="33">
    <mergeCell ref="A1:J1"/>
    <mergeCell ref="A2:J2"/>
    <mergeCell ref="B5:I5"/>
    <mergeCell ref="B7:I7"/>
    <mergeCell ref="B8:I8"/>
    <mergeCell ref="B9:I9"/>
    <mergeCell ref="C11:G11"/>
    <mergeCell ref="C12:G12"/>
    <mergeCell ref="A16:J16"/>
    <mergeCell ref="B17:I17"/>
    <mergeCell ref="B33:I33"/>
    <mergeCell ref="I36:J36"/>
    <mergeCell ref="I37:J37"/>
    <mergeCell ref="I38:J38"/>
    <mergeCell ref="I39:J39"/>
    <mergeCell ref="I40:J40"/>
    <mergeCell ref="I41:J41"/>
    <mergeCell ref="A42:B42"/>
    <mergeCell ref="I45:J45"/>
    <mergeCell ref="I46:J46"/>
    <mergeCell ref="I47:J47"/>
    <mergeCell ref="I48:J48"/>
    <mergeCell ref="I49:J49"/>
    <mergeCell ref="I50:J50"/>
    <mergeCell ref="A51:B51"/>
    <mergeCell ref="A69:J69"/>
    <mergeCell ref="B70:I70"/>
    <mergeCell ref="A87:J87"/>
    <mergeCell ref="B88:I88"/>
    <mergeCell ref="B89:I89"/>
    <mergeCell ref="A123:J123"/>
    <mergeCell ref="B124:I124"/>
    <mergeCell ref="B125:I1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7" min="5" style="0" width="12"/>
    <col collapsed="false" customWidth="true" hidden="false" outlineLevel="0" max="8" min="8" style="0" width="13"/>
    <col collapsed="false" customWidth="true" hidden="false" outlineLevel="0" max="9" min="9" style="0" width="14"/>
    <col collapsed="false" customWidth="true" hidden="false" outlineLevel="0" max="10" min="10" style="0" width="26"/>
  </cols>
  <sheetData>
    <row r="1" customFormat="false" ht="24" hidden="false" customHeight="true" outlineLevel="0" collapsed="false">
      <c r="A1" s="1" t="s">
        <v>162</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B4" s="3" t="s">
        <v>27</v>
      </c>
    </row>
    <row r="5" customFormat="false" ht="61.5" hidden="false" customHeight="true" outlineLevel="0" collapsed="false">
      <c r="B5" s="4" t="s">
        <v>163</v>
      </c>
      <c r="C5" s="4"/>
      <c r="D5" s="4"/>
      <c r="E5" s="4"/>
      <c r="F5" s="4"/>
      <c r="G5" s="4"/>
      <c r="H5" s="4"/>
      <c r="I5" s="4"/>
    </row>
    <row r="6" customFormat="false" ht="15" hidden="false" customHeight="false" outlineLevel="0" collapsed="false">
      <c r="B6" s="9" t="s">
        <v>29</v>
      </c>
    </row>
    <row r="7" customFormat="false" ht="15" hidden="false" customHeight="true" outlineLevel="0" collapsed="false">
      <c r="B7" s="4" t="s">
        <v>30</v>
      </c>
      <c r="C7" s="4"/>
      <c r="D7" s="4"/>
      <c r="E7" s="4"/>
      <c r="F7" s="4"/>
      <c r="G7" s="4"/>
      <c r="H7" s="4"/>
      <c r="I7" s="4"/>
    </row>
    <row r="8" customFormat="false" ht="15" hidden="false" customHeight="true" outlineLevel="0" collapsed="false">
      <c r="B8" s="4" t="s">
        <v>31</v>
      </c>
      <c r="C8" s="4"/>
      <c r="D8" s="4"/>
      <c r="E8" s="4"/>
      <c r="F8" s="4"/>
      <c r="G8" s="4"/>
      <c r="H8" s="4"/>
      <c r="I8" s="4"/>
    </row>
    <row r="9" customFormat="false" ht="15" hidden="false" customHeight="true" outlineLevel="0" collapsed="false">
      <c r="B9" s="4" t="s">
        <v>32</v>
      </c>
      <c r="C9" s="4"/>
      <c r="D9" s="4"/>
      <c r="E9" s="4"/>
      <c r="F9" s="4"/>
      <c r="G9" s="4"/>
      <c r="H9" s="4"/>
      <c r="I9" s="4"/>
    </row>
    <row r="11" customFormat="false" ht="15" hidden="false" customHeight="false" outlineLevel="0" collapsed="false">
      <c r="B11" s="10" t="s">
        <v>33</v>
      </c>
      <c r="C11" s="11" t="s">
        <v>164</v>
      </c>
      <c r="D11" s="11"/>
      <c r="E11" s="11"/>
      <c r="F11" s="11"/>
      <c r="G11" s="11"/>
    </row>
    <row r="12" customFormat="false" ht="15" hidden="false" customHeight="false" outlineLevel="0" collapsed="false">
      <c r="B12" s="10" t="s">
        <v>35</v>
      </c>
      <c r="C12" s="11" t="s">
        <v>165</v>
      </c>
      <c r="D12" s="11"/>
      <c r="E12" s="11"/>
      <c r="F12" s="11"/>
      <c r="G12" s="11"/>
    </row>
    <row r="14" customFormat="false" ht="15" hidden="false" customHeight="false" outlineLevel="0" collapsed="false">
      <c r="B14" s="10" t="s">
        <v>37</v>
      </c>
      <c r="C14" s="12" t="n">
        <v>0.18</v>
      </c>
    </row>
    <row r="16" customFormat="false" ht="19.5" hidden="false" customHeight="true" outlineLevel="0" collapsed="false">
      <c r="A16" s="13" t="s">
        <v>38</v>
      </c>
      <c r="B16" s="13"/>
      <c r="C16" s="13"/>
      <c r="D16" s="13"/>
      <c r="E16" s="13"/>
      <c r="F16" s="13"/>
      <c r="G16" s="13"/>
      <c r="H16" s="13"/>
      <c r="I16" s="13"/>
      <c r="J16" s="13"/>
    </row>
    <row r="17" customFormat="false" ht="15.75" hidden="false" customHeight="true" outlineLevel="0" collapsed="false">
      <c r="B17" s="14" t="s">
        <v>39</v>
      </c>
      <c r="C17" s="14"/>
      <c r="D17" s="14"/>
      <c r="E17" s="14"/>
      <c r="F17" s="14"/>
      <c r="G17" s="14"/>
      <c r="H17" s="14"/>
      <c r="I17" s="14"/>
    </row>
    <row r="19" customFormat="false" ht="15" hidden="false" customHeight="false" outlineLevel="0" collapsed="false">
      <c r="B19" s="9" t="s">
        <v>40</v>
      </c>
    </row>
    <row r="20" customFormat="false" ht="31.5" hidden="false" customHeight="true" outlineLevel="0" collapsed="false">
      <c r="A20" s="5" t="s">
        <v>41</v>
      </c>
      <c r="B20" s="5" t="s">
        <v>42</v>
      </c>
      <c r="C20" s="5" t="s">
        <v>43</v>
      </c>
      <c r="D20" s="5" t="s">
        <v>44</v>
      </c>
      <c r="E20" s="5" t="s">
        <v>45</v>
      </c>
      <c r="F20" s="5" t="s">
        <v>46</v>
      </c>
      <c r="G20" s="5" t="s">
        <v>47</v>
      </c>
      <c r="H20" s="5" t="s">
        <v>48</v>
      </c>
      <c r="I20" s="5" t="s">
        <v>49</v>
      </c>
      <c r="J20" s="5" t="s">
        <v>50</v>
      </c>
    </row>
    <row r="21" customFormat="false" ht="25.5" hidden="false" customHeight="true" outlineLevel="0" collapsed="false">
      <c r="A21" s="15" t="n">
        <v>1</v>
      </c>
      <c r="B21" s="6" t="s">
        <v>166</v>
      </c>
      <c r="C21" s="6" t="s">
        <v>58</v>
      </c>
      <c r="D21" s="16" t="n">
        <v>50</v>
      </c>
      <c r="E21" s="15" t="s">
        <v>59</v>
      </c>
      <c r="F21" s="17" t="n">
        <v>185</v>
      </c>
      <c r="G21" s="18" t="s">
        <v>54</v>
      </c>
      <c r="H21" s="17" t="n">
        <f aca="false">IF(G21="Sí",F21/(1+$C$14),F21)</f>
        <v>156.779661016949</v>
      </c>
      <c r="I21" s="19" t="n">
        <f aca="false">H21/D21</f>
        <v>3.13559322033898</v>
      </c>
      <c r="J21" s="20" t="s">
        <v>167</v>
      </c>
    </row>
    <row r="22" customFormat="false" ht="25.5" hidden="false" customHeight="true" outlineLevel="0" collapsed="false">
      <c r="A22" s="15" t="n">
        <v>2</v>
      </c>
      <c r="B22" s="6" t="s">
        <v>168</v>
      </c>
      <c r="C22" s="6" t="s">
        <v>169</v>
      </c>
      <c r="D22" s="16" t="n">
        <v>25</v>
      </c>
      <c r="E22" s="15" t="s">
        <v>59</v>
      </c>
      <c r="F22" s="17" t="n">
        <v>210</v>
      </c>
      <c r="G22" s="18" t="s">
        <v>54</v>
      </c>
      <c r="H22" s="17" t="n">
        <f aca="false">IF(G22="Sí",F22/(1+$C$14),F22)</f>
        <v>177.966101694915</v>
      </c>
      <c r="I22" s="19" t="n">
        <f aca="false">H22/D22</f>
        <v>7.11864406779661</v>
      </c>
      <c r="J22" s="20" t="s">
        <v>60</v>
      </c>
    </row>
    <row r="23" customFormat="false" ht="25.5" hidden="false" customHeight="true" outlineLevel="0" collapsed="false">
      <c r="A23" s="15" t="n">
        <v>3</v>
      </c>
      <c r="B23" s="6" t="s">
        <v>170</v>
      </c>
      <c r="C23" s="6" t="s">
        <v>171</v>
      </c>
      <c r="D23" s="16" t="n">
        <v>10</v>
      </c>
      <c r="E23" s="15" t="s">
        <v>59</v>
      </c>
      <c r="F23" s="17" t="n">
        <v>290</v>
      </c>
      <c r="G23" s="18" t="s">
        <v>54</v>
      </c>
      <c r="H23" s="17" t="n">
        <f aca="false">IF(G23="Sí",F23/(1+$C$14),F23)</f>
        <v>245.762711864407</v>
      </c>
      <c r="I23" s="19" t="n">
        <f aca="false">H23/D23</f>
        <v>24.5762711864407</v>
      </c>
      <c r="J23" s="20" t="s">
        <v>55</v>
      </c>
    </row>
    <row r="24" customFormat="false" ht="25.5" hidden="false" customHeight="true" outlineLevel="0" collapsed="false">
      <c r="A24" s="15" t="n">
        <v>4</v>
      </c>
      <c r="B24" s="6" t="s">
        <v>172</v>
      </c>
      <c r="C24" s="6" t="s">
        <v>169</v>
      </c>
      <c r="D24" s="16" t="n">
        <v>25</v>
      </c>
      <c r="E24" s="15" t="s">
        <v>59</v>
      </c>
      <c r="F24" s="17" t="n">
        <v>140</v>
      </c>
      <c r="G24" s="18" t="s">
        <v>54</v>
      </c>
      <c r="H24" s="17" t="n">
        <f aca="false">IF(G24="Sí",F24/(1+$C$14),F24)</f>
        <v>118.64406779661</v>
      </c>
      <c r="I24" s="19" t="n">
        <f aca="false">H24/D24</f>
        <v>4.74576271186441</v>
      </c>
      <c r="J24" s="20" t="s">
        <v>173</v>
      </c>
    </row>
    <row r="25" customFormat="false" ht="25.5" hidden="false" customHeight="true" outlineLevel="0" collapsed="false">
      <c r="A25" s="15" t="n">
        <v>5</v>
      </c>
      <c r="B25" s="6" t="s">
        <v>174</v>
      </c>
      <c r="C25" s="6" t="s">
        <v>175</v>
      </c>
      <c r="D25" s="16" t="n">
        <v>180</v>
      </c>
      <c r="E25" s="15" t="s">
        <v>70</v>
      </c>
      <c r="F25" s="17" t="n">
        <v>99</v>
      </c>
      <c r="G25" s="18" t="s">
        <v>66</v>
      </c>
      <c r="H25" s="17" t="n">
        <f aca="false">IF(G25="Sí",F25/(1+$C$14),F25)</f>
        <v>99</v>
      </c>
      <c r="I25" s="19" t="n">
        <f aca="false">H25/D25</f>
        <v>0.55</v>
      </c>
      <c r="J25" s="20" t="s">
        <v>176</v>
      </c>
    </row>
    <row r="26" customFormat="false" ht="25.5" hidden="false" customHeight="true" outlineLevel="0" collapsed="false">
      <c r="A26" s="15" t="n">
        <v>6</v>
      </c>
      <c r="B26" s="6" t="s">
        <v>177</v>
      </c>
      <c r="C26" s="6" t="s">
        <v>178</v>
      </c>
      <c r="D26" s="16" t="n">
        <v>5</v>
      </c>
      <c r="E26" s="15" t="s">
        <v>59</v>
      </c>
      <c r="F26" s="17" t="n">
        <v>85</v>
      </c>
      <c r="G26" s="18" t="s">
        <v>54</v>
      </c>
      <c r="H26" s="17" t="n">
        <f aca="false">IF(G26="Sí",F26/(1+$C$14),F26)</f>
        <v>72.0338983050848</v>
      </c>
      <c r="I26" s="19" t="n">
        <f aca="false">H26/D26</f>
        <v>14.406779661017</v>
      </c>
      <c r="J26" s="20" t="s">
        <v>55</v>
      </c>
    </row>
    <row r="27" customFormat="false" ht="25.5" hidden="false" customHeight="true" outlineLevel="0" collapsed="false">
      <c r="A27" s="15" t="n">
        <v>7</v>
      </c>
      <c r="B27" s="6" t="s">
        <v>179</v>
      </c>
      <c r="C27" s="6" t="s">
        <v>180</v>
      </c>
      <c r="D27" s="16" t="n">
        <v>5</v>
      </c>
      <c r="E27" s="15" t="s">
        <v>59</v>
      </c>
      <c r="F27" s="17" t="n">
        <v>175</v>
      </c>
      <c r="G27" s="18" t="s">
        <v>54</v>
      </c>
      <c r="H27" s="17" t="n">
        <f aca="false">IF(G27="Sí",F27/(1+$C$14),F27)</f>
        <v>148.305084745763</v>
      </c>
      <c r="I27" s="19" t="n">
        <f aca="false">H27/D27</f>
        <v>29.6610169491525</v>
      </c>
      <c r="J27" s="20" t="s">
        <v>173</v>
      </c>
    </row>
    <row r="28" customFormat="false" ht="25.5" hidden="false" customHeight="true" outlineLevel="0" collapsed="false">
      <c r="A28" s="15" t="n">
        <v>8</v>
      </c>
      <c r="B28" s="6" t="s">
        <v>181</v>
      </c>
      <c r="C28" s="6" t="s">
        <v>182</v>
      </c>
      <c r="D28" s="16" t="n">
        <v>500</v>
      </c>
      <c r="E28" s="15" t="s">
        <v>70</v>
      </c>
      <c r="F28" s="17" t="n">
        <v>30</v>
      </c>
      <c r="G28" s="18" t="s">
        <v>54</v>
      </c>
      <c r="H28" s="17" t="n">
        <f aca="false">IF(G28="Sí",F28/(1+$C$14),F28)</f>
        <v>25.4237288135593</v>
      </c>
      <c r="I28" s="19" t="n">
        <f aca="false">H28/D28</f>
        <v>0.0508474576271186</v>
      </c>
      <c r="J28" s="20" t="s">
        <v>183</v>
      </c>
    </row>
    <row r="29" customFormat="false" ht="25.5" hidden="false" customHeight="true" outlineLevel="0" collapsed="false">
      <c r="A29" s="15" t="n">
        <v>9</v>
      </c>
      <c r="B29" s="6" t="s">
        <v>184</v>
      </c>
      <c r="C29" s="6" t="s">
        <v>75</v>
      </c>
      <c r="D29" s="16" t="n">
        <v>1000</v>
      </c>
      <c r="E29" s="15" t="s">
        <v>70</v>
      </c>
      <c r="F29" s="17" t="n">
        <v>1180</v>
      </c>
      <c r="G29" s="18" t="s">
        <v>54</v>
      </c>
      <c r="H29" s="17" t="n">
        <f aca="false">IF(G29="Sí",F29/(1+$C$14),F29)</f>
        <v>1000</v>
      </c>
      <c r="I29" s="19" t="n">
        <f aca="false">H29/D29</f>
        <v>1</v>
      </c>
      <c r="J29" s="20" t="s">
        <v>76</v>
      </c>
    </row>
    <row r="30" customFormat="false" ht="25.5" hidden="false" customHeight="true" outlineLevel="0" collapsed="false">
      <c r="A30" s="15" t="n">
        <v>10</v>
      </c>
      <c r="B30" s="6" t="s">
        <v>185</v>
      </c>
      <c r="C30" s="6" t="s">
        <v>75</v>
      </c>
      <c r="D30" s="16" t="n">
        <v>1000</v>
      </c>
      <c r="E30" s="15" t="s">
        <v>70</v>
      </c>
      <c r="F30" s="17" t="n">
        <v>950</v>
      </c>
      <c r="G30" s="18" t="s">
        <v>54</v>
      </c>
      <c r="H30" s="17" t="n">
        <f aca="false">IF(G30="Sí",F30/(1+$C$14),F30)</f>
        <v>805.084745762712</v>
      </c>
      <c r="I30" s="19" t="n">
        <f aca="false">H30/D30</f>
        <v>0.805084745762712</v>
      </c>
      <c r="J30" s="20" t="s">
        <v>76</v>
      </c>
    </row>
    <row r="31" customFormat="false" ht="25.5" hidden="false" customHeight="true" outlineLevel="0" collapsed="false">
      <c r="A31" s="15" t="n">
        <v>11</v>
      </c>
      <c r="B31" s="6" t="s">
        <v>186</v>
      </c>
      <c r="C31" s="6" t="s">
        <v>75</v>
      </c>
      <c r="D31" s="16" t="n">
        <v>1000</v>
      </c>
      <c r="E31" s="15" t="s">
        <v>70</v>
      </c>
      <c r="F31" s="17" t="n">
        <v>90</v>
      </c>
      <c r="G31" s="18" t="s">
        <v>54</v>
      </c>
      <c r="H31" s="17" t="n">
        <f aca="false">IF(G31="Sí",F31/(1+$C$14),F31)</f>
        <v>76.271186440678</v>
      </c>
      <c r="I31" s="19" t="n">
        <f aca="false">H31/D31</f>
        <v>0.076271186440678</v>
      </c>
      <c r="J31" s="20" t="s">
        <v>76</v>
      </c>
    </row>
    <row r="32" customFormat="false" ht="25.5" hidden="false" customHeight="true" outlineLevel="0" collapsed="false">
      <c r="A32" s="15" t="n">
        <v>12</v>
      </c>
      <c r="B32" s="6" t="s">
        <v>187</v>
      </c>
      <c r="C32" s="6" t="s">
        <v>78</v>
      </c>
      <c r="D32" s="16" t="n">
        <v>1</v>
      </c>
      <c r="E32" s="15" t="s">
        <v>79</v>
      </c>
      <c r="F32" s="17" t="n">
        <v>19</v>
      </c>
      <c r="G32" s="18" t="s">
        <v>54</v>
      </c>
      <c r="H32" s="17" t="n">
        <f aca="false">IF(G32="Sí",F32/(1+$C$14),F32)</f>
        <v>16.1016949152542</v>
      </c>
      <c r="I32" s="19" t="n">
        <f aca="false">H32/D32</f>
        <v>16.1016949152542</v>
      </c>
      <c r="J32" s="20" t="s">
        <v>173</v>
      </c>
    </row>
    <row r="33" customFormat="false" ht="25.5" hidden="false" customHeight="true" outlineLevel="0" collapsed="false">
      <c r="A33" s="15" t="n">
        <v>13</v>
      </c>
      <c r="B33" s="6" t="s">
        <v>188</v>
      </c>
      <c r="C33" s="6" t="s">
        <v>62</v>
      </c>
      <c r="D33" s="16" t="n">
        <v>1</v>
      </c>
      <c r="E33" s="15" t="s">
        <v>189</v>
      </c>
      <c r="F33" s="17" t="n">
        <v>16</v>
      </c>
      <c r="G33" s="18" t="s">
        <v>54</v>
      </c>
      <c r="H33" s="17" t="n">
        <f aca="false">IF(G33="Sí",F33/(1+$C$14),F33)</f>
        <v>13.5593220338983</v>
      </c>
      <c r="I33" s="19" t="n">
        <f aca="false">H33/D33</f>
        <v>13.5593220338983</v>
      </c>
      <c r="J33" s="20" t="s">
        <v>173</v>
      </c>
    </row>
    <row r="34" customFormat="false" ht="25.5" hidden="false" customHeight="true" outlineLevel="0" collapsed="false">
      <c r="A34" s="15" t="n">
        <v>14</v>
      </c>
      <c r="B34" s="6" t="s">
        <v>190</v>
      </c>
      <c r="C34" s="6" t="s">
        <v>86</v>
      </c>
      <c r="D34" s="16" t="n">
        <v>1</v>
      </c>
      <c r="E34" s="15" t="s">
        <v>87</v>
      </c>
      <c r="F34" s="17" t="n">
        <v>53.1</v>
      </c>
      <c r="G34" s="18" t="s">
        <v>54</v>
      </c>
      <c r="H34" s="17" t="n">
        <f aca="false">IF(G34="Sí",F34/(1+$C$14),F34)</f>
        <v>45</v>
      </c>
      <c r="I34" s="19" t="n">
        <f aca="false">H34/D34</f>
        <v>45</v>
      </c>
      <c r="J34" s="20" t="s">
        <v>173</v>
      </c>
    </row>
    <row r="35" customFormat="false" ht="25.5" hidden="false" customHeight="true" outlineLevel="0" collapsed="false">
      <c r="A35" s="15" t="n">
        <v>15</v>
      </c>
      <c r="B35" s="6" t="s">
        <v>191</v>
      </c>
      <c r="C35" s="6" t="s">
        <v>75</v>
      </c>
      <c r="D35" s="16" t="n">
        <v>1000</v>
      </c>
      <c r="E35" s="15" t="s">
        <v>70</v>
      </c>
      <c r="F35" s="17" t="n">
        <v>354</v>
      </c>
      <c r="G35" s="18" t="s">
        <v>54</v>
      </c>
      <c r="H35" s="17" t="n">
        <f aca="false">IF(G35="Sí",F35/(1+$C$14),F35)</f>
        <v>300</v>
      </c>
      <c r="I35" s="19" t="n">
        <f aca="false">H35/D35</f>
        <v>0.3</v>
      </c>
      <c r="J35" s="20" t="s">
        <v>183</v>
      </c>
    </row>
    <row r="36" customFormat="false" ht="25.5" hidden="false" customHeight="true" outlineLevel="0" collapsed="false">
      <c r="A36" s="15" t="n">
        <v>16</v>
      </c>
      <c r="B36" s="6" t="s">
        <v>85</v>
      </c>
      <c r="C36" s="6" t="s">
        <v>86</v>
      </c>
      <c r="D36" s="16" t="n">
        <v>1</v>
      </c>
      <c r="E36" s="15" t="s">
        <v>87</v>
      </c>
      <c r="F36" s="17" t="n">
        <v>70.8</v>
      </c>
      <c r="G36" s="18" t="s">
        <v>54</v>
      </c>
      <c r="H36" s="17" t="n">
        <f aca="false">IF(G36="Sí",F36/(1+$C$14),F36)</f>
        <v>60</v>
      </c>
      <c r="I36" s="19" t="n">
        <f aca="false">H36/D36</f>
        <v>60</v>
      </c>
      <c r="J36" s="20" t="s">
        <v>60</v>
      </c>
    </row>
    <row r="37" customFormat="false" ht="15.75" hidden="false" customHeight="true" outlineLevel="0" collapsed="false">
      <c r="B37" s="4" t="s">
        <v>88</v>
      </c>
      <c r="C37" s="4"/>
      <c r="D37" s="4"/>
      <c r="E37" s="4"/>
      <c r="F37" s="4"/>
      <c r="G37" s="4"/>
      <c r="H37" s="4"/>
      <c r="I37" s="4"/>
    </row>
    <row r="39" customFormat="false" ht="15" hidden="false" customHeight="false" outlineLevel="0" collapsed="false">
      <c r="B39" s="21" t="s">
        <v>192</v>
      </c>
    </row>
    <row r="40" customFormat="false" ht="31.5" hidden="false" customHeight="true" outlineLevel="0" collapsed="false">
      <c r="A40" s="5" t="s">
        <v>41</v>
      </c>
      <c r="B40" s="5" t="s">
        <v>42</v>
      </c>
      <c r="C40" s="5" t="s">
        <v>45</v>
      </c>
      <c r="D40" s="5" t="s">
        <v>90</v>
      </c>
      <c r="E40" s="5" t="s">
        <v>91</v>
      </c>
      <c r="F40" s="5" t="s">
        <v>92</v>
      </c>
      <c r="G40" s="5" t="s">
        <v>49</v>
      </c>
      <c r="H40" s="5" t="s">
        <v>193</v>
      </c>
      <c r="I40" s="5" t="s">
        <v>94</v>
      </c>
      <c r="J40" s="5"/>
    </row>
    <row r="41" customFormat="false" ht="25.5" hidden="false" customHeight="true" outlineLevel="0" collapsed="false">
      <c r="A41" s="15" t="n">
        <v>1</v>
      </c>
      <c r="B41" s="6" t="s">
        <v>166</v>
      </c>
      <c r="C41" s="15" t="s">
        <v>59</v>
      </c>
      <c r="D41" s="16" t="n">
        <v>0.12</v>
      </c>
      <c r="E41" s="12" t="n">
        <v>0.02</v>
      </c>
      <c r="F41" s="22" t="n">
        <f aca="false">D41/(1-E41)</f>
        <v>0.122448979591837</v>
      </c>
      <c r="G41" s="19" t="n">
        <f aca="false">I21</f>
        <v>3.13559322033898</v>
      </c>
      <c r="H41" s="19" t="n">
        <f aca="false">F41*G41</f>
        <v>0.38395019024559</v>
      </c>
      <c r="I41" s="20" t="s">
        <v>194</v>
      </c>
      <c r="J41" s="20"/>
    </row>
    <row r="42" customFormat="false" ht="25.5" hidden="false" customHeight="true" outlineLevel="0" collapsed="false">
      <c r="A42" s="15" t="n">
        <v>2</v>
      </c>
      <c r="B42" s="6" t="s">
        <v>168</v>
      </c>
      <c r="C42" s="15" t="s">
        <v>59</v>
      </c>
      <c r="D42" s="16" t="n">
        <v>0.06</v>
      </c>
      <c r="E42" s="12" t="n">
        <v>0.02</v>
      </c>
      <c r="F42" s="22" t="n">
        <f aca="false">D42/(1-E42)</f>
        <v>0.0612244897959184</v>
      </c>
      <c r="G42" s="19" t="n">
        <f aca="false">I22</f>
        <v>7.11864406779661</v>
      </c>
      <c r="H42" s="19" t="n">
        <f aca="false">F42*G42</f>
        <v>0.435835351089588</v>
      </c>
      <c r="I42" s="20" t="s">
        <v>195</v>
      </c>
      <c r="J42" s="20"/>
    </row>
    <row r="43" customFormat="false" ht="25.5" hidden="false" customHeight="true" outlineLevel="0" collapsed="false">
      <c r="A43" s="15" t="n">
        <v>3</v>
      </c>
      <c r="B43" s="6" t="s">
        <v>170</v>
      </c>
      <c r="C43" s="15" t="s">
        <v>59</v>
      </c>
      <c r="D43" s="16" t="n">
        <v>0.08</v>
      </c>
      <c r="E43" s="12" t="n">
        <v>0.01</v>
      </c>
      <c r="F43" s="22" t="n">
        <f aca="false">D43/(1-E43)</f>
        <v>0.0808080808080808</v>
      </c>
      <c r="G43" s="19" t="n">
        <f aca="false">I23</f>
        <v>24.5762711864407</v>
      </c>
      <c r="H43" s="19" t="n">
        <f aca="false">F43*G43</f>
        <v>1.98596130799521</v>
      </c>
      <c r="I43" s="20" t="s">
        <v>196</v>
      </c>
      <c r="J43" s="20"/>
    </row>
    <row r="44" customFormat="false" ht="25.5" hidden="false" customHeight="true" outlineLevel="0" collapsed="false">
      <c r="A44" s="15" t="n">
        <v>4</v>
      </c>
      <c r="B44" s="6" t="s">
        <v>172</v>
      </c>
      <c r="C44" s="15" t="s">
        <v>59</v>
      </c>
      <c r="D44" s="16" t="n">
        <v>0.05</v>
      </c>
      <c r="E44" s="12" t="n">
        <v>0.03</v>
      </c>
      <c r="F44" s="22" t="n">
        <f aca="false">D44/(1-E44)</f>
        <v>0.0515463917525773</v>
      </c>
      <c r="G44" s="19" t="n">
        <f aca="false">I24</f>
        <v>4.74576271186441</v>
      </c>
      <c r="H44" s="19" t="n">
        <f aca="false">F44*G44</f>
        <v>0.244626943910536</v>
      </c>
      <c r="I44" s="20" t="s">
        <v>197</v>
      </c>
      <c r="J44" s="20"/>
    </row>
    <row r="45" customFormat="false" ht="25.5" hidden="false" customHeight="true" outlineLevel="0" collapsed="false">
      <c r="A45" s="15" t="n">
        <v>5</v>
      </c>
      <c r="B45" s="6" t="s">
        <v>174</v>
      </c>
      <c r="C45" s="15" t="s">
        <v>70</v>
      </c>
      <c r="D45" s="16" t="n">
        <v>2</v>
      </c>
      <c r="E45" s="12" t="n">
        <v>0.03</v>
      </c>
      <c r="F45" s="22" t="n">
        <f aca="false">D45/(1-E45)</f>
        <v>2.06185567010309</v>
      </c>
      <c r="G45" s="19" t="n">
        <f aca="false">I25</f>
        <v>0.55</v>
      </c>
      <c r="H45" s="19" t="n">
        <f aca="false">F45*G45</f>
        <v>1.1340206185567</v>
      </c>
      <c r="I45" s="20" t="s">
        <v>198</v>
      </c>
      <c r="J45" s="20"/>
    </row>
    <row r="46" customFormat="false" ht="25.5" hidden="false" customHeight="true" outlineLevel="0" collapsed="false">
      <c r="A46" s="15" t="n">
        <v>6</v>
      </c>
      <c r="B46" s="6" t="s">
        <v>177</v>
      </c>
      <c r="C46" s="15" t="s">
        <v>59</v>
      </c>
      <c r="D46" s="16" t="n">
        <v>0.15</v>
      </c>
      <c r="E46" s="12" t="n">
        <v>0.03</v>
      </c>
      <c r="F46" s="22" t="n">
        <f aca="false">D46/(1-E46)</f>
        <v>0.154639175257732</v>
      </c>
      <c r="G46" s="19" t="n">
        <f aca="false">I26</f>
        <v>14.406779661017</v>
      </c>
      <c r="H46" s="19" t="n">
        <f aca="false">F46*G46</f>
        <v>2.22785252489953</v>
      </c>
      <c r="I46" s="20" t="s">
        <v>199</v>
      </c>
      <c r="J46" s="20"/>
    </row>
    <row r="47" customFormat="false" ht="25.5" hidden="false" customHeight="true" outlineLevel="0" collapsed="false">
      <c r="A47" s="15" t="n">
        <v>7</v>
      </c>
      <c r="B47" s="6" t="s">
        <v>181</v>
      </c>
      <c r="C47" s="15" t="s">
        <v>70</v>
      </c>
      <c r="D47" s="16" t="n">
        <v>12</v>
      </c>
      <c r="E47" s="12" t="n">
        <v>0.02</v>
      </c>
      <c r="F47" s="22" t="n">
        <f aca="false">D47/(1-E47)</f>
        <v>12.2448979591837</v>
      </c>
      <c r="G47" s="19" t="n">
        <f aca="false">I28</f>
        <v>0.0508474576271186</v>
      </c>
      <c r="H47" s="19" t="n">
        <f aca="false">F47*G47</f>
        <v>0.622621930127983</v>
      </c>
      <c r="I47" s="20" t="s">
        <v>200</v>
      </c>
      <c r="J47" s="20"/>
    </row>
    <row r="48" customFormat="false" ht="25.5" hidden="false" customHeight="true" outlineLevel="0" collapsed="false">
      <c r="A48" s="15" t="n">
        <v>8</v>
      </c>
      <c r="B48" s="6" t="s">
        <v>184</v>
      </c>
      <c r="C48" s="15" t="s">
        <v>70</v>
      </c>
      <c r="D48" s="16" t="n">
        <v>1</v>
      </c>
      <c r="E48" s="12" t="n">
        <v>0.02</v>
      </c>
      <c r="F48" s="22" t="n">
        <f aca="false">D48/(1-E48)</f>
        <v>1.02040816326531</v>
      </c>
      <c r="G48" s="19" t="n">
        <f aca="false">I29</f>
        <v>1</v>
      </c>
      <c r="H48" s="19" t="n">
        <f aca="false">F48*G48</f>
        <v>1.02040816326531</v>
      </c>
      <c r="I48" s="20" t="s">
        <v>201</v>
      </c>
      <c r="J48" s="20"/>
    </row>
    <row r="49" customFormat="false" ht="25.5" hidden="false" customHeight="true" outlineLevel="0" collapsed="false">
      <c r="A49" s="15" t="n">
        <v>9</v>
      </c>
      <c r="B49" s="6" t="s">
        <v>186</v>
      </c>
      <c r="C49" s="15" t="s">
        <v>70</v>
      </c>
      <c r="D49" s="16" t="n">
        <v>1</v>
      </c>
      <c r="E49" s="12" t="n">
        <v>0.02</v>
      </c>
      <c r="F49" s="22" t="n">
        <f aca="false">D49/(1-E49)</f>
        <v>1.02040816326531</v>
      </c>
      <c r="G49" s="19" t="n">
        <f aca="false">I31</f>
        <v>0.076271186440678</v>
      </c>
      <c r="H49" s="19" t="n">
        <f aca="false">F49*G49</f>
        <v>0.0778277412659979</v>
      </c>
      <c r="I49" s="20" t="s">
        <v>202</v>
      </c>
      <c r="J49" s="20"/>
    </row>
    <row r="50" customFormat="false" ht="15" hidden="false" customHeight="true" outlineLevel="0" collapsed="false">
      <c r="A50" s="23" t="s">
        <v>203</v>
      </c>
      <c r="B50" s="23"/>
      <c r="C50" s="24"/>
      <c r="D50" s="24"/>
      <c r="E50" s="24"/>
      <c r="F50" s="24"/>
      <c r="G50" s="24"/>
      <c r="H50" s="25" t="n">
        <f aca="false">SUM(H41:H49)</f>
        <v>8.13310477135644</v>
      </c>
    </row>
    <row r="52" customFormat="false" ht="15" hidden="false" customHeight="false" outlineLevel="0" collapsed="false">
      <c r="B52" s="21" t="s">
        <v>204</v>
      </c>
    </row>
    <row r="53" customFormat="false" ht="31.5" hidden="false" customHeight="true" outlineLevel="0" collapsed="false">
      <c r="A53" s="5" t="s">
        <v>41</v>
      </c>
      <c r="B53" s="5" t="s">
        <v>42</v>
      </c>
      <c r="C53" s="5" t="s">
        <v>45</v>
      </c>
      <c r="D53" s="5" t="s">
        <v>90</v>
      </c>
      <c r="E53" s="5" t="s">
        <v>91</v>
      </c>
      <c r="F53" s="5" t="s">
        <v>92</v>
      </c>
      <c r="G53" s="5" t="s">
        <v>49</v>
      </c>
      <c r="H53" s="5" t="s">
        <v>193</v>
      </c>
      <c r="I53" s="5" t="s">
        <v>94</v>
      </c>
      <c r="J53" s="5"/>
    </row>
    <row r="54" customFormat="false" ht="25.5" hidden="false" customHeight="true" outlineLevel="0" collapsed="false">
      <c r="A54" s="15" t="n">
        <v>1</v>
      </c>
      <c r="B54" s="6" t="s">
        <v>166</v>
      </c>
      <c r="C54" s="15" t="s">
        <v>59</v>
      </c>
      <c r="D54" s="16" t="n">
        <v>0.15</v>
      </c>
      <c r="E54" s="12" t="n">
        <v>0.02</v>
      </c>
      <c r="F54" s="22" t="n">
        <f aca="false">D54/(1-E54)</f>
        <v>0.153061224489796</v>
      </c>
      <c r="G54" s="19" t="n">
        <f aca="false">I21</f>
        <v>3.13559322033898</v>
      </c>
      <c r="H54" s="19" t="n">
        <f aca="false">F54*G54</f>
        <v>0.479937737806987</v>
      </c>
      <c r="I54" s="20" t="s">
        <v>194</v>
      </c>
      <c r="J54" s="20"/>
    </row>
    <row r="55" customFormat="false" ht="25.5" hidden="false" customHeight="true" outlineLevel="0" collapsed="false">
      <c r="A55" s="15" t="n">
        <v>2</v>
      </c>
      <c r="B55" s="6" t="s">
        <v>168</v>
      </c>
      <c r="C55" s="15" t="s">
        <v>59</v>
      </c>
      <c r="D55" s="16" t="n">
        <v>0.075</v>
      </c>
      <c r="E55" s="12" t="n">
        <v>0.02</v>
      </c>
      <c r="F55" s="22" t="n">
        <f aca="false">D55/(1-E55)</f>
        <v>0.076530612244898</v>
      </c>
      <c r="G55" s="19" t="n">
        <f aca="false">I22</f>
        <v>7.11864406779661</v>
      </c>
      <c r="H55" s="19" t="n">
        <f aca="false">F55*G55</f>
        <v>0.544794188861986</v>
      </c>
      <c r="I55" s="20" t="s">
        <v>195</v>
      </c>
      <c r="J55" s="20"/>
    </row>
    <row r="56" customFormat="false" ht="25.5" hidden="false" customHeight="true" outlineLevel="0" collapsed="false">
      <c r="A56" s="15" t="n">
        <v>3</v>
      </c>
      <c r="B56" s="6" t="s">
        <v>170</v>
      </c>
      <c r="C56" s="15" t="s">
        <v>59</v>
      </c>
      <c r="D56" s="16" t="n">
        <v>0.1</v>
      </c>
      <c r="E56" s="12" t="n">
        <v>0.01</v>
      </c>
      <c r="F56" s="22" t="n">
        <f aca="false">D56/(1-E56)</f>
        <v>0.101010101010101</v>
      </c>
      <c r="G56" s="19" t="n">
        <f aca="false">I23</f>
        <v>24.5762711864407</v>
      </c>
      <c r="H56" s="19" t="n">
        <f aca="false">F56*G56</f>
        <v>2.48245163499401</v>
      </c>
      <c r="I56" s="20" t="s">
        <v>196</v>
      </c>
      <c r="J56" s="20"/>
    </row>
    <row r="57" customFormat="false" ht="25.5" hidden="false" customHeight="true" outlineLevel="0" collapsed="false">
      <c r="A57" s="15" t="n">
        <v>4</v>
      </c>
      <c r="B57" s="6" t="s">
        <v>172</v>
      </c>
      <c r="C57" s="15" t="s">
        <v>59</v>
      </c>
      <c r="D57" s="16" t="n">
        <v>0.04</v>
      </c>
      <c r="E57" s="12" t="n">
        <v>0.03</v>
      </c>
      <c r="F57" s="22" t="n">
        <f aca="false">D57/(1-E57)</f>
        <v>0.0412371134020619</v>
      </c>
      <c r="G57" s="19" t="n">
        <f aca="false">I24</f>
        <v>4.74576271186441</v>
      </c>
      <c r="H57" s="19" t="n">
        <f aca="false">F57*G57</f>
        <v>0.195701555128429</v>
      </c>
      <c r="I57" s="20" t="s">
        <v>197</v>
      </c>
      <c r="J57" s="20"/>
    </row>
    <row r="58" customFormat="false" ht="25.5" hidden="false" customHeight="true" outlineLevel="0" collapsed="false">
      <c r="A58" s="15" t="n">
        <v>5</v>
      </c>
      <c r="B58" s="6" t="s">
        <v>174</v>
      </c>
      <c r="C58" s="15" t="s">
        <v>70</v>
      </c>
      <c r="D58" s="16" t="n">
        <v>2.5</v>
      </c>
      <c r="E58" s="12" t="n">
        <v>0.03</v>
      </c>
      <c r="F58" s="22" t="n">
        <f aca="false">D58/(1-E58)</f>
        <v>2.57731958762887</v>
      </c>
      <c r="G58" s="19" t="n">
        <f aca="false">I25</f>
        <v>0.55</v>
      </c>
      <c r="H58" s="19" t="n">
        <f aca="false">F58*G58</f>
        <v>1.41752577319588</v>
      </c>
      <c r="I58" s="20" t="s">
        <v>198</v>
      </c>
      <c r="J58" s="20"/>
    </row>
    <row r="59" customFormat="false" ht="25.5" hidden="false" customHeight="true" outlineLevel="0" collapsed="false">
      <c r="A59" s="15" t="n">
        <v>6</v>
      </c>
      <c r="B59" s="6" t="s">
        <v>177</v>
      </c>
      <c r="C59" s="15" t="s">
        <v>59</v>
      </c>
      <c r="D59" s="16" t="n">
        <v>0.15</v>
      </c>
      <c r="E59" s="12" t="n">
        <v>0.03</v>
      </c>
      <c r="F59" s="22" t="n">
        <f aca="false">D59/(1-E59)</f>
        <v>0.154639175257732</v>
      </c>
      <c r="G59" s="19" t="n">
        <f aca="false">I26</f>
        <v>14.406779661017</v>
      </c>
      <c r="H59" s="19" t="n">
        <f aca="false">F59*G59</f>
        <v>2.22785252489953</v>
      </c>
      <c r="I59" s="20" t="s">
        <v>199</v>
      </c>
      <c r="J59" s="20"/>
    </row>
    <row r="60" customFormat="false" ht="25.5" hidden="false" customHeight="true" outlineLevel="0" collapsed="false">
      <c r="A60" s="15" t="n">
        <v>7</v>
      </c>
      <c r="B60" s="6" t="s">
        <v>179</v>
      </c>
      <c r="C60" s="15" t="s">
        <v>59</v>
      </c>
      <c r="D60" s="16" t="n">
        <v>0.12</v>
      </c>
      <c r="E60" s="12" t="n">
        <v>0.05</v>
      </c>
      <c r="F60" s="22" t="n">
        <f aca="false">D60/(1-E60)</f>
        <v>0.126315789473684</v>
      </c>
      <c r="G60" s="19" t="n">
        <f aca="false">I27</f>
        <v>29.6610169491525</v>
      </c>
      <c r="H60" s="19" t="n">
        <f aca="false">F60*G60</f>
        <v>3.74665477252453</v>
      </c>
      <c r="I60" s="20" t="s">
        <v>205</v>
      </c>
      <c r="J60" s="20"/>
    </row>
    <row r="61" customFormat="false" ht="25.5" hidden="false" customHeight="true" outlineLevel="0" collapsed="false">
      <c r="A61" s="15" t="n">
        <v>8</v>
      </c>
      <c r="B61" s="6" t="s">
        <v>181</v>
      </c>
      <c r="C61" s="15" t="s">
        <v>70</v>
      </c>
      <c r="D61" s="16" t="n">
        <v>6</v>
      </c>
      <c r="E61" s="12" t="n">
        <v>0.02</v>
      </c>
      <c r="F61" s="22" t="n">
        <f aca="false">D61/(1-E61)</f>
        <v>6.12244897959184</v>
      </c>
      <c r="G61" s="19" t="n">
        <f aca="false">I28</f>
        <v>0.0508474576271186</v>
      </c>
      <c r="H61" s="19" t="n">
        <f aca="false">F61*G61</f>
        <v>0.311310965063992</v>
      </c>
      <c r="I61" s="20" t="s">
        <v>200</v>
      </c>
      <c r="J61" s="20"/>
    </row>
    <row r="62" customFormat="false" ht="25.5" hidden="false" customHeight="true" outlineLevel="0" collapsed="false">
      <c r="A62" s="15" t="n">
        <v>9</v>
      </c>
      <c r="B62" s="6" t="s">
        <v>185</v>
      </c>
      <c r="C62" s="15" t="s">
        <v>70</v>
      </c>
      <c r="D62" s="16" t="n">
        <v>1</v>
      </c>
      <c r="E62" s="12" t="n">
        <v>0.02</v>
      </c>
      <c r="F62" s="22" t="n">
        <f aca="false">D62/(1-E62)</f>
        <v>1.02040816326531</v>
      </c>
      <c r="G62" s="19" t="n">
        <f aca="false">I30</f>
        <v>0.805084745762712</v>
      </c>
      <c r="H62" s="19" t="n">
        <f aca="false">F62*G62</f>
        <v>0.821515046696645</v>
      </c>
      <c r="I62" s="20" t="s">
        <v>201</v>
      </c>
      <c r="J62" s="20"/>
    </row>
    <row r="63" customFormat="false" ht="25.5" hidden="false" customHeight="true" outlineLevel="0" collapsed="false">
      <c r="A63" s="15" t="n">
        <v>10</v>
      </c>
      <c r="B63" s="6" t="s">
        <v>186</v>
      </c>
      <c r="C63" s="15" t="s">
        <v>70</v>
      </c>
      <c r="D63" s="16" t="n">
        <v>1</v>
      </c>
      <c r="E63" s="12" t="n">
        <v>0.02</v>
      </c>
      <c r="F63" s="22" t="n">
        <f aca="false">D63/(1-E63)</f>
        <v>1.02040816326531</v>
      </c>
      <c r="G63" s="19" t="n">
        <f aca="false">I31</f>
        <v>0.076271186440678</v>
      </c>
      <c r="H63" s="19" t="n">
        <f aca="false">F63*G63</f>
        <v>0.0778277412659979</v>
      </c>
      <c r="I63" s="20" t="s">
        <v>202</v>
      </c>
      <c r="J63" s="20"/>
    </row>
    <row r="64" customFormat="false" ht="15" hidden="false" customHeight="true" outlineLevel="0" collapsed="false">
      <c r="A64" s="23" t="s">
        <v>203</v>
      </c>
      <c r="B64" s="23"/>
      <c r="C64" s="24"/>
      <c r="D64" s="24"/>
      <c r="E64" s="24"/>
      <c r="F64" s="24"/>
      <c r="G64" s="24"/>
      <c r="H64" s="25" t="n">
        <f aca="false">SUM(H54:H63)</f>
        <v>12.305571940438</v>
      </c>
    </row>
    <row r="66" customFormat="false" ht="15" hidden="false" customHeight="false" outlineLevel="0" collapsed="false">
      <c r="B66" s="21" t="s">
        <v>107</v>
      </c>
    </row>
    <row r="67" customFormat="false" ht="31.5" hidden="false" customHeight="true" outlineLevel="0" collapsed="false">
      <c r="A67" s="5" t="s">
        <v>41</v>
      </c>
      <c r="B67" s="5" t="s">
        <v>42</v>
      </c>
      <c r="C67" s="5" t="s">
        <v>108</v>
      </c>
      <c r="D67" s="5" t="s">
        <v>45</v>
      </c>
      <c r="E67" s="5" t="s">
        <v>109</v>
      </c>
      <c r="F67" s="5" t="s">
        <v>110</v>
      </c>
      <c r="G67" s="5" t="s">
        <v>111</v>
      </c>
    </row>
    <row r="68" customFormat="false" ht="25.5" hidden="false" customHeight="true" outlineLevel="0" collapsed="false">
      <c r="A68" s="15" t="n">
        <v>1</v>
      </c>
      <c r="B68" s="6" t="s">
        <v>187</v>
      </c>
      <c r="C68" s="26" t="n">
        <v>4</v>
      </c>
      <c r="D68" s="15" t="s">
        <v>79</v>
      </c>
      <c r="E68" s="18" t="s">
        <v>112</v>
      </c>
      <c r="F68" s="18" t="s">
        <v>113</v>
      </c>
      <c r="G68" s="17" t="n">
        <f aca="false">C68*I32</f>
        <v>64.406779661017</v>
      </c>
    </row>
    <row r="69" customFormat="false" ht="25.5" hidden="false" customHeight="true" outlineLevel="0" collapsed="false">
      <c r="A69" s="15" t="n">
        <v>2</v>
      </c>
      <c r="B69" s="6" t="s">
        <v>188</v>
      </c>
      <c r="C69" s="26" t="n">
        <v>3</v>
      </c>
      <c r="D69" s="15" t="s">
        <v>189</v>
      </c>
      <c r="E69" s="18" t="s">
        <v>112</v>
      </c>
      <c r="F69" s="18" t="s">
        <v>113</v>
      </c>
      <c r="G69" s="17" t="n">
        <f aca="false">C69*I33</f>
        <v>40.6779661016949</v>
      </c>
    </row>
    <row r="70" customFormat="false" ht="25.5" hidden="false" customHeight="true" outlineLevel="0" collapsed="false">
      <c r="A70" s="15" t="n">
        <v>3</v>
      </c>
      <c r="B70" s="6" t="s">
        <v>190</v>
      </c>
      <c r="C70" s="26" t="n">
        <v>2</v>
      </c>
      <c r="D70" s="15" t="s">
        <v>87</v>
      </c>
      <c r="E70" s="18" t="s">
        <v>112</v>
      </c>
      <c r="F70" s="18" t="s">
        <v>113</v>
      </c>
      <c r="G70" s="17" t="n">
        <f aca="false">C70*I34</f>
        <v>90</v>
      </c>
    </row>
    <row r="71" customFormat="false" ht="25.5" hidden="false" customHeight="true" outlineLevel="0" collapsed="false">
      <c r="A71" s="15" t="n">
        <v>4</v>
      </c>
      <c r="B71" s="6" t="s">
        <v>191</v>
      </c>
      <c r="C71" s="26" t="n">
        <v>2500</v>
      </c>
      <c r="D71" s="15" t="s">
        <v>70</v>
      </c>
      <c r="E71" s="18" t="s">
        <v>114</v>
      </c>
      <c r="F71" s="18" t="s">
        <v>115</v>
      </c>
      <c r="G71" s="17" t="n">
        <f aca="false">C71*I35</f>
        <v>750</v>
      </c>
    </row>
    <row r="72" customFormat="false" ht="25.5" hidden="false" customHeight="true" outlineLevel="0" collapsed="false">
      <c r="A72" s="15" t="n">
        <v>5</v>
      </c>
      <c r="B72" s="6" t="s">
        <v>85</v>
      </c>
      <c r="C72" s="26" t="n">
        <v>2</v>
      </c>
      <c r="D72" s="15" t="s">
        <v>87</v>
      </c>
      <c r="E72" s="18" t="s">
        <v>114</v>
      </c>
      <c r="F72" s="18" t="s">
        <v>116</v>
      </c>
      <c r="G72" s="17" t="n">
        <f aca="false">C72*I36</f>
        <v>120</v>
      </c>
    </row>
    <row r="74" customFormat="false" ht="25.5" hidden="false" customHeight="true" outlineLevel="0" collapsed="false">
      <c r="B74" s="27" t="s">
        <v>117</v>
      </c>
      <c r="C74" s="28" t="n">
        <f aca="false">SUMIF(F68:F72,"CIF",G68:G72)</f>
        <v>195.084745762712</v>
      </c>
    </row>
    <row r="75" customFormat="false" ht="25.5" hidden="false" customHeight="true" outlineLevel="0" collapsed="false">
      <c r="B75" s="27" t="s">
        <v>118</v>
      </c>
      <c r="C75" s="28" t="n">
        <f aca="false">SUMIF(F68:F72,"Gasto administrativo",G68:G72)</f>
        <v>120</v>
      </c>
    </row>
    <row r="76" customFormat="false" ht="25.5" hidden="false" customHeight="true" outlineLevel="0" collapsed="false">
      <c r="B76" s="27" t="s">
        <v>119</v>
      </c>
      <c r="C76" s="28" t="n">
        <f aca="false">SUMIF(F68:F72,"Gasto de ventas",G68:G72)</f>
        <v>750</v>
      </c>
    </row>
    <row r="78" customFormat="false" ht="15" hidden="false" customHeight="false" outlineLevel="0" collapsed="false">
      <c r="B78" s="9" t="s">
        <v>120</v>
      </c>
    </row>
    <row r="79" customFormat="false" ht="27.75" hidden="false" customHeight="true" outlineLevel="0" collapsed="false">
      <c r="B79" s="6" t="s">
        <v>121</v>
      </c>
      <c r="C79" s="12" t="n">
        <v>0.1</v>
      </c>
    </row>
    <row r="80" customFormat="false" ht="27.75" hidden="false" customHeight="true" outlineLevel="0" collapsed="false">
      <c r="B80" s="6" t="s">
        <v>206</v>
      </c>
      <c r="C80" s="26" t="n">
        <v>120</v>
      </c>
    </row>
    <row r="81" customFormat="false" ht="27.75" hidden="false" customHeight="true" outlineLevel="0" collapsed="false">
      <c r="B81" s="6" t="s">
        <v>207</v>
      </c>
      <c r="C81" s="26" t="n">
        <v>60</v>
      </c>
    </row>
    <row r="83" customFormat="false" ht="19.5" hidden="false" customHeight="true" outlineLevel="0" collapsed="false">
      <c r="A83" s="13" t="s">
        <v>124</v>
      </c>
      <c r="B83" s="13"/>
      <c r="C83" s="13"/>
      <c r="D83" s="13"/>
      <c r="E83" s="13"/>
      <c r="F83" s="13"/>
      <c r="G83" s="13"/>
      <c r="H83" s="13"/>
      <c r="I83" s="13"/>
      <c r="J83" s="13"/>
    </row>
    <row r="84" customFormat="false" ht="15.75" hidden="false" customHeight="true" outlineLevel="0" collapsed="false">
      <c r="B84" s="14" t="s">
        <v>125</v>
      </c>
      <c r="C84" s="14"/>
      <c r="D84" s="14"/>
      <c r="E84" s="14"/>
      <c r="F84" s="14"/>
      <c r="G84" s="14"/>
      <c r="H84" s="14"/>
      <c r="I84" s="14"/>
    </row>
    <row r="85" customFormat="false" ht="31.5" hidden="false" customHeight="true" outlineLevel="0" collapsed="false">
      <c r="B85" s="5" t="s">
        <v>126</v>
      </c>
      <c r="C85" s="5" t="s">
        <v>208</v>
      </c>
      <c r="D85" s="5" t="s">
        <v>209</v>
      </c>
      <c r="E85" s="5" t="s">
        <v>129</v>
      </c>
    </row>
    <row r="86" customFormat="false" ht="15" hidden="false" customHeight="false" outlineLevel="0" collapsed="false">
      <c r="B86" s="11" t="s">
        <v>130</v>
      </c>
      <c r="C86" s="26" t="n">
        <v>2200</v>
      </c>
      <c r="D86" s="26" t="n">
        <v>1100</v>
      </c>
      <c r="E86" s="29"/>
    </row>
    <row r="87" customFormat="false" ht="15" hidden="false" customHeight="false" outlineLevel="0" collapsed="false">
      <c r="B87" s="11" t="s">
        <v>131</v>
      </c>
      <c r="C87" s="26" t="n">
        <v>2100</v>
      </c>
      <c r="D87" s="26" t="n">
        <v>1000</v>
      </c>
      <c r="E87" s="29"/>
    </row>
    <row r="88" customFormat="false" ht="15" hidden="false" customHeight="false" outlineLevel="0" collapsed="false">
      <c r="B88" s="11" t="s">
        <v>132</v>
      </c>
      <c r="C88" s="26" t="n">
        <v>2300</v>
      </c>
      <c r="D88" s="26" t="n">
        <v>1100</v>
      </c>
      <c r="E88" s="29"/>
    </row>
    <row r="89" customFormat="false" ht="15" hidden="false" customHeight="false" outlineLevel="0" collapsed="false">
      <c r="B89" s="11" t="s">
        <v>133</v>
      </c>
      <c r="C89" s="26" t="n">
        <v>2500</v>
      </c>
      <c r="D89" s="26" t="n">
        <v>1250</v>
      </c>
      <c r="E89" s="29"/>
    </row>
    <row r="90" customFormat="false" ht="15" hidden="false" customHeight="false" outlineLevel="0" collapsed="false">
      <c r="B90" s="11" t="s">
        <v>134</v>
      </c>
      <c r="C90" s="26" t="n">
        <v>2800</v>
      </c>
      <c r="D90" s="26" t="n">
        <v>1500</v>
      </c>
      <c r="E90" s="29"/>
    </row>
    <row r="91" customFormat="false" ht="15" hidden="false" customHeight="false" outlineLevel="0" collapsed="false">
      <c r="B91" s="11" t="s">
        <v>135</v>
      </c>
      <c r="C91" s="26" t="n">
        <v>2600</v>
      </c>
      <c r="D91" s="26" t="n">
        <v>1300</v>
      </c>
      <c r="E91" s="29"/>
    </row>
    <row r="92" customFormat="false" ht="15" hidden="false" customHeight="false" outlineLevel="0" collapsed="false">
      <c r="B92" s="11" t="s">
        <v>136</v>
      </c>
      <c r="C92" s="26" t="n">
        <v>3200</v>
      </c>
      <c r="D92" s="26" t="n">
        <v>1600</v>
      </c>
      <c r="E92" s="29"/>
    </row>
    <row r="93" customFormat="false" ht="15" hidden="false" customHeight="false" outlineLevel="0" collapsed="false">
      <c r="B93" s="11" t="s">
        <v>137</v>
      </c>
      <c r="C93" s="26" t="n">
        <v>3600</v>
      </c>
      <c r="D93" s="26" t="n">
        <v>1800</v>
      </c>
      <c r="E93" s="29"/>
    </row>
    <row r="94" customFormat="false" ht="15" hidden="false" customHeight="false" outlineLevel="0" collapsed="false">
      <c r="B94" s="11" t="s">
        <v>138</v>
      </c>
      <c r="C94" s="26" t="n">
        <v>2700</v>
      </c>
      <c r="D94" s="26" t="n">
        <v>1350</v>
      </c>
      <c r="E94" s="29"/>
    </row>
    <row r="95" customFormat="false" ht="15" hidden="false" customHeight="false" outlineLevel="0" collapsed="false">
      <c r="B95" s="11" t="s">
        <v>139</v>
      </c>
      <c r="C95" s="26" t="n">
        <v>2800</v>
      </c>
      <c r="D95" s="26" t="n">
        <v>1400</v>
      </c>
      <c r="E95" s="29"/>
    </row>
    <row r="96" customFormat="false" ht="15" hidden="false" customHeight="false" outlineLevel="0" collapsed="false">
      <c r="B96" s="11" t="s">
        <v>140</v>
      </c>
      <c r="C96" s="26" t="n">
        <v>2900</v>
      </c>
      <c r="D96" s="26" t="n">
        <v>1500</v>
      </c>
      <c r="E96" s="29"/>
    </row>
    <row r="97" customFormat="false" ht="15" hidden="false" customHeight="false" outlineLevel="0" collapsed="false">
      <c r="B97" s="11" t="s">
        <v>141</v>
      </c>
      <c r="C97" s="26" t="n">
        <v>3800</v>
      </c>
      <c r="D97" s="26" t="n">
        <v>2000</v>
      </c>
      <c r="E97" s="29"/>
    </row>
    <row r="98" customFormat="false" ht="15" hidden="false" customHeight="false" outlineLevel="0" collapsed="false">
      <c r="B98" s="23" t="s">
        <v>142</v>
      </c>
      <c r="C98" s="30"/>
      <c r="D98" s="30"/>
      <c r="E98" s="30"/>
    </row>
    <row r="99" customFormat="false" ht="25.5" hidden="false" customHeight="true" outlineLevel="0" collapsed="false">
      <c r="B99" s="6" t="s">
        <v>143</v>
      </c>
      <c r="C99" s="26" t="n">
        <v>2250</v>
      </c>
      <c r="D99" s="26" t="n">
        <v>1120</v>
      </c>
    </row>
    <row r="101" customFormat="false" ht="19.5" hidden="false" customHeight="true" outlineLevel="0" collapsed="false">
      <c r="A101" s="13" t="s">
        <v>144</v>
      </c>
      <c r="B101" s="13"/>
      <c r="C101" s="13"/>
      <c r="D101" s="13"/>
      <c r="E101" s="13"/>
      <c r="F101" s="13"/>
      <c r="G101" s="13"/>
      <c r="H101" s="13"/>
      <c r="I101" s="13"/>
      <c r="J101" s="13"/>
    </row>
    <row r="102" customFormat="false" ht="15" hidden="false" customHeight="true" outlineLevel="0" collapsed="false">
      <c r="B102" s="14" t="s">
        <v>145</v>
      </c>
      <c r="C102" s="14"/>
      <c r="D102" s="14"/>
      <c r="E102" s="14"/>
      <c r="F102" s="14"/>
      <c r="G102" s="14"/>
      <c r="H102" s="14"/>
      <c r="I102" s="14"/>
    </row>
    <row r="103" customFormat="false" ht="27.75" hidden="false" customHeight="true" outlineLevel="0" collapsed="false">
      <c r="B103" s="4" t="s">
        <v>146</v>
      </c>
      <c r="C103" s="4"/>
      <c r="D103" s="4"/>
      <c r="E103" s="4"/>
      <c r="F103" s="4"/>
      <c r="G103" s="4"/>
      <c r="H103" s="4"/>
      <c r="I103" s="4"/>
    </row>
    <row r="105" customFormat="false" ht="15" hidden="false" customHeight="false" outlineLevel="0" collapsed="false">
      <c r="B105" s="21" t="s">
        <v>210</v>
      </c>
    </row>
    <row r="106" customFormat="false" ht="31.5" hidden="false" customHeight="true" outlineLevel="0" collapsed="false">
      <c r="B106" s="5" t="s">
        <v>126</v>
      </c>
      <c r="C106" s="5" t="s">
        <v>148</v>
      </c>
      <c r="D106" s="5" t="s">
        <v>149</v>
      </c>
      <c r="E106" s="5" t="s">
        <v>150</v>
      </c>
      <c r="F106" s="5" t="s">
        <v>151</v>
      </c>
      <c r="G106" s="5" t="s">
        <v>152</v>
      </c>
    </row>
    <row r="107" customFormat="false" ht="15" hidden="false" customHeight="false" outlineLevel="0" collapsed="false">
      <c r="B107" s="11" t="s">
        <v>130</v>
      </c>
      <c r="C107" s="29"/>
      <c r="D107" s="29"/>
      <c r="E107" s="29"/>
      <c r="F107" s="29"/>
      <c r="G107" s="31"/>
    </row>
    <row r="108" customFormat="false" ht="15" hidden="false" customHeight="false" outlineLevel="0" collapsed="false">
      <c r="B108" s="11" t="s">
        <v>131</v>
      </c>
      <c r="C108" s="29"/>
      <c r="D108" s="29"/>
      <c r="E108" s="29"/>
      <c r="F108" s="29"/>
      <c r="G108" s="31"/>
    </row>
    <row r="109" customFormat="false" ht="15" hidden="false" customHeight="false" outlineLevel="0" collapsed="false">
      <c r="B109" s="11" t="s">
        <v>132</v>
      </c>
      <c r="C109" s="29"/>
      <c r="D109" s="29"/>
      <c r="E109" s="29"/>
      <c r="F109" s="29"/>
      <c r="G109" s="31"/>
    </row>
    <row r="110" customFormat="false" ht="15" hidden="false" customHeight="false" outlineLevel="0" collapsed="false">
      <c r="B110" s="11" t="s">
        <v>133</v>
      </c>
      <c r="C110" s="29"/>
      <c r="D110" s="29"/>
      <c r="E110" s="29"/>
      <c r="F110" s="29"/>
      <c r="G110" s="31"/>
    </row>
    <row r="111" customFormat="false" ht="15" hidden="false" customHeight="false" outlineLevel="0" collapsed="false">
      <c r="B111" s="11" t="s">
        <v>134</v>
      </c>
      <c r="C111" s="29"/>
      <c r="D111" s="29"/>
      <c r="E111" s="29"/>
      <c r="F111" s="29"/>
      <c r="G111" s="31"/>
    </row>
    <row r="112" customFormat="false" ht="15" hidden="false" customHeight="false" outlineLevel="0" collapsed="false">
      <c r="B112" s="11" t="s">
        <v>135</v>
      </c>
      <c r="C112" s="29"/>
      <c r="D112" s="29"/>
      <c r="E112" s="29"/>
      <c r="F112" s="29"/>
      <c r="G112" s="31"/>
    </row>
    <row r="113" customFormat="false" ht="15" hidden="false" customHeight="false" outlineLevel="0" collapsed="false">
      <c r="B113" s="11" t="s">
        <v>136</v>
      </c>
      <c r="C113" s="29"/>
      <c r="D113" s="29"/>
      <c r="E113" s="29"/>
      <c r="F113" s="29"/>
      <c r="G113" s="31"/>
    </row>
    <row r="114" customFormat="false" ht="15" hidden="false" customHeight="false" outlineLevel="0" collapsed="false">
      <c r="B114" s="11" t="s">
        <v>137</v>
      </c>
      <c r="C114" s="29"/>
      <c r="D114" s="29"/>
      <c r="E114" s="29"/>
      <c r="F114" s="29"/>
      <c r="G114" s="31"/>
    </row>
    <row r="115" customFormat="false" ht="15" hidden="false" customHeight="false" outlineLevel="0" collapsed="false">
      <c r="B115" s="11" t="s">
        <v>138</v>
      </c>
      <c r="C115" s="29"/>
      <c r="D115" s="29"/>
      <c r="E115" s="29"/>
      <c r="F115" s="29"/>
      <c r="G115" s="31"/>
    </row>
    <row r="116" customFormat="false" ht="15" hidden="false" customHeight="false" outlineLevel="0" collapsed="false">
      <c r="B116" s="11" t="s">
        <v>139</v>
      </c>
      <c r="C116" s="29"/>
      <c r="D116" s="29"/>
      <c r="E116" s="29"/>
      <c r="F116" s="29"/>
      <c r="G116" s="31"/>
    </row>
    <row r="117" customFormat="false" ht="15" hidden="false" customHeight="false" outlineLevel="0" collapsed="false">
      <c r="B117" s="11" t="s">
        <v>140</v>
      </c>
      <c r="C117" s="29"/>
      <c r="D117" s="29"/>
      <c r="E117" s="29"/>
      <c r="F117" s="29"/>
      <c r="G117" s="31"/>
    </row>
    <row r="118" customFormat="false" ht="15" hidden="false" customHeight="false" outlineLevel="0" collapsed="false">
      <c r="B118" s="11" t="s">
        <v>141</v>
      </c>
      <c r="C118" s="29"/>
      <c r="D118" s="29"/>
      <c r="E118" s="29"/>
      <c r="F118" s="29"/>
      <c r="G118" s="31"/>
    </row>
    <row r="119" customFormat="false" ht="15" hidden="false" customHeight="false" outlineLevel="0" collapsed="false">
      <c r="B119" s="23" t="s">
        <v>142</v>
      </c>
      <c r="C119" s="30"/>
      <c r="D119" s="24"/>
      <c r="E119" s="24"/>
      <c r="F119" s="24"/>
      <c r="G119" s="30"/>
    </row>
    <row r="121" customFormat="false" ht="15" hidden="false" customHeight="false" outlineLevel="0" collapsed="false">
      <c r="B121" s="21" t="s">
        <v>211</v>
      </c>
    </row>
    <row r="122" customFormat="false" ht="31.5" hidden="false" customHeight="true" outlineLevel="0" collapsed="false">
      <c r="B122" s="5" t="s">
        <v>126</v>
      </c>
      <c r="C122" s="5" t="s">
        <v>148</v>
      </c>
      <c r="D122" s="5" t="s">
        <v>149</v>
      </c>
      <c r="E122" s="5" t="s">
        <v>150</v>
      </c>
      <c r="F122" s="5" t="s">
        <v>151</v>
      </c>
      <c r="G122" s="5" t="s">
        <v>152</v>
      </c>
    </row>
    <row r="123" customFormat="false" ht="15" hidden="false" customHeight="false" outlineLevel="0" collapsed="false">
      <c r="B123" s="11" t="s">
        <v>130</v>
      </c>
      <c r="C123" s="29"/>
      <c r="D123" s="29"/>
      <c r="E123" s="29"/>
      <c r="F123" s="29"/>
      <c r="G123" s="31"/>
    </row>
    <row r="124" customFormat="false" ht="15" hidden="false" customHeight="false" outlineLevel="0" collapsed="false">
      <c r="B124" s="11" t="s">
        <v>131</v>
      </c>
      <c r="C124" s="29"/>
      <c r="D124" s="29"/>
      <c r="E124" s="29"/>
      <c r="F124" s="29"/>
      <c r="G124" s="31"/>
    </row>
    <row r="125" customFormat="false" ht="15" hidden="false" customHeight="false" outlineLevel="0" collapsed="false">
      <c r="B125" s="11" t="s">
        <v>132</v>
      </c>
      <c r="C125" s="29"/>
      <c r="D125" s="29"/>
      <c r="E125" s="29"/>
      <c r="F125" s="29"/>
      <c r="G125" s="31"/>
    </row>
    <row r="126" customFormat="false" ht="15" hidden="false" customHeight="false" outlineLevel="0" collapsed="false">
      <c r="B126" s="11" t="s">
        <v>133</v>
      </c>
      <c r="C126" s="29"/>
      <c r="D126" s="29"/>
      <c r="E126" s="29"/>
      <c r="F126" s="29"/>
      <c r="G126" s="31"/>
    </row>
    <row r="127" customFormat="false" ht="15" hidden="false" customHeight="false" outlineLevel="0" collapsed="false">
      <c r="B127" s="11" t="s">
        <v>134</v>
      </c>
      <c r="C127" s="29"/>
      <c r="D127" s="29"/>
      <c r="E127" s="29"/>
      <c r="F127" s="29"/>
      <c r="G127" s="31"/>
    </row>
    <row r="128" customFormat="false" ht="15" hidden="false" customHeight="false" outlineLevel="0" collapsed="false">
      <c r="B128" s="11" t="s">
        <v>135</v>
      </c>
      <c r="C128" s="29"/>
      <c r="D128" s="29"/>
      <c r="E128" s="29"/>
      <c r="F128" s="29"/>
      <c r="G128" s="31"/>
    </row>
    <row r="129" customFormat="false" ht="15" hidden="false" customHeight="false" outlineLevel="0" collapsed="false">
      <c r="B129" s="11" t="s">
        <v>136</v>
      </c>
      <c r="C129" s="29"/>
      <c r="D129" s="29"/>
      <c r="E129" s="29"/>
      <c r="F129" s="29"/>
      <c r="G129" s="31"/>
    </row>
    <row r="130" customFormat="false" ht="15" hidden="false" customHeight="false" outlineLevel="0" collapsed="false">
      <c r="B130" s="11" t="s">
        <v>137</v>
      </c>
      <c r="C130" s="29"/>
      <c r="D130" s="29"/>
      <c r="E130" s="29"/>
      <c r="F130" s="29"/>
      <c r="G130" s="31"/>
    </row>
    <row r="131" customFormat="false" ht="15" hidden="false" customHeight="false" outlineLevel="0" collapsed="false">
      <c r="B131" s="11" t="s">
        <v>138</v>
      </c>
      <c r="C131" s="29"/>
      <c r="D131" s="29"/>
      <c r="E131" s="29"/>
      <c r="F131" s="29"/>
      <c r="G131" s="31"/>
    </row>
    <row r="132" customFormat="false" ht="15" hidden="false" customHeight="false" outlineLevel="0" collapsed="false">
      <c r="B132" s="11" t="s">
        <v>139</v>
      </c>
      <c r="C132" s="29"/>
      <c r="D132" s="29"/>
      <c r="E132" s="29"/>
      <c r="F132" s="29"/>
      <c r="G132" s="31"/>
    </row>
    <row r="133" customFormat="false" ht="15" hidden="false" customHeight="false" outlineLevel="0" collapsed="false">
      <c r="B133" s="11" t="s">
        <v>140</v>
      </c>
      <c r="C133" s="29"/>
      <c r="D133" s="29"/>
      <c r="E133" s="29"/>
      <c r="F133" s="29"/>
      <c r="G133" s="31"/>
    </row>
    <row r="134" customFormat="false" ht="15" hidden="false" customHeight="false" outlineLevel="0" collapsed="false">
      <c r="B134" s="11" t="s">
        <v>141</v>
      </c>
      <c r="C134" s="29"/>
      <c r="D134" s="29"/>
      <c r="E134" s="29"/>
      <c r="F134" s="29"/>
      <c r="G134" s="31"/>
    </row>
    <row r="135" customFormat="false" ht="15" hidden="false" customHeight="false" outlineLevel="0" collapsed="false">
      <c r="B135" s="23" t="s">
        <v>142</v>
      </c>
      <c r="C135" s="30"/>
      <c r="D135" s="24"/>
      <c r="E135" s="24"/>
      <c r="F135" s="24"/>
      <c r="G135" s="30"/>
    </row>
    <row r="137" customFormat="false" ht="19.5" hidden="false" customHeight="true" outlineLevel="0" collapsed="false">
      <c r="A137" s="13" t="s">
        <v>154</v>
      </c>
      <c r="B137" s="13"/>
      <c r="C137" s="13"/>
      <c r="D137" s="13"/>
      <c r="E137" s="13"/>
      <c r="F137" s="13"/>
      <c r="G137" s="13"/>
      <c r="H137" s="13"/>
      <c r="I137" s="13"/>
      <c r="J137" s="13"/>
    </row>
    <row r="138" customFormat="false" ht="15.75" hidden="false" customHeight="true" outlineLevel="0" collapsed="false">
      <c r="B138" s="14" t="s">
        <v>155</v>
      </c>
      <c r="C138" s="14"/>
      <c r="D138" s="14"/>
      <c r="E138" s="14"/>
      <c r="F138" s="14"/>
      <c r="G138" s="14"/>
      <c r="H138" s="14"/>
      <c r="I138" s="14"/>
    </row>
    <row r="139" customFormat="false" ht="15.75" hidden="false" customHeight="true" outlineLevel="0" collapsed="false">
      <c r="B139" s="4" t="s">
        <v>156</v>
      </c>
      <c r="C139" s="4"/>
      <c r="D139" s="4"/>
      <c r="E139" s="4"/>
      <c r="F139" s="4"/>
      <c r="G139" s="4"/>
      <c r="H139" s="4"/>
      <c r="I139" s="4"/>
    </row>
    <row r="140" customFormat="false" ht="31.5" hidden="false" customHeight="true" outlineLevel="0" collapsed="false">
      <c r="B140" s="5" t="s">
        <v>126</v>
      </c>
      <c r="C140" s="5" t="s">
        <v>212</v>
      </c>
      <c r="D140" s="5" t="s">
        <v>213</v>
      </c>
      <c r="E140" s="5" t="s">
        <v>159</v>
      </c>
      <c r="F140" s="5" t="s">
        <v>160</v>
      </c>
      <c r="G140" s="5" t="s">
        <v>161</v>
      </c>
    </row>
    <row r="141" customFormat="false" ht="15" hidden="false" customHeight="false" outlineLevel="0" collapsed="false">
      <c r="B141" s="11" t="s">
        <v>130</v>
      </c>
      <c r="C141" s="29"/>
      <c r="D141" s="29"/>
      <c r="E141" s="32"/>
      <c r="F141" s="32"/>
      <c r="G141" s="33"/>
    </row>
    <row r="142" customFormat="false" ht="15" hidden="false" customHeight="false" outlineLevel="0" collapsed="false">
      <c r="B142" s="11" t="s">
        <v>131</v>
      </c>
      <c r="C142" s="29"/>
      <c r="D142" s="29"/>
      <c r="E142" s="32"/>
      <c r="F142" s="32"/>
      <c r="G142" s="33"/>
    </row>
    <row r="143" customFormat="false" ht="15" hidden="false" customHeight="false" outlineLevel="0" collapsed="false">
      <c r="B143" s="11" t="s">
        <v>132</v>
      </c>
      <c r="C143" s="29"/>
      <c r="D143" s="29"/>
      <c r="E143" s="32"/>
      <c r="F143" s="32"/>
      <c r="G143" s="33"/>
    </row>
    <row r="144" customFormat="false" ht="15" hidden="false" customHeight="false" outlineLevel="0" collapsed="false">
      <c r="B144" s="11" t="s">
        <v>133</v>
      </c>
      <c r="C144" s="29"/>
      <c r="D144" s="29"/>
      <c r="E144" s="32"/>
      <c r="F144" s="32"/>
      <c r="G144" s="33"/>
    </row>
    <row r="145" customFormat="false" ht="15" hidden="false" customHeight="false" outlineLevel="0" collapsed="false">
      <c r="B145" s="11" t="s">
        <v>134</v>
      </c>
      <c r="C145" s="29"/>
      <c r="D145" s="29"/>
      <c r="E145" s="32"/>
      <c r="F145" s="32"/>
      <c r="G145" s="33"/>
    </row>
    <row r="146" customFormat="false" ht="15" hidden="false" customHeight="false" outlineLevel="0" collapsed="false">
      <c r="B146" s="11" t="s">
        <v>135</v>
      </c>
      <c r="C146" s="29"/>
      <c r="D146" s="29"/>
      <c r="E146" s="32"/>
      <c r="F146" s="32"/>
      <c r="G146" s="33"/>
    </row>
    <row r="147" customFormat="false" ht="15" hidden="false" customHeight="false" outlineLevel="0" collapsed="false">
      <c r="B147" s="11" t="s">
        <v>136</v>
      </c>
      <c r="C147" s="29"/>
      <c r="D147" s="29"/>
      <c r="E147" s="32"/>
      <c r="F147" s="32"/>
      <c r="G147" s="33"/>
    </row>
    <row r="148" customFormat="false" ht="15" hidden="false" customHeight="false" outlineLevel="0" collapsed="false">
      <c r="B148" s="11" t="s">
        <v>137</v>
      </c>
      <c r="C148" s="29"/>
      <c r="D148" s="29"/>
      <c r="E148" s="32"/>
      <c r="F148" s="32"/>
      <c r="G148" s="33"/>
    </row>
    <row r="149" customFormat="false" ht="15" hidden="false" customHeight="false" outlineLevel="0" collapsed="false">
      <c r="B149" s="11" t="s">
        <v>138</v>
      </c>
      <c r="C149" s="29"/>
      <c r="D149" s="29"/>
      <c r="E149" s="32"/>
      <c r="F149" s="32"/>
      <c r="G149" s="33"/>
    </row>
    <row r="150" customFormat="false" ht="15" hidden="false" customHeight="false" outlineLevel="0" collapsed="false">
      <c r="B150" s="11" t="s">
        <v>139</v>
      </c>
      <c r="C150" s="29"/>
      <c r="D150" s="29"/>
      <c r="E150" s="32"/>
      <c r="F150" s="32"/>
      <c r="G150" s="33"/>
    </row>
    <row r="151" customFormat="false" ht="15" hidden="false" customHeight="false" outlineLevel="0" collapsed="false">
      <c r="B151" s="11" t="s">
        <v>140</v>
      </c>
      <c r="C151" s="29"/>
      <c r="D151" s="29"/>
      <c r="E151" s="32"/>
      <c r="F151" s="32"/>
      <c r="G151" s="33"/>
    </row>
    <row r="152" customFormat="false" ht="15" hidden="false" customHeight="false" outlineLevel="0" collapsed="false">
      <c r="B152" s="11" t="s">
        <v>141</v>
      </c>
      <c r="C152" s="29"/>
      <c r="D152" s="29"/>
      <c r="E152" s="32"/>
      <c r="F152" s="32"/>
      <c r="G152" s="33"/>
    </row>
    <row r="153" customFormat="false" ht="15" hidden="false" customHeight="false" outlineLevel="0" collapsed="false">
      <c r="B153" s="23" t="s">
        <v>142</v>
      </c>
      <c r="C153" s="30"/>
      <c r="D153" s="30"/>
      <c r="E153" s="34"/>
      <c r="F153" s="34"/>
      <c r="G153" s="34"/>
    </row>
    <row r="155" customFormat="false" ht="19.5" hidden="false" customHeight="true" outlineLevel="0" collapsed="false">
      <c r="A155" s="13" t="s">
        <v>214</v>
      </c>
      <c r="B155" s="13"/>
      <c r="C155" s="13"/>
      <c r="D155" s="13"/>
      <c r="E155" s="13"/>
      <c r="F155" s="13"/>
      <c r="G155" s="13"/>
      <c r="H155" s="13"/>
      <c r="I155" s="13"/>
      <c r="J155" s="13"/>
    </row>
    <row r="156" customFormat="false" ht="27.75" hidden="false" customHeight="true" outlineLevel="0" collapsed="false">
      <c r="B156" s="4" t="s">
        <v>215</v>
      </c>
      <c r="C156" s="4"/>
      <c r="D156" s="4"/>
      <c r="E156" s="4"/>
      <c r="F156" s="4"/>
      <c r="G156" s="4"/>
      <c r="H156" s="4"/>
      <c r="I156" s="4"/>
    </row>
    <row r="157" customFormat="false" ht="15.75" hidden="false" customHeight="true" outlineLevel="0" collapsed="false">
      <c r="B157" s="4" t="s">
        <v>216</v>
      </c>
      <c r="C157" s="4"/>
      <c r="D157" s="4"/>
      <c r="E157" s="4"/>
      <c r="F157" s="4"/>
      <c r="G157" s="4"/>
      <c r="H157" s="4"/>
      <c r="I157" s="4"/>
    </row>
    <row r="158" customFormat="false" ht="15" hidden="false" customHeight="false" outlineLevel="0" collapsed="false">
      <c r="B158" s="10" t="s">
        <v>217</v>
      </c>
      <c r="C158" s="12" t="n">
        <v>0.15</v>
      </c>
    </row>
    <row r="159" customFormat="false" ht="15" hidden="false" customHeight="false" outlineLevel="0" collapsed="false">
      <c r="B159" s="27" t="s">
        <v>218</v>
      </c>
      <c r="C159" s="33"/>
    </row>
    <row r="160" customFormat="false" ht="15" hidden="false" customHeight="false" outlineLevel="0" collapsed="false">
      <c r="B160" s="10" t="s">
        <v>219</v>
      </c>
      <c r="C160" s="33"/>
    </row>
  </sheetData>
  <mergeCells count="45">
    <mergeCell ref="A1:J1"/>
    <mergeCell ref="A2:J2"/>
    <mergeCell ref="B5:I5"/>
    <mergeCell ref="B7:I7"/>
    <mergeCell ref="B8:I8"/>
    <mergeCell ref="B9:I9"/>
    <mergeCell ref="C11:G11"/>
    <mergeCell ref="C12:G12"/>
    <mergeCell ref="A16:J16"/>
    <mergeCell ref="B17:I17"/>
    <mergeCell ref="B37:I37"/>
    <mergeCell ref="I40:J40"/>
    <mergeCell ref="I41:J41"/>
    <mergeCell ref="I42:J42"/>
    <mergeCell ref="I43:J43"/>
    <mergeCell ref="I44:J44"/>
    <mergeCell ref="I45:J45"/>
    <mergeCell ref="I46:J46"/>
    <mergeCell ref="I47:J47"/>
    <mergeCell ref="I48:J48"/>
    <mergeCell ref="I49:J49"/>
    <mergeCell ref="A50:B50"/>
    <mergeCell ref="I53:J53"/>
    <mergeCell ref="I54:J54"/>
    <mergeCell ref="I55:J55"/>
    <mergeCell ref="I56:J56"/>
    <mergeCell ref="I57:J57"/>
    <mergeCell ref="I58:J58"/>
    <mergeCell ref="I59:J59"/>
    <mergeCell ref="I60:J60"/>
    <mergeCell ref="I61:J61"/>
    <mergeCell ref="I62:J62"/>
    <mergeCell ref="I63:J63"/>
    <mergeCell ref="A64:B64"/>
    <mergeCell ref="A83:J83"/>
    <mergeCell ref="B84:I84"/>
    <mergeCell ref="A101:J101"/>
    <mergeCell ref="B102:I102"/>
    <mergeCell ref="B103:I103"/>
    <mergeCell ref="A137:J137"/>
    <mergeCell ref="B138:I138"/>
    <mergeCell ref="B139:I139"/>
    <mergeCell ref="A155:J155"/>
    <mergeCell ref="B156:I156"/>
    <mergeCell ref="B157:I15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7" min="5" style="0" width="12"/>
    <col collapsed="false" customWidth="true" hidden="false" outlineLevel="0" max="8" min="8" style="0" width="13"/>
    <col collapsed="false" customWidth="true" hidden="false" outlineLevel="0" max="9" min="9" style="0" width="14"/>
    <col collapsed="false" customWidth="true" hidden="false" outlineLevel="0" max="10" min="10" style="0" width="26"/>
  </cols>
  <sheetData>
    <row r="1" customFormat="false" ht="24" hidden="false" customHeight="true" outlineLevel="0" collapsed="false">
      <c r="A1" s="1" t="s">
        <v>220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B4" s="3" t="s">
        <v>27</v>
      </c>
    </row>
    <row r="5" customFormat="false" ht="61.5" hidden="false" customHeight="true" outlineLevel="0" collapsed="false">
      <c r="B5" s="4" t="s">
        <v>221</v>
      </c>
      <c r="C5" s="4"/>
      <c r="D5" s="4"/>
      <c r="E5" s="4"/>
      <c r="F5" s="4"/>
      <c r="G5" s="4"/>
      <c r="H5" s="4"/>
      <c r="I5" s="4"/>
    </row>
    <row r="6" customFormat="false" ht="15" hidden="false" customHeight="false" outlineLevel="0" collapsed="false">
      <c r="B6" s="9" t="s">
        <v>29</v>
      </c>
    </row>
    <row r="7" customFormat="false" ht="15" hidden="false" customHeight="true" outlineLevel="0" collapsed="false">
      <c r="B7" s="4" t="s">
        <v>30</v>
      </c>
      <c r="C7" s="4"/>
      <c r="D7" s="4"/>
      <c r="E7" s="4"/>
      <c r="F7" s="4"/>
      <c r="G7" s="4"/>
      <c r="H7" s="4"/>
      <c r="I7" s="4"/>
    </row>
    <row r="8" customFormat="false" ht="15" hidden="false" customHeight="true" outlineLevel="0" collapsed="false">
      <c r="B8" s="4" t="s">
        <v>222</v>
      </c>
      <c r="C8" s="4"/>
      <c r="D8" s="4"/>
      <c r="E8" s="4"/>
      <c r="F8" s="4"/>
      <c r="G8" s="4"/>
      <c r="H8" s="4"/>
      <c r="I8" s="4"/>
    </row>
    <row r="9" customFormat="false" ht="15" hidden="false" customHeight="true" outlineLevel="0" collapsed="false">
      <c r="B9" s="4" t="s">
        <v>32</v>
      </c>
      <c r="C9" s="4"/>
      <c r="D9" s="4"/>
      <c r="E9" s="4"/>
      <c r="F9" s="4"/>
      <c r="G9" s="4"/>
      <c r="H9" s="4"/>
      <c r="I9" s="4"/>
    </row>
    <row r="11" customFormat="false" ht="15" hidden="false" customHeight="false" outlineLevel="0" collapsed="false">
      <c r="B11" s="10" t="s">
        <v>33</v>
      </c>
      <c r="C11" s="11" t="s">
        <v>223</v>
      </c>
      <c r="D11" s="11"/>
      <c r="E11" s="11"/>
      <c r="F11" s="11"/>
      <c r="G11" s="11"/>
    </row>
    <row r="12" customFormat="false" ht="15" hidden="false" customHeight="false" outlineLevel="0" collapsed="false">
      <c r="B12" s="10" t="s">
        <v>35</v>
      </c>
      <c r="C12" s="11" t="s">
        <v>224</v>
      </c>
      <c r="D12" s="11"/>
      <c r="E12" s="11"/>
      <c r="F12" s="11"/>
      <c r="G12" s="11"/>
    </row>
    <row r="14" customFormat="false" ht="15" hidden="false" customHeight="false" outlineLevel="0" collapsed="false">
      <c r="B14" s="10" t="s">
        <v>37</v>
      </c>
      <c r="C14" s="12" t="n">
        <v>0.18</v>
      </c>
    </row>
    <row r="16" customFormat="false" ht="19.5" hidden="false" customHeight="true" outlineLevel="0" collapsed="false">
      <c r="A16" s="13" t="s">
        <v>38</v>
      </c>
      <c r="B16" s="13"/>
      <c r="C16" s="13"/>
      <c r="D16" s="13"/>
      <c r="E16" s="13"/>
      <c r="F16" s="13"/>
      <c r="G16" s="13"/>
      <c r="H16" s="13"/>
      <c r="I16" s="13"/>
      <c r="J16" s="13"/>
    </row>
    <row r="17" customFormat="false" ht="15.75" hidden="false" customHeight="true" outlineLevel="0" collapsed="false">
      <c r="B17" s="14" t="s">
        <v>39</v>
      </c>
      <c r="C17" s="14"/>
      <c r="D17" s="14"/>
      <c r="E17" s="14"/>
      <c r="F17" s="14"/>
      <c r="G17" s="14"/>
      <c r="H17" s="14"/>
      <c r="I17" s="14"/>
    </row>
    <row r="19" customFormat="false" ht="15" hidden="false" customHeight="false" outlineLevel="0" collapsed="false">
      <c r="B19" s="9" t="s">
        <v>40</v>
      </c>
    </row>
    <row r="20" customFormat="false" ht="31.5" hidden="false" customHeight="true" outlineLevel="0" collapsed="false">
      <c r="A20" s="5" t="s">
        <v>41</v>
      </c>
      <c r="B20" s="5" t="s">
        <v>42</v>
      </c>
      <c r="C20" s="5" t="s">
        <v>43</v>
      </c>
      <c r="D20" s="5" t="s">
        <v>44</v>
      </c>
      <c r="E20" s="5" t="s">
        <v>45</v>
      </c>
      <c r="F20" s="5" t="s">
        <v>46</v>
      </c>
      <c r="G20" s="5" t="s">
        <v>47</v>
      </c>
      <c r="H20" s="5" t="s">
        <v>48</v>
      </c>
      <c r="I20" s="5" t="s">
        <v>49</v>
      </c>
      <c r="J20" s="5" t="s">
        <v>50</v>
      </c>
    </row>
    <row r="21" customFormat="false" ht="25.5" hidden="false" customHeight="true" outlineLevel="0" collapsed="false">
      <c r="A21" s="15" t="n">
        <v>1</v>
      </c>
      <c r="B21" s="6" t="s">
        <v>225</v>
      </c>
      <c r="C21" s="6" t="s">
        <v>78</v>
      </c>
      <c r="D21" s="16" t="n">
        <v>1</v>
      </c>
      <c r="E21" s="15" t="s">
        <v>59</v>
      </c>
      <c r="F21" s="17" t="n">
        <v>85</v>
      </c>
      <c r="G21" s="18" t="s">
        <v>54</v>
      </c>
      <c r="H21" s="17" t="n">
        <f aca="false">IF(G21="Sí",F21/(1+$C$14),F21)</f>
        <v>72.0338983050848</v>
      </c>
      <c r="I21" s="19" t="n">
        <f aca="false">H21/D21</f>
        <v>72.0338983050848</v>
      </c>
      <c r="J21" s="20" t="s">
        <v>226</v>
      </c>
    </row>
    <row r="22" customFormat="false" ht="25.5" hidden="false" customHeight="true" outlineLevel="0" collapsed="false">
      <c r="A22" s="15" t="n">
        <v>2</v>
      </c>
      <c r="B22" s="6" t="s">
        <v>227</v>
      </c>
      <c r="C22" s="6" t="s">
        <v>52</v>
      </c>
      <c r="D22" s="16" t="n">
        <v>12</v>
      </c>
      <c r="E22" s="15" t="s">
        <v>53</v>
      </c>
      <c r="F22" s="17" t="n">
        <v>60</v>
      </c>
      <c r="G22" s="18" t="s">
        <v>54</v>
      </c>
      <c r="H22" s="17" t="n">
        <f aca="false">IF(G22="Sí",F22/(1+$C$14),F22)</f>
        <v>50.8474576271186</v>
      </c>
      <c r="I22" s="19" t="n">
        <f aca="false">H22/D22</f>
        <v>4.23728813559322</v>
      </c>
      <c r="J22" s="20" t="s">
        <v>60</v>
      </c>
    </row>
    <row r="23" customFormat="false" ht="25.5" hidden="false" customHeight="true" outlineLevel="0" collapsed="false">
      <c r="A23" s="15" t="n">
        <v>3</v>
      </c>
      <c r="B23" s="6" t="s">
        <v>228</v>
      </c>
      <c r="C23" s="6" t="s">
        <v>229</v>
      </c>
      <c r="D23" s="16" t="n">
        <v>0.75</v>
      </c>
      <c r="E23" s="15" t="s">
        <v>53</v>
      </c>
      <c r="F23" s="17" t="n">
        <v>42</v>
      </c>
      <c r="G23" s="18" t="s">
        <v>54</v>
      </c>
      <c r="H23" s="17" t="n">
        <f aca="false">IF(G23="Sí",F23/(1+$C$14),F23)</f>
        <v>35.5932203389831</v>
      </c>
      <c r="I23" s="19" t="n">
        <f aca="false">H23/D23</f>
        <v>47.4576271186441</v>
      </c>
      <c r="J23" s="20" t="s">
        <v>230</v>
      </c>
    </row>
    <row r="24" customFormat="false" ht="25.5" hidden="false" customHeight="true" outlineLevel="0" collapsed="false">
      <c r="A24" s="15" t="n">
        <v>4</v>
      </c>
      <c r="B24" s="6" t="s">
        <v>231</v>
      </c>
      <c r="C24" s="6" t="s">
        <v>78</v>
      </c>
      <c r="D24" s="16" t="n">
        <v>1</v>
      </c>
      <c r="E24" s="15" t="s">
        <v>59</v>
      </c>
      <c r="F24" s="17" t="n">
        <v>70</v>
      </c>
      <c r="G24" s="18" t="s">
        <v>54</v>
      </c>
      <c r="H24" s="17" t="n">
        <f aca="false">IF(G24="Sí",F24/(1+$C$14),F24)</f>
        <v>59.3220338983051</v>
      </c>
      <c r="I24" s="19" t="n">
        <f aca="false">H24/D24</f>
        <v>59.3220338983051</v>
      </c>
      <c r="J24" s="20" t="s">
        <v>173</v>
      </c>
    </row>
    <row r="25" customFormat="false" ht="25.5" hidden="false" customHeight="true" outlineLevel="0" collapsed="false">
      <c r="A25" s="15" t="n">
        <v>5</v>
      </c>
      <c r="B25" s="6" t="s">
        <v>232</v>
      </c>
      <c r="C25" s="6" t="s">
        <v>233</v>
      </c>
      <c r="D25" s="16" t="n">
        <v>1</v>
      </c>
      <c r="E25" s="15" t="s">
        <v>59</v>
      </c>
      <c r="F25" s="17" t="n">
        <v>4</v>
      </c>
      <c r="G25" s="18" t="s">
        <v>66</v>
      </c>
      <c r="H25" s="17" t="n">
        <f aca="false">IF(G25="Sí",F25/(1+$C$14),F25)</f>
        <v>4</v>
      </c>
      <c r="I25" s="19" t="n">
        <f aca="false">H25/D25</f>
        <v>4</v>
      </c>
      <c r="J25" s="20" t="s">
        <v>67</v>
      </c>
    </row>
    <row r="26" customFormat="false" ht="25.5" hidden="false" customHeight="true" outlineLevel="0" collapsed="false">
      <c r="A26" s="15" t="n">
        <v>6</v>
      </c>
      <c r="B26" s="6" t="s">
        <v>234</v>
      </c>
      <c r="C26" s="6" t="s">
        <v>235</v>
      </c>
      <c r="D26" s="16" t="n">
        <v>1</v>
      </c>
      <c r="E26" s="15" t="s">
        <v>59</v>
      </c>
      <c r="F26" s="17" t="n">
        <v>30</v>
      </c>
      <c r="G26" s="18" t="s">
        <v>54</v>
      </c>
      <c r="H26" s="17" t="n">
        <f aca="false">IF(G26="Sí",F26/(1+$C$14),F26)</f>
        <v>25.4237288135593</v>
      </c>
      <c r="I26" s="19" t="n">
        <f aca="false">H26/D26</f>
        <v>25.4237288135593</v>
      </c>
      <c r="J26" s="20" t="s">
        <v>236</v>
      </c>
    </row>
    <row r="27" customFormat="false" ht="25.5" hidden="false" customHeight="true" outlineLevel="0" collapsed="false">
      <c r="A27" s="15" t="n">
        <v>7</v>
      </c>
      <c r="B27" s="6" t="s">
        <v>237</v>
      </c>
      <c r="C27" s="6" t="s">
        <v>238</v>
      </c>
      <c r="D27" s="16" t="n">
        <v>1</v>
      </c>
      <c r="E27" s="15" t="s">
        <v>79</v>
      </c>
      <c r="F27" s="17" t="n">
        <v>18</v>
      </c>
      <c r="G27" s="18" t="s">
        <v>54</v>
      </c>
      <c r="H27" s="17" t="n">
        <f aca="false">IF(G27="Sí",F27/(1+$C$14),F27)</f>
        <v>15.2542372881356</v>
      </c>
      <c r="I27" s="19" t="n">
        <f aca="false">H27/D27</f>
        <v>15.2542372881356</v>
      </c>
      <c r="J27" s="20" t="s">
        <v>67</v>
      </c>
    </row>
    <row r="28" customFormat="false" ht="25.5" hidden="false" customHeight="true" outlineLevel="0" collapsed="false">
      <c r="A28" s="15" t="n">
        <v>8</v>
      </c>
      <c r="B28" s="6" t="s">
        <v>239</v>
      </c>
      <c r="C28" s="6" t="s">
        <v>240</v>
      </c>
      <c r="D28" s="16" t="n">
        <v>1</v>
      </c>
      <c r="E28" s="15" t="s">
        <v>79</v>
      </c>
      <c r="F28" s="17" t="n">
        <v>7</v>
      </c>
      <c r="G28" s="18" t="s">
        <v>54</v>
      </c>
      <c r="H28" s="17" t="n">
        <f aca="false">IF(G28="Sí",F28/(1+$C$14),F28)</f>
        <v>5.93220338983051</v>
      </c>
      <c r="I28" s="19" t="n">
        <f aca="false">H28/D28</f>
        <v>5.93220338983051</v>
      </c>
      <c r="J28" s="20" t="s">
        <v>241</v>
      </c>
    </row>
    <row r="29" customFormat="false" ht="25.5" hidden="false" customHeight="true" outlineLevel="0" collapsed="false">
      <c r="A29" s="15" t="n">
        <v>9</v>
      </c>
      <c r="B29" s="6" t="s">
        <v>242</v>
      </c>
      <c r="C29" s="6" t="s">
        <v>75</v>
      </c>
      <c r="D29" s="16" t="n">
        <v>1000</v>
      </c>
      <c r="E29" s="15" t="s">
        <v>70</v>
      </c>
      <c r="F29" s="17" t="n">
        <v>236</v>
      </c>
      <c r="G29" s="18" t="s">
        <v>54</v>
      </c>
      <c r="H29" s="17" t="n">
        <f aca="false">IF(G29="Sí",F29/(1+$C$14),F29)</f>
        <v>200</v>
      </c>
      <c r="I29" s="19" t="n">
        <f aca="false">H29/D29</f>
        <v>0.2</v>
      </c>
      <c r="J29" s="20" t="s">
        <v>76</v>
      </c>
    </row>
    <row r="30" customFormat="false" ht="25.5" hidden="false" customHeight="true" outlineLevel="0" collapsed="false">
      <c r="A30" s="15" t="n">
        <v>10</v>
      </c>
      <c r="B30" s="6" t="s">
        <v>85</v>
      </c>
      <c r="C30" s="6" t="s">
        <v>86</v>
      </c>
      <c r="D30" s="16" t="n">
        <v>1</v>
      </c>
      <c r="E30" s="15" t="s">
        <v>87</v>
      </c>
      <c r="F30" s="17" t="n">
        <v>70.8</v>
      </c>
      <c r="G30" s="18" t="s">
        <v>54</v>
      </c>
      <c r="H30" s="17" t="n">
        <f aca="false">IF(G30="Sí",F30/(1+$C$14),F30)</f>
        <v>60</v>
      </c>
      <c r="I30" s="19" t="n">
        <f aca="false">H30/D30</f>
        <v>60</v>
      </c>
      <c r="J30" s="20" t="s">
        <v>60</v>
      </c>
    </row>
    <row r="31" customFormat="false" ht="15.75" hidden="false" customHeight="true" outlineLevel="0" collapsed="false">
      <c r="B31" s="4" t="s">
        <v>88</v>
      </c>
      <c r="C31" s="4"/>
      <c r="D31" s="4"/>
      <c r="E31" s="4"/>
      <c r="F31" s="4"/>
      <c r="G31" s="4"/>
      <c r="H31" s="4"/>
      <c r="I31" s="4"/>
    </row>
    <row r="33" customFormat="false" ht="15" hidden="false" customHeight="false" outlineLevel="0" collapsed="false">
      <c r="B33" s="21" t="s">
        <v>243</v>
      </c>
    </row>
    <row r="34" customFormat="false" ht="31.5" hidden="false" customHeight="true" outlineLevel="0" collapsed="false">
      <c r="A34" s="5" t="s">
        <v>41</v>
      </c>
      <c r="B34" s="5" t="s">
        <v>42</v>
      </c>
      <c r="C34" s="5" t="s">
        <v>45</v>
      </c>
      <c r="D34" s="5" t="s">
        <v>90</v>
      </c>
      <c r="E34" s="5" t="s">
        <v>91</v>
      </c>
      <c r="F34" s="5" t="s">
        <v>92</v>
      </c>
      <c r="G34" s="5" t="s">
        <v>49</v>
      </c>
      <c r="H34" s="5" t="s">
        <v>244</v>
      </c>
      <c r="I34" s="5" t="s">
        <v>94</v>
      </c>
      <c r="J34" s="5"/>
    </row>
    <row r="35" customFormat="false" ht="25.5" hidden="false" customHeight="true" outlineLevel="0" collapsed="false">
      <c r="A35" s="15" t="n">
        <v>1</v>
      </c>
      <c r="B35" s="6" t="s">
        <v>225</v>
      </c>
      <c r="C35" s="15" t="s">
        <v>59</v>
      </c>
      <c r="D35" s="16" t="n">
        <v>0.018</v>
      </c>
      <c r="E35" s="12" t="n">
        <v>0.03</v>
      </c>
      <c r="F35" s="22" t="n">
        <f aca="false">D35/(1-E35)</f>
        <v>0.0185567010309278</v>
      </c>
      <c r="G35" s="19" t="n">
        <f aca="false">I21</f>
        <v>72.0338983050848</v>
      </c>
      <c r="H35" s="19" t="n">
        <f aca="false">F35*G35</f>
        <v>1.33671151493972</v>
      </c>
      <c r="I35" s="20" t="s">
        <v>245</v>
      </c>
      <c r="J35" s="20"/>
    </row>
    <row r="36" customFormat="false" ht="25.5" hidden="false" customHeight="true" outlineLevel="0" collapsed="false">
      <c r="A36" s="15" t="n">
        <v>2</v>
      </c>
      <c r="B36" s="6" t="s">
        <v>227</v>
      </c>
      <c r="C36" s="15" t="s">
        <v>53</v>
      </c>
      <c r="D36" s="16" t="n">
        <v>0.22</v>
      </c>
      <c r="E36" s="12" t="n">
        <v>0.02</v>
      </c>
      <c r="F36" s="22" t="n">
        <f aca="false">D36/(1-E36)</f>
        <v>0.224489795918367</v>
      </c>
      <c r="G36" s="19" t="n">
        <f aca="false">I22</f>
        <v>4.23728813559322</v>
      </c>
      <c r="H36" s="19" t="n">
        <f aca="false">F36*G36</f>
        <v>0.951227948806641</v>
      </c>
      <c r="I36" s="20" t="s">
        <v>246</v>
      </c>
      <c r="J36" s="20"/>
    </row>
    <row r="37" customFormat="false" ht="25.5" hidden="false" customHeight="true" outlineLevel="0" collapsed="false">
      <c r="A37" s="15" t="n">
        <v>3</v>
      </c>
      <c r="B37" s="6" t="s">
        <v>228</v>
      </c>
      <c r="C37" s="15" t="s">
        <v>53</v>
      </c>
      <c r="D37" s="16" t="n">
        <v>0.01</v>
      </c>
      <c r="E37" s="12" t="n">
        <v>0.02</v>
      </c>
      <c r="F37" s="22" t="n">
        <f aca="false">D37/(1-E37)</f>
        <v>0.0102040816326531</v>
      </c>
      <c r="G37" s="19" t="n">
        <f aca="false">I23</f>
        <v>47.4576271186441</v>
      </c>
      <c r="H37" s="19" t="n">
        <f aca="false">F37*G37</f>
        <v>0.484261501210654</v>
      </c>
      <c r="I37" s="20" t="s">
        <v>247</v>
      </c>
      <c r="J37" s="20"/>
    </row>
    <row r="38" customFormat="false" ht="15" hidden="false" customHeight="true" outlineLevel="0" collapsed="false">
      <c r="A38" s="23" t="s">
        <v>248</v>
      </c>
      <c r="B38" s="23"/>
      <c r="C38" s="24"/>
      <c r="D38" s="24"/>
      <c r="E38" s="24"/>
      <c r="F38" s="24"/>
      <c r="G38" s="24"/>
      <c r="H38" s="25" t="n">
        <f aca="false">SUM(H35:H37)</f>
        <v>2.77220096495701</v>
      </c>
    </row>
    <row r="40" customFormat="false" ht="15" hidden="false" customHeight="false" outlineLevel="0" collapsed="false">
      <c r="B40" s="21" t="s">
        <v>249</v>
      </c>
    </row>
    <row r="41" customFormat="false" ht="31.5" hidden="false" customHeight="true" outlineLevel="0" collapsed="false">
      <c r="A41" s="5" t="s">
        <v>41</v>
      </c>
      <c r="B41" s="5" t="s">
        <v>42</v>
      </c>
      <c r="C41" s="5" t="s">
        <v>45</v>
      </c>
      <c r="D41" s="5" t="s">
        <v>90</v>
      </c>
      <c r="E41" s="5" t="s">
        <v>91</v>
      </c>
      <c r="F41" s="5" t="s">
        <v>92</v>
      </c>
      <c r="G41" s="5" t="s">
        <v>49</v>
      </c>
      <c r="H41" s="5" t="s">
        <v>244</v>
      </c>
      <c r="I41" s="5" t="s">
        <v>94</v>
      </c>
      <c r="J41" s="5"/>
    </row>
    <row r="42" customFormat="false" ht="25.5" hidden="false" customHeight="true" outlineLevel="0" collapsed="false">
      <c r="A42" s="15" t="n">
        <v>1</v>
      </c>
      <c r="B42" s="6" t="s">
        <v>231</v>
      </c>
      <c r="C42" s="15" t="s">
        <v>59</v>
      </c>
      <c r="D42" s="16" t="n">
        <v>0.02</v>
      </c>
      <c r="E42" s="12" t="n">
        <v>0.05</v>
      </c>
      <c r="F42" s="22" t="n">
        <f aca="false">D42/(1-E42)</f>
        <v>0.0210526315789474</v>
      </c>
      <c r="G42" s="19" t="n">
        <f aca="false">I24</f>
        <v>59.3220338983051</v>
      </c>
      <c r="H42" s="19" t="n">
        <f aca="false">F42*G42</f>
        <v>1.24888492417484</v>
      </c>
      <c r="I42" s="20" t="s">
        <v>250</v>
      </c>
      <c r="J42" s="20"/>
    </row>
    <row r="43" customFormat="false" ht="25.5" hidden="false" customHeight="true" outlineLevel="0" collapsed="false">
      <c r="A43" s="15" t="n">
        <v>2</v>
      </c>
      <c r="B43" s="6" t="s">
        <v>232</v>
      </c>
      <c r="C43" s="15" t="s">
        <v>59</v>
      </c>
      <c r="D43" s="16" t="n">
        <v>0.06</v>
      </c>
      <c r="E43" s="12" t="n">
        <v>0.1</v>
      </c>
      <c r="F43" s="22" t="n">
        <f aca="false">D43/(1-E43)</f>
        <v>0.0666666666666667</v>
      </c>
      <c r="G43" s="19" t="n">
        <f aca="false">I25</f>
        <v>4</v>
      </c>
      <c r="H43" s="19" t="n">
        <f aca="false">F43*G43</f>
        <v>0.266666666666667</v>
      </c>
      <c r="I43" s="20" t="s">
        <v>251</v>
      </c>
      <c r="J43" s="20"/>
    </row>
    <row r="44" customFormat="false" ht="25.5" hidden="false" customHeight="true" outlineLevel="0" collapsed="false">
      <c r="A44" s="15" t="n">
        <v>3</v>
      </c>
      <c r="B44" s="6" t="s">
        <v>234</v>
      </c>
      <c r="C44" s="15" t="s">
        <v>59</v>
      </c>
      <c r="D44" s="16" t="n">
        <v>0.025</v>
      </c>
      <c r="E44" s="12" t="n">
        <v>0.04</v>
      </c>
      <c r="F44" s="22" t="n">
        <f aca="false">D44/(1-E44)</f>
        <v>0.0260416666666667</v>
      </c>
      <c r="G44" s="19" t="n">
        <f aca="false">I26</f>
        <v>25.4237288135593</v>
      </c>
      <c r="H44" s="19" t="n">
        <f aca="false">F44*G44</f>
        <v>0.662076271186441</v>
      </c>
      <c r="I44" s="20" t="s">
        <v>252</v>
      </c>
      <c r="J44" s="20"/>
    </row>
    <row r="45" customFormat="false" ht="15" hidden="false" customHeight="true" outlineLevel="0" collapsed="false">
      <c r="A45" s="23" t="s">
        <v>248</v>
      </c>
      <c r="B45" s="23"/>
      <c r="C45" s="24"/>
      <c r="D45" s="24"/>
      <c r="E45" s="24"/>
      <c r="F45" s="24"/>
      <c r="G45" s="24"/>
      <c r="H45" s="25" t="n">
        <f aca="false">SUM(H42:H44)</f>
        <v>2.17762786202795</v>
      </c>
    </row>
    <row r="47" customFormat="false" ht="15" hidden="false" customHeight="false" outlineLevel="0" collapsed="false">
      <c r="B47" s="21" t="s">
        <v>107</v>
      </c>
    </row>
    <row r="48" customFormat="false" ht="31.5" hidden="false" customHeight="true" outlineLevel="0" collapsed="false">
      <c r="A48" s="5" t="s">
        <v>41</v>
      </c>
      <c r="B48" s="5" t="s">
        <v>42</v>
      </c>
      <c r="C48" s="5" t="s">
        <v>108</v>
      </c>
      <c r="D48" s="5" t="s">
        <v>45</v>
      </c>
      <c r="E48" s="5" t="s">
        <v>109</v>
      </c>
      <c r="F48" s="5" t="s">
        <v>110</v>
      </c>
      <c r="G48" s="5" t="s">
        <v>111</v>
      </c>
    </row>
    <row r="49" customFormat="false" ht="25.5" hidden="false" customHeight="true" outlineLevel="0" collapsed="false">
      <c r="A49" s="15" t="n">
        <v>1</v>
      </c>
      <c r="B49" s="6" t="s">
        <v>237</v>
      </c>
      <c r="C49" s="26" t="n">
        <v>4</v>
      </c>
      <c r="D49" s="15" t="s">
        <v>79</v>
      </c>
      <c r="E49" s="18" t="s">
        <v>112</v>
      </c>
      <c r="F49" s="18" t="s">
        <v>113</v>
      </c>
      <c r="G49" s="17" t="n">
        <f aca="false">C49*I27</f>
        <v>61.0169491525424</v>
      </c>
    </row>
    <row r="50" customFormat="false" ht="25.5" hidden="false" customHeight="true" outlineLevel="0" collapsed="false">
      <c r="A50" s="15" t="n">
        <v>2</v>
      </c>
      <c r="B50" s="6" t="s">
        <v>239</v>
      </c>
      <c r="C50" s="26" t="n">
        <v>60</v>
      </c>
      <c r="D50" s="15" t="s">
        <v>79</v>
      </c>
      <c r="E50" s="18" t="s">
        <v>112</v>
      </c>
      <c r="F50" s="18" t="s">
        <v>113</v>
      </c>
      <c r="G50" s="17" t="n">
        <f aca="false">C50*I28</f>
        <v>355.932203389831</v>
      </c>
    </row>
    <row r="51" customFormat="false" ht="25.5" hidden="false" customHeight="true" outlineLevel="0" collapsed="false">
      <c r="A51" s="15" t="n">
        <v>3</v>
      </c>
      <c r="B51" s="6" t="s">
        <v>242</v>
      </c>
      <c r="C51" s="26" t="n">
        <v>500</v>
      </c>
      <c r="D51" s="15" t="s">
        <v>70</v>
      </c>
      <c r="E51" s="18" t="s">
        <v>114</v>
      </c>
      <c r="F51" s="18" t="s">
        <v>115</v>
      </c>
      <c r="G51" s="17" t="n">
        <f aca="false">C51*I29</f>
        <v>100</v>
      </c>
    </row>
    <row r="52" customFormat="false" ht="25.5" hidden="false" customHeight="true" outlineLevel="0" collapsed="false">
      <c r="A52" s="15" t="n">
        <v>4</v>
      </c>
      <c r="B52" s="6" t="s">
        <v>85</v>
      </c>
      <c r="C52" s="26" t="n">
        <v>2</v>
      </c>
      <c r="D52" s="15" t="s">
        <v>87</v>
      </c>
      <c r="E52" s="18" t="s">
        <v>114</v>
      </c>
      <c r="F52" s="18" t="s">
        <v>116</v>
      </c>
      <c r="G52" s="17" t="n">
        <f aca="false">C52*I30</f>
        <v>120</v>
      </c>
    </row>
    <row r="54" customFormat="false" ht="25.5" hidden="false" customHeight="true" outlineLevel="0" collapsed="false">
      <c r="B54" s="27" t="s">
        <v>117</v>
      </c>
      <c r="C54" s="28" t="n">
        <f aca="false">SUMIF(F49:F52,"CIF",G49:G52)</f>
        <v>416.949152542373</v>
      </c>
    </row>
    <row r="55" customFormat="false" ht="25.5" hidden="false" customHeight="true" outlineLevel="0" collapsed="false">
      <c r="B55" s="27" t="s">
        <v>118</v>
      </c>
      <c r="C55" s="28" t="n">
        <f aca="false">SUMIF(F49:F52,"Gasto administrativo",G49:G52)</f>
        <v>120</v>
      </c>
    </row>
    <row r="56" customFormat="false" ht="25.5" hidden="false" customHeight="true" outlineLevel="0" collapsed="false">
      <c r="B56" s="27" t="s">
        <v>119</v>
      </c>
      <c r="C56" s="28" t="n">
        <f aca="false">SUMIF(F49:F52,"Gasto de ventas",G49:G52)</f>
        <v>100</v>
      </c>
    </row>
    <row r="58" customFormat="false" ht="19.5" hidden="false" customHeight="true" outlineLevel="0" collapsed="false">
      <c r="A58" s="13" t="s">
        <v>124</v>
      </c>
      <c r="B58" s="13"/>
      <c r="C58" s="13"/>
      <c r="D58" s="13"/>
      <c r="E58" s="13"/>
      <c r="F58" s="13"/>
      <c r="G58" s="13"/>
      <c r="H58" s="13"/>
      <c r="I58" s="13"/>
      <c r="J58" s="13"/>
    </row>
    <row r="59" customFormat="false" ht="15.75" hidden="false" customHeight="true" outlineLevel="0" collapsed="false">
      <c r="B59" s="14" t="s">
        <v>125</v>
      </c>
      <c r="C59" s="14"/>
      <c r="D59" s="14"/>
      <c r="E59" s="14"/>
      <c r="F59" s="14"/>
      <c r="G59" s="14"/>
      <c r="H59" s="14"/>
      <c r="I59" s="14"/>
    </row>
    <row r="60" customFormat="false" ht="31.5" hidden="false" customHeight="true" outlineLevel="0" collapsed="false">
      <c r="B60" s="5" t="s">
        <v>126</v>
      </c>
      <c r="C60" s="5" t="s">
        <v>253</v>
      </c>
      <c r="D60" s="5" t="s">
        <v>254</v>
      </c>
      <c r="E60" s="5" t="s">
        <v>129</v>
      </c>
    </row>
    <row r="61" customFormat="false" ht="15" hidden="false" customHeight="false" outlineLevel="0" collapsed="false">
      <c r="B61" s="11" t="s">
        <v>130</v>
      </c>
      <c r="C61" s="26" t="n">
        <v>900</v>
      </c>
      <c r="D61" s="26" t="n">
        <v>500</v>
      </c>
      <c r="E61" s="29"/>
    </row>
    <row r="62" customFormat="false" ht="15" hidden="false" customHeight="false" outlineLevel="0" collapsed="false">
      <c r="B62" s="11" t="s">
        <v>131</v>
      </c>
      <c r="C62" s="26" t="n">
        <v>850</v>
      </c>
      <c r="D62" s="26" t="n">
        <v>480</v>
      </c>
      <c r="E62" s="29"/>
    </row>
    <row r="63" customFormat="false" ht="15" hidden="false" customHeight="false" outlineLevel="0" collapsed="false">
      <c r="B63" s="11" t="s">
        <v>132</v>
      </c>
      <c r="C63" s="26" t="n">
        <v>950</v>
      </c>
      <c r="D63" s="26" t="n">
        <v>520</v>
      </c>
      <c r="E63" s="29"/>
    </row>
    <row r="64" customFormat="false" ht="15" hidden="false" customHeight="false" outlineLevel="0" collapsed="false">
      <c r="B64" s="11" t="s">
        <v>133</v>
      </c>
      <c r="C64" s="26" t="n">
        <v>1000</v>
      </c>
      <c r="D64" s="26" t="n">
        <v>600</v>
      </c>
      <c r="E64" s="29"/>
    </row>
    <row r="65" customFormat="false" ht="15" hidden="false" customHeight="false" outlineLevel="0" collapsed="false">
      <c r="B65" s="11" t="s">
        <v>134</v>
      </c>
      <c r="C65" s="26" t="n">
        <v>950</v>
      </c>
      <c r="D65" s="26" t="n">
        <v>700</v>
      </c>
      <c r="E65" s="29"/>
    </row>
    <row r="66" customFormat="false" ht="15" hidden="false" customHeight="false" outlineLevel="0" collapsed="false">
      <c r="B66" s="11" t="s">
        <v>135</v>
      </c>
      <c r="C66" s="26" t="n">
        <v>850</v>
      </c>
      <c r="D66" s="26" t="n">
        <v>820</v>
      </c>
      <c r="E66" s="29"/>
    </row>
    <row r="67" customFormat="false" ht="15" hidden="false" customHeight="false" outlineLevel="0" collapsed="false">
      <c r="B67" s="11" t="s">
        <v>136</v>
      </c>
      <c r="C67" s="26" t="n">
        <v>900</v>
      </c>
      <c r="D67" s="26" t="n">
        <v>860</v>
      </c>
      <c r="E67" s="29"/>
    </row>
    <row r="68" customFormat="false" ht="15" hidden="false" customHeight="false" outlineLevel="0" collapsed="false">
      <c r="B68" s="11" t="s">
        <v>137</v>
      </c>
      <c r="C68" s="26" t="n">
        <v>1100</v>
      </c>
      <c r="D68" s="26" t="n">
        <v>900</v>
      </c>
      <c r="E68" s="29"/>
    </row>
    <row r="69" customFormat="false" ht="15" hidden="false" customHeight="false" outlineLevel="0" collapsed="false">
      <c r="B69" s="11" t="s">
        <v>138</v>
      </c>
      <c r="C69" s="26" t="n">
        <v>1150</v>
      </c>
      <c r="D69" s="26" t="n">
        <v>650</v>
      </c>
      <c r="E69" s="29"/>
    </row>
    <row r="70" customFormat="false" ht="15" hidden="false" customHeight="false" outlineLevel="0" collapsed="false">
      <c r="B70" s="11" t="s">
        <v>139</v>
      </c>
      <c r="C70" s="26" t="n">
        <v>1200</v>
      </c>
      <c r="D70" s="26" t="n">
        <v>600</v>
      </c>
      <c r="E70" s="29"/>
    </row>
    <row r="71" customFormat="false" ht="15" hidden="false" customHeight="false" outlineLevel="0" collapsed="false">
      <c r="B71" s="11" t="s">
        <v>140</v>
      </c>
      <c r="C71" s="26" t="n">
        <v>1250</v>
      </c>
      <c r="D71" s="26" t="n">
        <v>580</v>
      </c>
      <c r="E71" s="29"/>
    </row>
    <row r="72" customFormat="false" ht="15" hidden="false" customHeight="false" outlineLevel="0" collapsed="false">
      <c r="B72" s="11" t="s">
        <v>141</v>
      </c>
      <c r="C72" s="26" t="n">
        <v>1400</v>
      </c>
      <c r="D72" s="26" t="n">
        <v>700</v>
      </c>
      <c r="E72" s="29"/>
    </row>
    <row r="73" customFormat="false" ht="15" hidden="false" customHeight="false" outlineLevel="0" collapsed="false">
      <c r="B73" s="23" t="s">
        <v>142</v>
      </c>
      <c r="C73" s="30"/>
      <c r="D73" s="30"/>
      <c r="E73" s="30"/>
    </row>
    <row r="75" customFormat="false" ht="19.5" hidden="false" customHeight="true" outlineLevel="0" collapsed="false">
      <c r="A75" s="13" t="s">
        <v>144</v>
      </c>
      <c r="B75" s="13"/>
      <c r="C75" s="13"/>
      <c r="D75" s="13"/>
      <c r="E75" s="13"/>
      <c r="F75" s="13"/>
      <c r="G75" s="13"/>
      <c r="H75" s="13"/>
      <c r="I75" s="13"/>
      <c r="J75" s="13"/>
    </row>
    <row r="76" customFormat="false" ht="15" hidden="false" customHeight="true" outlineLevel="0" collapsed="false">
      <c r="B76" s="14" t="s">
        <v>145</v>
      </c>
      <c r="C76" s="14"/>
      <c r="D76" s="14"/>
      <c r="E76" s="14"/>
      <c r="F76" s="14"/>
      <c r="G76" s="14"/>
      <c r="H76" s="14"/>
      <c r="I76" s="14"/>
    </row>
    <row r="77" customFormat="false" ht="31.5" hidden="false" customHeight="true" outlineLevel="0" collapsed="false">
      <c r="B77" s="5" t="s">
        <v>126</v>
      </c>
      <c r="C77" s="5" t="s">
        <v>255</v>
      </c>
      <c r="D77" s="5" t="s">
        <v>256</v>
      </c>
    </row>
    <row r="78" customFormat="false" ht="15" hidden="false" customHeight="false" outlineLevel="0" collapsed="false">
      <c r="B78" s="11" t="s">
        <v>130</v>
      </c>
      <c r="C78" s="29"/>
      <c r="D78" s="29"/>
    </row>
    <row r="79" customFormat="false" ht="15" hidden="false" customHeight="false" outlineLevel="0" collapsed="false">
      <c r="B79" s="11" t="s">
        <v>131</v>
      </c>
      <c r="C79" s="29"/>
      <c r="D79" s="29"/>
    </row>
    <row r="80" customFormat="false" ht="15" hidden="false" customHeight="false" outlineLevel="0" collapsed="false">
      <c r="B80" s="11" t="s">
        <v>132</v>
      </c>
      <c r="C80" s="29"/>
      <c r="D80" s="29"/>
    </row>
    <row r="81" customFormat="false" ht="15" hidden="false" customHeight="false" outlineLevel="0" collapsed="false">
      <c r="B81" s="11" t="s">
        <v>133</v>
      </c>
      <c r="C81" s="29"/>
      <c r="D81" s="29"/>
    </row>
    <row r="82" customFormat="false" ht="15" hidden="false" customHeight="false" outlineLevel="0" collapsed="false">
      <c r="B82" s="11" t="s">
        <v>134</v>
      </c>
      <c r="C82" s="29"/>
      <c r="D82" s="29"/>
    </row>
    <row r="83" customFormat="false" ht="15" hidden="false" customHeight="false" outlineLevel="0" collapsed="false">
      <c r="B83" s="11" t="s">
        <v>135</v>
      </c>
      <c r="C83" s="29"/>
      <c r="D83" s="29"/>
    </row>
    <row r="84" customFormat="false" ht="15" hidden="false" customHeight="false" outlineLevel="0" collapsed="false">
      <c r="B84" s="11" t="s">
        <v>136</v>
      </c>
      <c r="C84" s="29"/>
      <c r="D84" s="29"/>
    </row>
    <row r="85" customFormat="false" ht="15" hidden="false" customHeight="false" outlineLevel="0" collapsed="false">
      <c r="B85" s="11" t="s">
        <v>137</v>
      </c>
      <c r="C85" s="29"/>
      <c r="D85" s="29"/>
    </row>
    <row r="86" customFormat="false" ht="15" hidden="false" customHeight="false" outlineLevel="0" collapsed="false">
      <c r="B86" s="11" t="s">
        <v>138</v>
      </c>
      <c r="C86" s="29"/>
      <c r="D86" s="29"/>
    </row>
    <row r="87" customFormat="false" ht="15" hidden="false" customHeight="false" outlineLevel="0" collapsed="false">
      <c r="B87" s="11" t="s">
        <v>139</v>
      </c>
      <c r="C87" s="29"/>
      <c r="D87" s="29"/>
    </row>
    <row r="88" customFormat="false" ht="15" hidden="false" customHeight="false" outlineLevel="0" collapsed="false">
      <c r="B88" s="11" t="s">
        <v>140</v>
      </c>
      <c r="C88" s="29"/>
      <c r="D88" s="29"/>
    </row>
    <row r="89" customFormat="false" ht="15" hidden="false" customHeight="false" outlineLevel="0" collapsed="false">
      <c r="B89" s="11" t="s">
        <v>141</v>
      </c>
      <c r="C89" s="29"/>
      <c r="D89" s="29"/>
    </row>
    <row r="90" customFormat="false" ht="15" hidden="false" customHeight="false" outlineLevel="0" collapsed="false">
      <c r="B90" s="23" t="s">
        <v>142</v>
      </c>
      <c r="C90" s="30"/>
      <c r="D90" s="30"/>
    </row>
    <row r="92" customFormat="false" ht="15" hidden="false" customHeight="false" outlineLevel="0" collapsed="false">
      <c r="B92" s="9" t="s">
        <v>257</v>
      </c>
    </row>
    <row r="93" customFormat="false" ht="36" hidden="false" customHeight="true" outlineLevel="0" collapsed="false">
      <c r="B93" s="35"/>
      <c r="C93" s="35"/>
      <c r="D93" s="35"/>
      <c r="E93" s="35"/>
      <c r="F93" s="35"/>
      <c r="G93" s="35"/>
    </row>
    <row r="95" customFormat="false" ht="19.5" hidden="false" customHeight="true" outlineLevel="0" collapsed="false">
      <c r="A95" s="13" t="s">
        <v>154</v>
      </c>
      <c r="B95" s="13"/>
      <c r="C95" s="13"/>
      <c r="D95" s="13"/>
      <c r="E95" s="13"/>
      <c r="F95" s="13"/>
      <c r="G95" s="13"/>
      <c r="H95" s="13"/>
      <c r="I95" s="13"/>
      <c r="J95" s="13"/>
    </row>
    <row r="96" customFormat="false" ht="15.75" hidden="false" customHeight="true" outlineLevel="0" collapsed="false">
      <c r="B96" s="14" t="s">
        <v>155</v>
      </c>
      <c r="C96" s="14"/>
      <c r="D96" s="14"/>
      <c r="E96" s="14"/>
      <c r="F96" s="14"/>
      <c r="G96" s="14"/>
      <c r="H96" s="14"/>
      <c r="I96" s="14"/>
    </row>
    <row r="97" customFormat="false" ht="15.75" hidden="false" customHeight="true" outlineLevel="0" collapsed="false">
      <c r="B97" s="4" t="s">
        <v>156</v>
      </c>
      <c r="C97" s="4"/>
      <c r="D97" s="4"/>
      <c r="E97" s="4"/>
      <c r="F97" s="4"/>
      <c r="G97" s="4"/>
      <c r="H97" s="4"/>
      <c r="I97" s="4"/>
    </row>
    <row r="98" customFormat="false" ht="31.5" hidden="false" customHeight="true" outlineLevel="0" collapsed="false">
      <c r="B98" s="5" t="s">
        <v>126</v>
      </c>
      <c r="C98" s="5" t="s">
        <v>255</v>
      </c>
      <c r="D98" s="5" t="s">
        <v>256</v>
      </c>
      <c r="E98" s="5" t="s">
        <v>159</v>
      </c>
      <c r="F98" s="5" t="s">
        <v>160</v>
      </c>
      <c r="G98" s="5" t="s">
        <v>161</v>
      </c>
    </row>
    <row r="99" customFormat="false" ht="15" hidden="false" customHeight="false" outlineLevel="0" collapsed="false">
      <c r="B99" s="11" t="s">
        <v>130</v>
      </c>
      <c r="C99" s="29"/>
      <c r="D99" s="29"/>
      <c r="E99" s="32"/>
      <c r="F99" s="32"/>
      <c r="G99" s="33"/>
    </row>
    <row r="100" customFormat="false" ht="15" hidden="false" customHeight="false" outlineLevel="0" collapsed="false">
      <c r="B100" s="11" t="s">
        <v>131</v>
      </c>
      <c r="C100" s="29"/>
      <c r="D100" s="29"/>
      <c r="E100" s="32"/>
      <c r="F100" s="32"/>
      <c r="G100" s="33"/>
    </row>
    <row r="101" customFormat="false" ht="15" hidden="false" customHeight="false" outlineLevel="0" collapsed="false">
      <c r="B101" s="11" t="s">
        <v>132</v>
      </c>
      <c r="C101" s="29"/>
      <c r="D101" s="29"/>
      <c r="E101" s="32"/>
      <c r="F101" s="32"/>
      <c r="G101" s="33"/>
    </row>
    <row r="102" customFormat="false" ht="15" hidden="false" customHeight="false" outlineLevel="0" collapsed="false">
      <c r="B102" s="11" t="s">
        <v>133</v>
      </c>
      <c r="C102" s="29"/>
      <c r="D102" s="29"/>
      <c r="E102" s="32"/>
      <c r="F102" s="32"/>
      <c r="G102" s="33"/>
    </row>
    <row r="103" customFormat="false" ht="15" hidden="false" customHeight="false" outlineLevel="0" collapsed="false">
      <c r="B103" s="11" t="s">
        <v>134</v>
      </c>
      <c r="C103" s="29"/>
      <c r="D103" s="29"/>
      <c r="E103" s="32"/>
      <c r="F103" s="32"/>
      <c r="G103" s="33"/>
    </row>
    <row r="104" customFormat="false" ht="15" hidden="false" customHeight="false" outlineLevel="0" collapsed="false">
      <c r="B104" s="11" t="s">
        <v>135</v>
      </c>
      <c r="C104" s="29"/>
      <c r="D104" s="29"/>
      <c r="E104" s="32"/>
      <c r="F104" s="32"/>
      <c r="G104" s="33"/>
    </row>
    <row r="105" customFormat="false" ht="15" hidden="false" customHeight="false" outlineLevel="0" collapsed="false">
      <c r="B105" s="11" t="s">
        <v>136</v>
      </c>
      <c r="C105" s="29"/>
      <c r="D105" s="29"/>
      <c r="E105" s="32"/>
      <c r="F105" s="32"/>
      <c r="G105" s="33"/>
    </row>
    <row r="106" customFormat="false" ht="15" hidden="false" customHeight="false" outlineLevel="0" collapsed="false">
      <c r="B106" s="11" t="s">
        <v>137</v>
      </c>
      <c r="C106" s="29"/>
      <c r="D106" s="29"/>
      <c r="E106" s="32"/>
      <c r="F106" s="32"/>
      <c r="G106" s="33"/>
    </row>
    <row r="107" customFormat="false" ht="15" hidden="false" customHeight="false" outlineLevel="0" collapsed="false">
      <c r="B107" s="11" t="s">
        <v>138</v>
      </c>
      <c r="C107" s="29"/>
      <c r="D107" s="29"/>
      <c r="E107" s="32"/>
      <c r="F107" s="32"/>
      <c r="G107" s="33"/>
    </row>
    <row r="108" customFormat="false" ht="15" hidden="false" customHeight="false" outlineLevel="0" collapsed="false">
      <c r="B108" s="11" t="s">
        <v>139</v>
      </c>
      <c r="C108" s="29"/>
      <c r="D108" s="29"/>
      <c r="E108" s="32"/>
      <c r="F108" s="32"/>
      <c r="G108" s="33"/>
    </row>
    <row r="109" customFormat="false" ht="15" hidden="false" customHeight="false" outlineLevel="0" collapsed="false">
      <c r="B109" s="11" t="s">
        <v>140</v>
      </c>
      <c r="C109" s="29"/>
      <c r="D109" s="29"/>
      <c r="E109" s="32"/>
      <c r="F109" s="32"/>
      <c r="G109" s="33"/>
    </row>
    <row r="110" customFormat="false" ht="15" hidden="false" customHeight="false" outlineLevel="0" collapsed="false">
      <c r="B110" s="11" t="s">
        <v>141</v>
      </c>
      <c r="C110" s="29"/>
      <c r="D110" s="29"/>
      <c r="E110" s="32"/>
      <c r="F110" s="32"/>
      <c r="G110" s="33"/>
    </row>
    <row r="111" customFormat="false" ht="15" hidden="false" customHeight="false" outlineLevel="0" collapsed="false">
      <c r="B111" s="23" t="s">
        <v>142</v>
      </c>
      <c r="C111" s="30"/>
      <c r="D111" s="30"/>
      <c r="E111" s="34"/>
      <c r="F111" s="34"/>
      <c r="G111" s="34"/>
    </row>
  </sheetData>
  <mergeCells count="29">
    <mergeCell ref="A1:J1"/>
    <mergeCell ref="A2:J2"/>
    <mergeCell ref="B5:I5"/>
    <mergeCell ref="B7:I7"/>
    <mergeCell ref="B8:I8"/>
    <mergeCell ref="B9:I9"/>
    <mergeCell ref="C11:G11"/>
    <mergeCell ref="C12:G12"/>
    <mergeCell ref="A16:J16"/>
    <mergeCell ref="B17:I17"/>
    <mergeCell ref="B31:I31"/>
    <mergeCell ref="I34:J34"/>
    <mergeCell ref="I35:J35"/>
    <mergeCell ref="I36:J36"/>
    <mergeCell ref="I37:J37"/>
    <mergeCell ref="A38:B38"/>
    <mergeCell ref="I41:J41"/>
    <mergeCell ref="I42:J42"/>
    <mergeCell ref="I43:J43"/>
    <mergeCell ref="I44:J44"/>
    <mergeCell ref="A45:B45"/>
    <mergeCell ref="A58:J58"/>
    <mergeCell ref="B59:I59"/>
    <mergeCell ref="A75:J75"/>
    <mergeCell ref="B76:I76"/>
    <mergeCell ref="B93:G93"/>
    <mergeCell ref="A95:J95"/>
    <mergeCell ref="B96:I96"/>
    <mergeCell ref="B97:I9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2026-10-06T10:14:00Z</dcterms:created>
  <dc:creator>openpyxl</dc:creator>
  <dc:description/>
  <dc:language>en-US</dc:language>
  <cp:lastModifiedBy/>
  <dcterms:modified xsi:type="dcterms:W3CDTF">2026-10-06T10:14:00Z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