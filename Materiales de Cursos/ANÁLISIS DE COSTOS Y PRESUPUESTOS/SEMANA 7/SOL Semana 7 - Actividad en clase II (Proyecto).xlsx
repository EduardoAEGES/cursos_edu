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ciones" sheetId="1" state="visible" r:id="rId3"/>
    <sheet name="1. Revelado de fotos" sheetId="2" state="visible" r:id="rId4"/>
    <sheet name="2. Pijamas" sheetId="3" state="visible" r:id="rId5"/>
    <sheet name="3. Curso de guión" sheetId="4" state="visible" r:id="rId6"/>
    <sheet name="4. Restobar cervecero" sheetId="5" state="visible" r:id="rId7"/>
    <sheet name="5. Chocolate blanco" sheetId="6" state="visible" r:id="rId8"/>
    <sheet name="6. Queque de manzan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<sst xmlns="http://schemas.openxmlformats.org/spreadsheetml/2006/main" count="2408" uniqueCount="391">
  <si>
    <t xml:space="preserve">AVANCE DE LOS PROYECTOS – SEMANA 7 (martes 29-sep) · SOLUCIONARIO</t>
  </si>
  <si>
    <t xml:space="preserve">Análisis de Costos y Presupuestos · Marketing III · 2026-II · Docente: Mamani Roque, Eduardo Luis</t>
  </si>
  <si>
    <t xml:space="preserve">→</t>
  </si>
  <si>
    <t xml:space="preserve">Cada equipo trabaja la pestaña de su proyecto. Los datos ya están listos; ustedes completan las celdas amarillas con fórmulas.</t>
  </si>
  <si>
    <t xml:space="preserve">Hoy se avanza la materia prima y las tres primeras cédulas del presupuesto maestro: ventas (C1), producción (C2) y compras de materiales (C3).</t>
  </si>
  <si>
    <t xml:space="preserve">Los precios son referenciales (septiembre de 2026) y cada material indica dónde se consulta. Si consiguen una cotización real, la cambian y citan la fuente en las Referencias.</t>
  </si>
  <si>
    <t xml:space="preserve">Bloque</t>
  </si>
  <si>
    <t xml:space="preserve">Dónde va en el Informe Final</t>
  </si>
  <si>
    <t xml:space="preserve">Bloque 1 · Materiales</t>
  </si>
  <si>
    <t xml:space="preserve">5.2.1 Costos directos: tablas 1b (materia prima por unidad, con el sustento de la merma) y 1c (materiales del mes). La tabla 1a va al Anexo A.4.</t>
  </si>
  <si>
    <t xml:space="preserve">Bloque 2 · C1 Ventas</t>
  </si>
  <si>
    <t xml:space="preserve">5.6.1 Presupuesto de ventas: columnas de unidades. Los soles se completan el 13-oct.</t>
  </si>
  <si>
    <t xml:space="preserve">Bloque 3 · C2 Producción</t>
  </si>
  <si>
    <t xml:space="preserve">5.5.2 Presupuesto operativo: tabla de producción.</t>
  </si>
  <si>
    <t xml:space="preserve">Bloque 4 · C3 Compras</t>
  </si>
  <si>
    <t xml:space="preserve">5.5.2 Presupuesto operativo: resumen mensual de compras. El detalle por material va en el Anexo A.4.</t>
  </si>
  <si>
    <t xml:space="preserve">Para no equivocarse</t>
  </si>
  <si>
    <t xml:space="preserve">Huevos, manzana y demás frutas y verduras frescas están exonerados de IGV: el valor sin IGV es el mismo precio pagado.</t>
  </si>
  <si>
    <t xml:space="preserve">El consumo bruto incluye la merma: consumo neto ÷ (1 − % de merma). Cada merma tiene su explicación en la tabla 1b; úsenla para sustentarla en el informe.</t>
  </si>
  <si>
    <t xml:space="preserve">Producción = ventas + inventario final deseado − inventario inicial. Compras = requerimiento + inventario final deseado − inventario inicial.</t>
  </si>
  <si>
    <t xml:space="preserve">El inventario inicial de cada mes es el inventario final del mes anterior.</t>
  </si>
  <si>
    <t xml:space="preserve">Limpieza del local y bolsas o cajas de despacho no son materia prima: son gastos.</t>
  </si>
  <si>
    <t xml:space="preserve">Celda amarilla</t>
  </si>
  <si>
    <t xml:space="preserve">Lo que completa el equipo.</t>
  </si>
  <si>
    <t xml:space="preserve">Celda blanca</t>
  </si>
  <si>
    <t xml:space="preserve">Dato del proyecto.</t>
  </si>
  <si>
    <t xml:space="preserve">Texto rojo oscuro</t>
  </si>
  <si>
    <t xml:space="preserve">Lo que se copia al Informe Final. Lo demás queda como respaldo en el Anexo A.4.</t>
  </si>
  <si>
    <t xml:space="preserve">Laboratorio fotográfico «Foto Express Arequipa» – revelado de fotos a color</t>
  </si>
  <si>
    <t xml:space="preserve">Avance del proyecto · Semana 7 · Materia prima, ventas, producción y compras · Primer año de operación: enero a diciembre de 2027 · SOLUCIONARIO</t>
  </si>
  <si>
    <t xml:space="preserve">DATOS DEL CASO</t>
  </si>
  <si>
    <t xml:space="preserve">Imprime fotos desde archivos digitales en el Cercado de Arequipa.</t>
  </si>
  <si>
    <t xml:space="preserve">Es un servicio: no guarda fotos impresas en stock, así que lo que se imprime en el mes es lo que se vende.</t>
  </si>
  <si>
    <t xml:space="preserve">Temporadas altas: mayo (Día de la Madre), agosto (aniversario de Arequipa) y diciembre (Navidad y graduaciones).</t>
  </si>
  <si>
    <t xml:space="preserve">IGV</t>
  </si>
  <si>
    <t xml:space="preserve">Línea A</t>
  </si>
  <si>
    <t xml:space="preserve">Foto 10×15 cm glossy (por foto)</t>
  </si>
  <si>
    <t xml:space="preserve">Línea B</t>
  </si>
  <si>
    <t xml:space="preserve">Ampliación A4 (por ampliación)</t>
  </si>
  <si>
    <t xml:space="preserve">BLOQUE 1 · Materiales: compra comercial, consumo y costo por unidad</t>
  </si>
  <si>
    <t xml:space="preserve">→ Va en el informe, punto 5.2.1: las tablas 1b y 1c (en rojo). La tabla 1a queda en el Anexo A.4.</t>
  </si>
  <si>
    <t xml:space="preserve">1a. Compra comercial</t>
  </si>
  <si>
    <t xml:space="preserve">N.°</t>
  </si>
  <si>
    <t xml:space="preserve">Material</t>
  </si>
  <si>
    <t xml:space="preserve">Presentación</t>
  </si>
  <si>
    <t xml:space="preserve">Contenido</t>
  </si>
  <si>
    <t xml:space="preserve">Unidad</t>
  </si>
  <si>
    <t xml:space="preserve">Precio pagado (S/)</t>
  </si>
  <si>
    <t xml:space="preserve">¿Afecto a IGV?</t>
  </si>
  <si>
    <t xml:space="preserve">Valor sin IGV (S/)</t>
  </si>
  <si>
    <t xml:space="preserve">Costo por unidad de medida (S/)</t>
  </si>
  <si>
    <t xml:space="preserve">Fuente de referencia del precio</t>
  </si>
  <si>
    <t xml:space="preserve">Papel fotográfico glossy 10×15 cm, 260 g</t>
  </si>
  <si>
    <t xml:space="preserve">Caja x 500 hojas</t>
  </si>
  <si>
    <t xml:space="preserve">hoja</t>
  </si>
  <si>
    <t xml:space="preserve">Sí</t>
  </si>
  <si>
    <t xml:space="preserve">Tiendas de insumos fotográficos del Cercado de Arequipa / Mercado Libre Perú</t>
  </si>
  <si>
    <t xml:space="preserve">Papel fotográfico glossy A4, 260 g</t>
  </si>
  <si>
    <t xml:space="preserve">Paquete x 100 hojas</t>
  </si>
  <si>
    <t xml:space="preserve">Tinta Epson 057 (kit de 6 frascos x 70 ml)</t>
  </si>
  <si>
    <t xml:space="preserve">Kit x 420 ml</t>
  </si>
  <si>
    <t xml:space="preserve">ml</t>
  </si>
  <si>
    <t xml:space="preserve">Tienda Epson Perú (epson.com.pe) / distribuidores autorizados</t>
  </si>
  <si>
    <t xml:space="preserve">Solución para cabezales y hojas de calibración</t>
  </si>
  <si>
    <t xml:space="preserve">Kit</t>
  </si>
  <si>
    <t xml:space="preserve">kit</t>
  </si>
  <si>
    <t xml:space="preserve">Mercado Libre Perú</t>
  </si>
  <si>
    <t xml:space="preserve">Guantes de algodón y paños antiestáticos</t>
  </si>
  <si>
    <t xml:space="preserve">Paquete</t>
  </si>
  <si>
    <t xml:space="preserve">paquete</t>
  </si>
  <si>
    <t xml:space="preserve">Sobres impresos para entregar pedidos</t>
  </si>
  <si>
    <t xml:space="preserve">Millar</t>
  </si>
  <si>
    <t xml:space="preserve">unidad</t>
  </si>
  <si>
    <t xml:space="preserve">Imprentas del Cercado de Arequipa</t>
  </si>
  <si>
    <t xml:space="preserve">Productos de limpieza del local</t>
  </si>
  <si>
    <t xml:space="preserve">Makro Perú (formato mayorista)</t>
  </si>
  <si>
    <t xml:space="preserve">→ Si el material no paga IGV, el valor sin IGV es el mismo precio pagado.</t>
  </si>
  <si>
    <t xml:space="preserve">→ Precios referenciales de septiembre de 2026. Antes de cerrar el informe, confirmen con una cotización real y citen la fuente en las Referencias.</t>
  </si>
  <si>
    <t xml:space="preserve">1b. Consumo por unidad – Línea A: Foto 10×15 cm glossy  (tabla para el informe)</t>
  </si>
  <si>
    <t xml:space="preserve">Consumo neto</t>
  </si>
  <si>
    <t xml:space="preserve">% de merma</t>
  </si>
  <si>
    <t xml:space="preserve">Consumo bruto</t>
  </si>
  <si>
    <t xml:space="preserve">Costo por foto (S/)</t>
  </si>
  <si>
    <t xml:space="preserve">¿Por qué hay merma?</t>
  </si>
  <si>
    <t xml:space="preserve">Fotos que salen con franjas o color errado y se vuelven a imprimir.</t>
  </si>
  <si>
    <t xml:space="preserve">La impresora gasta tinta en sus limpiezas automáticas de cabezal.</t>
  </si>
  <si>
    <t xml:space="preserve">COSTO DE MATERIA PRIMA DIRECTA POR FOTO</t>
  </si>
  <si>
    <t xml:space="preserve">1b. Consumo por unidad – Línea B: Ampliación A4  (tabla para el informe)</t>
  </si>
  <si>
    <t xml:space="preserve">Costo por ampliación (S/)</t>
  </si>
  <si>
    <t xml:space="preserve">Pruebas de color y ampliaciones que se reimprimen.</t>
  </si>
  <si>
    <t xml:space="preserve">COSTO DE MATERIA PRIMA DIRECTA POR AMPLIACIÓN</t>
  </si>
  <si>
    <t xml:space="preserve">1c. Materiales que se consumen por mes (tabla para el informe)</t>
  </si>
  <si>
    <t xml:space="preserve">Consumo del mes</t>
  </si>
  <si>
    <t xml:space="preserve">Clasificación</t>
  </si>
  <si>
    <t xml:space="preserve">Va a</t>
  </si>
  <si>
    <t xml:space="preserve">Costo del mes (S/)</t>
  </si>
  <si>
    <t xml:space="preserve">MPI</t>
  </si>
  <si>
    <t xml:space="preserve">CIF</t>
  </si>
  <si>
    <t xml:space="preserve">No es materia prima</t>
  </si>
  <si>
    <t xml:space="preserve">Gasto de ventas</t>
  </si>
  <si>
    <t xml:space="preserve">Gasto administrativo</t>
  </si>
  <si>
    <t xml:space="preserve">Materia prima indirecta del mes (se suma a los CIF)</t>
  </si>
  <si>
    <t xml:space="preserve">Materiales que son gasto administrativo</t>
  </si>
  <si>
    <t xml:space="preserve">Materiales que son gasto de ventas</t>
  </si>
  <si>
    <t xml:space="preserve">→ La limpieza y lo que se usa para despachar al cliente no son materia prima: son gastos.</t>
  </si>
  <si>
    <t xml:space="preserve">BLOQUE 2 · C1 Presupuesto de ventas en unidades</t>
  </si>
  <si>
    <t xml:space="preserve">→ Va en el informe, punto 5.6.1 (columnas de unidades). Los soles se agregan el martes 13-oct, cuando se fije el precio.</t>
  </si>
  <si>
    <t xml:space="preserve">Tabla para el informe: C1 Presupuesto de ventas en unidades</t>
  </si>
  <si>
    <t xml:space="preserve">Mes</t>
  </si>
  <si>
    <t xml:space="preserve">Línea A (foto)</t>
  </si>
  <si>
    <t xml:space="preserve">Línea B (ampliación)</t>
  </si>
  <si>
    <t xml:space="preserve">Total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</si>
  <si>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</si>
  <si>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</si>
  <si>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</si>
  <si>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</si>
  <si>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</si>
  <si>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</si>
  <si>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</si>
  <si>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</si>
  <si>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</si>
  <si>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Oct-27</t>
  </si>
  <si>
    <t xml:space="preserve">Nov-27</t>
  </si>
  <si>
    <t xml:space="preserve">Dic-27</t>
  </si>
  <si>
    <t xml:space="preserve">TOTAL 2027</t>
  </si>
  <si>
    <t xml:space="preserve">Ene-28 (solo para inventarios)</t>
  </si>
  <si>
    <t xml:space="preserve">—</t>
  </si>
  <si>
    <t xml:space="preserve">Feb-28 (solo para inventarios)</t>
  </si>
  <si>
    <t xml:space="preserve">BLOQUE 3 · C2 Presupuesto de producción</t>
  </si>
  <si>
    <t xml:space="preserve">→ Va en el informe, punto 5.5.2: la tabla de producción de cada línea.</t>
  </si>
  <si>
    <t xml:space="preserve">→ Servicio sin stock de producto terminado: lo que se produce en el mes es lo que se vende.</t>
  </si>
  <si>
    <t xml:space="preserve">Tabla para el informe: C2 Unidades a producir por mes</t>
  </si>
  <si>
    <t xml:space="preserve">Ene-28 (para compras de dic.)</t>
  </si>
  <si>
    <t xml:space="preserve">BLOQUE 4 · C3 Presupuesto de compras de materiales</t>
  </si>
  <si>
    <t xml:space="preserve">→ Va en el informe, punto 5.5.2: solo el resumen mensual del final (en rojo). El detalle de cada material queda en el Anexo A.4.</t>
  </si>
  <si>
    <t xml:space="preserve">→ Se trabaja en unidades de medida (kg, m, unidades). En la práctica se compra por presentación completa.</t>
  </si>
  <si>
    <t xml:space="preserve">Material 1: Papel fotográfico glossy 10×15 cm, 260 g (hoja)</t>
  </si>
  <si>
    <t xml:space="preserve">Inventario final deseado (% del requerimiento del mes siguiente)</t>
  </si>
  <si>
    <t xml:space="preserve">Inventario inicial al 1-ene (hoja)</t>
  </si>
  <si>
    <t xml:space="preserve">Requerimiento línea A</t>
  </si>
  <si>
    <t xml:space="preserve">Requerimiento línea B</t>
  </si>
  <si>
    <t xml:space="preserve">(=) Requerimiento total</t>
  </si>
  <si>
    <t xml:space="preserve">(+) Inventario final deseado</t>
  </si>
  <si>
    <t xml:space="preserve">(−) Inventario inicial</t>
  </si>
  <si>
    <t xml:space="preserve">(=) Compras</t>
  </si>
  <si>
    <t xml:space="preserve">IGV (S/)</t>
  </si>
  <si>
    <t xml:space="preserve">Total a pagar (S/)</t>
  </si>
  <si>
    <t xml:space="preserve">Ene-28 (solo requerimiento)</t>
  </si>
  <si>
    <t xml:space="preserve">Material 2: Papel fotográfico glossy A4, 260 g (hoja)</t>
  </si>
  <si>
    <t xml:space="preserve">Material 3: Tinta Epson 057 (kit de 6 frascos x 70 ml) (ml)</t>
  </si>
  <si>
    <t xml:space="preserve">Inventario inicial al 1-ene (ml)</t>
  </si>
  <si>
    <t xml:space="preserve">Tabla para el informe: resumen mensual de compras de materiales</t>
  </si>
  <si>
    <t xml:space="preserve">Taller «Dulces Sueños» – pijamas de franela</t>
  </si>
  <si>
    <t xml:space="preserve">Taller en Cerro Colorado. Compra telas en rollo en Gamarra y avíos en Arequipa.</t>
  </si>
  <si>
    <t xml:space="preserve">Política: dejar en almacén el 20 % de las ventas del mes siguiente. Inventario inicial de enero: 60 pijamas adulto y 45 infantiles.</t>
  </si>
  <si>
    <t xml:space="preserve">Temporadas altas: mayo (Día de la Madre), junio y julio (invierno) y diciembre (Navidad).</t>
  </si>
  <si>
    <t xml:space="preserve">Pijama adulto de franela, manga larga (por pijama)</t>
  </si>
  <si>
    <t xml:space="preserve">Pijama infantil de franela (por pijama)</t>
  </si>
  <si>
    <t xml:space="preserve">Tela franela 100 % algodón, ancho 1.60 m</t>
  </si>
  <si>
    <t xml:space="preserve">Rollo x 50 m</t>
  </si>
  <si>
    <t xml:space="preserve">m</t>
  </si>
  <si>
    <t xml:space="preserve">Tiendas de telas de Gamarra (La Victoria, Lima)</t>
  </si>
  <si>
    <t xml:space="preserve">Rib acanalado para puños y cuello</t>
  </si>
  <si>
    <t xml:space="preserve">Bolsa x 5 kg</t>
  </si>
  <si>
    <t xml:space="preserve">kg</t>
  </si>
  <si>
    <t xml:space="preserve">Elástico plano de 3 cm</t>
  </si>
  <si>
    <t xml:space="preserve">Tiendas de avíos del Cercado de Arequipa</t>
  </si>
  <si>
    <t xml:space="preserve">Botones de 4 agujeros de 15 mm</t>
  </si>
  <si>
    <t xml:space="preserve">Bolsa x 144</t>
  </si>
  <si>
    <t xml:space="preserve">Etiqueta tejida de marca</t>
  </si>
  <si>
    <t xml:space="preserve">Fabricantes de etiquetas textiles de Lima (pedido por millar)</t>
  </si>
  <si>
    <t xml:space="preserve">Etiqueta de talla y composición</t>
  </si>
  <si>
    <t xml:space="preserve">Bolsa individual con solapa (empaque de la prenda)</t>
  </si>
  <si>
    <t xml:space="preserve">Distribuidoras de empaques y descartables de Arequipa</t>
  </si>
  <si>
    <t xml:space="preserve">Hilo poliéster 40/2 para costura y remalle</t>
  </si>
  <si>
    <t xml:space="preserve">Cono x 5,000 m</t>
  </si>
  <si>
    <t xml:space="preserve">cono</t>
  </si>
  <si>
    <t xml:space="preserve">Agujas para máquina industrial</t>
  </si>
  <si>
    <t xml:space="preserve">Caja x 100</t>
  </si>
  <si>
    <t xml:space="preserve">caja</t>
  </si>
  <si>
    <t xml:space="preserve">Aceite para máquinas de coser</t>
  </si>
  <si>
    <t xml:space="preserve">Galón de 3.8 L</t>
  </si>
  <si>
    <t xml:space="preserve">galón</t>
  </si>
  <si>
    <t xml:space="preserve">Tiza de sastre y papel para moldes</t>
  </si>
  <si>
    <t xml:space="preserve">Bolsas de despacho con logo</t>
  </si>
  <si>
    <t xml:space="preserve">Detergente, escobas y trapeadores</t>
  </si>
  <si>
    <t xml:space="preserve">1b. Consumo por unidad – Línea A: Pijama adulto de franela, manga larga  (tabla para el informe)</t>
  </si>
  <si>
    <t xml:space="preserve">Costo por pijama (S/)</t>
  </si>
  <si>
    <t xml:space="preserve">Retazos del tendido y corte, y encogimiento al lavar la tela.</t>
  </si>
  <si>
    <t xml:space="preserve">Recortes al ajustar puños y cuello a cada talla.</t>
  </si>
  <si>
    <t xml:space="preserve">Sobrantes al cortar el elástico a la medida de cada talla.</t>
  </si>
  <si>
    <t xml:space="preserve">Botones defectuosos o que se pierden en la costura.</t>
  </si>
  <si>
    <t xml:space="preserve">Etiquetas que se dañan al coserlas.</t>
  </si>
  <si>
    <t xml:space="preserve">Sin merma: se usa una bolsa por prenda.</t>
  </si>
  <si>
    <t xml:space="preserve">COSTO DE MATERIA PRIMA DIRECTA POR PIJAMA</t>
  </si>
  <si>
    <t xml:space="preserve">1b. Consumo por unidad – Línea B: Pijama infantil de franela  (tabla para el informe)</t>
  </si>
  <si>
    <t xml:space="preserve">Línea A (pijama)</t>
  </si>
  <si>
    <t xml:space="preserve">Línea B (pijama)</t>
  </si>
  <si>
    <t xml:space="preserve">Inventario final deseado (% de las ventas del mes siguiente)</t>
  </si>
  <si>
    <t xml:space="preserve">Inventario inicial de la línea A al 1-ene (pijama)</t>
  </si>
  <si>
    <t xml:space="preserve">Tabla para el informe: C2 Producción – Línea A: Pijama adulto de franela, manga larga</t>
  </si>
  <si>
    <t xml:space="preserve">Ventas</t>
  </si>
  <si>
    <t xml:space="preserve">(=) Necesidad total</t>
  </si>
  <si>
    <t xml:space="preserve">(=) Producción</t>
  </si>
  <si>
    <t xml:space="preserve">Inventario inicial de la línea B al 1-ene (pijama)</t>
  </si>
  <si>
    <t xml:space="preserve">Tabla para el informe: C2 Producción – Línea B: Pijama infantil de franela</t>
  </si>
  <si>
    <t xml:space="preserve">Material 1: Tela franela 100 % algodón, ancho 1.60 m (m)</t>
  </si>
  <si>
    <t xml:space="preserve">Inventario inicial al 1-ene (m)</t>
  </si>
  <si>
    <t xml:space="preserve">Material 2: Rib acanalado para puños y cuello (kg)</t>
  </si>
  <si>
    <t xml:space="preserve">Inventario inicial al 1-ene (kg)</t>
  </si>
  <si>
    <t xml:space="preserve">Material 3: Elástico plano de 3 cm (m)</t>
  </si>
  <si>
    <t xml:space="preserve">Material 4: Botones de 4 agujeros de 15 mm (unidad)</t>
  </si>
  <si>
    <t xml:space="preserve">Inventario inicial al 1-ene (unidad)</t>
  </si>
  <si>
    <t xml:space="preserve">Material 5: Etiqueta tejida de marca (unidad)</t>
  </si>
  <si>
    <t xml:space="preserve">Material 6: Etiqueta de talla y composición (unidad)</t>
  </si>
  <si>
    <t xml:space="preserve">Material 7: Bolsa individual con solapa (empaque de la prenda) (unidad)</t>
  </si>
  <si>
    <t xml:space="preserve">Escuela «Guion Lab Arequipa» – cursos virtuales de creación de guión</t>
  </si>
  <si>
    <t xml:space="preserve">Todos los cursos son virtuales, en vivo por Zoom, con grupos de hasta 20 alumnos. Se costea por alumno.</t>
  </si>
  <si>
    <t xml:space="preserve">Curso A: taller corto de 3 sesiones de 1.5 h (4.5 horas). Curso B: curso completo de 6 sesiones de 1.5 h (9 horas).</t>
  </si>
  <si>
    <t xml:space="preserve">Temporadas: julio (vacaciones de medio año) sube; marzo y diciembre bajan.</t>
  </si>
  <si>
    <t xml:space="preserve">Taller virtual de guión – 3 sesiones (por alumno)</t>
  </si>
  <si>
    <t xml:space="preserve">Curso virtual de guión – 6 sesiones (por alumno)</t>
  </si>
  <si>
    <t xml:space="preserve">Volantes impresos para ferias y universidades</t>
  </si>
  <si>
    <t xml:space="preserve">Papel bond y tóner para la impresora de oficina</t>
  </si>
  <si>
    <t xml:space="preserve">Tai Loy / Makro Perú</t>
  </si>
  <si>
    <t xml:space="preserve">1b. ¿Este servicio tiene materia prima directa? Explique:</t>
  </si>
  <si>
    <t xml:space="preserve">No. Los cursos son virtuales: no se transforma ningún material y todo se entrega en digital. Su costo principal es el instructor (mano de obra) y los costos indirectos del dictado, como Zoom y la plataforma.</t>
  </si>
  <si>
    <t xml:space="preserve">Línea A (alumno)</t>
  </si>
  <si>
    <t xml:space="preserve">Línea B (alumno)</t>
  </si>
  <si>
    <t xml:space="preserve">Alumnos por grupo (máximo)</t>
  </si>
  <si>
    <t xml:space="preserve">Horas por grupo – taller de 3 sesiones</t>
  </si>
  <si>
    <t xml:space="preserve">Horas por grupo – curso de 6 sesiones</t>
  </si>
  <si>
    <t xml:space="preserve">→ En un curso la «producción» son los grupos que hay que abrir. Las horas de dictado se usan el jueves 1-oct para la mano de obra.</t>
  </si>
  <si>
    <t xml:space="preserve">Tabla para el informe: C2 Grupos y horas de dictado</t>
  </si>
  <si>
    <t xml:space="preserve">Alumnos taller (3 sesiones)</t>
  </si>
  <si>
    <t xml:space="preserve">Grupos taller</t>
  </si>
  <si>
    <t xml:space="preserve">Alumnos curso (6 sesiones)</t>
  </si>
  <si>
    <t xml:space="preserve">Grupos curso</t>
  </si>
  <si>
    <t xml:space="preserve">Horas de dictado</t>
  </si>
  <si>
    <t xml:space="preserve">→ No aplica: el curso no compra materia prima directa. Los materiales del mes (1c) se cargan directamente a CIF o a gastos.</t>
  </si>
  <si>
    <t xml:space="preserve">Restobar «La Tabla Cervecera» – cerveza artesanal y juegos de mesa</t>
  </si>
  <si>
    <t xml:space="preserve">Restobar en Yanahuara que solo vende cerveza artesanal de cervecerías locales, servida en pinta desde chopera.</t>
  </si>
  <si>
    <t xml:space="preserve">La cerveza se compra en barriles de 20 L: es mercadería para reventa, no se produce en el local.</t>
  </si>
  <si>
    <t xml:space="preserve">Dos estilos: Golden Ale (suave, la más pedida) e IPA (más amarga y con más lúpulo, barril más caro).</t>
  </si>
  <si>
    <t xml:space="preserve">Temporadas altas: julio, agosto (aniversario de Arequipa) y diciembre.</t>
  </si>
  <si>
    <t xml:space="preserve">Pinta de cerveza artesanal Golden Ale (500 ml) (por pinta)</t>
  </si>
  <si>
    <t xml:space="preserve">Pinta de cerveza artesanal IPA (500 ml) (por pinta)</t>
  </si>
  <si>
    <t xml:space="preserve">Cerveza artesanal Golden Ale en barril (keg)</t>
  </si>
  <si>
    <t xml:space="preserve">Barril x 20 L</t>
  </si>
  <si>
    <t xml:space="preserve">L</t>
  </si>
  <si>
    <t xml:space="preserve">Cervecerías artesanales de Arequipa – lista de precios para bares</t>
  </si>
  <si>
    <t xml:space="preserve">Cerveza artesanal IPA en barril (keg)</t>
  </si>
  <si>
    <t xml:space="preserve">CO₂ para chopera</t>
  </si>
  <si>
    <t xml:space="preserve">Recarga de 10 kg</t>
  </si>
  <si>
    <t xml:space="preserve">recarga</t>
  </si>
  <si>
    <t xml:space="preserve">Distribuidoras de gases industriales de Arequipa</t>
  </si>
  <si>
    <t xml:space="preserve">Limpiador alcalino para líneas de chopera</t>
  </si>
  <si>
    <t xml:space="preserve">Proveedores de equipos de chopera – Mercado Libre Perú</t>
  </si>
  <si>
    <t xml:space="preserve">Servilletas y posavasos con logo</t>
  </si>
  <si>
    <t xml:space="preserve">1b. Consumo por unidad – Línea A: Pinta de cerveza artesanal Golden Ale (500 ml)  (tabla para el informe)</t>
  </si>
  <si>
    <t xml:space="preserve">Costo por pinta (S/)</t>
  </si>
  <si>
    <t xml:space="preserve">Espuma al servir, purga de líneas y el fondo que queda en el barril.</t>
  </si>
  <si>
    <t xml:space="preserve">COSTO DE MATERIA PRIMA DIRECTA POR PINTA</t>
  </si>
  <si>
    <t xml:space="preserve">1b. Consumo por unidad – Línea B: Pinta de cerveza artesanal IPA (500 ml)  (tabla para el informe)</t>
  </si>
  <si>
    <t xml:space="preserve">Línea A (pinta)</t>
  </si>
  <si>
    <t xml:space="preserve">Línea B (pinta)</t>
  </si>
  <si>
    <t xml:space="preserve">→ La cerveza se compra y se sirve, no se produce: las pintas a servir son las pintas vendidas. El stock que se guarda es de barriles (bloque 4).</t>
  </si>
  <si>
    <t xml:space="preserve">Tabla para el informe: C2 Pintas a servir por mes</t>
  </si>
  <si>
    <t xml:space="preserve">Material 1: Cerveza artesanal Golden Ale en barril (keg) (L)</t>
  </si>
  <si>
    <t xml:space="preserve">Inventario inicial al 1-ene (L)</t>
  </si>
  <si>
    <t xml:space="preserve">Material 2: Cerveza artesanal IPA en barril (keg) (L)</t>
  </si>
  <si>
    <t xml:space="preserve">Chocolatería «Blanco Misti» – barras de chocolate blanco de 100 g con inclusiones</t>
  </si>
  <si>
    <t xml:space="preserve">Pequeña planta artesanal en Paucarpata con registro sanitario.</t>
  </si>
  <si>
    <t xml:space="preserve">Política: dejar en almacén el 20 % de las ventas del mes siguiente. Inventario inicial de enero: 250 barras A y 110 barras B.</t>
  </si>
  <si>
    <t xml:space="preserve">Temporadas altas: febrero (San Valentín), mayo (Día de la Madre) y diciembre (Navidad).</t>
  </si>
  <si>
    <t xml:space="preserve">Barra de 100 g con crisps de arroz (por barra)</t>
  </si>
  <si>
    <t xml:space="preserve">Barra de 100 g con arándanos y almendras (por barra)</t>
  </si>
  <si>
    <t xml:space="preserve">Manteca de cacao desodorizada</t>
  </si>
  <si>
    <t xml:space="preserve">Caja x 25 kg</t>
  </si>
  <si>
    <t xml:space="preserve">Distribuidores de derivados de cacao / Mercado Libre Perú</t>
  </si>
  <si>
    <t xml:space="preserve">Leche en polvo entera</t>
  </si>
  <si>
    <t xml:space="preserve">Saco x 25 kg</t>
  </si>
  <si>
    <t xml:space="preserve">Makro Perú (formato mayorista) / Mercado San Camilo</t>
  </si>
  <si>
    <t xml:space="preserve">Azúcar blanca molida</t>
  </si>
  <si>
    <t xml:space="preserve">Saco x 50 kg</t>
  </si>
  <si>
    <t xml:space="preserve">Crisps de arroz inflado</t>
  </si>
  <si>
    <t xml:space="preserve">Tiendas de insumos de repostería y chocolatería de Arequipa</t>
  </si>
  <si>
    <t xml:space="preserve">Arándanos deshidratados</t>
  </si>
  <si>
    <t xml:space="preserve">Bolsa x 1 kg</t>
  </si>
  <si>
    <t xml:space="preserve">Almendras laminadas</t>
  </si>
  <si>
    <t xml:space="preserve">Lámina de aluminio precortada</t>
  </si>
  <si>
    <t xml:space="preserve">Paquete x 1,000</t>
  </si>
  <si>
    <t xml:space="preserve">Estuche de cartulina impresa</t>
  </si>
  <si>
    <t xml:space="preserve">Etiqueta con lote y registro sanitario</t>
  </si>
  <si>
    <t xml:space="preserve">Lecitina de soya</t>
  </si>
  <si>
    <t xml:space="preserve">bolsa</t>
  </si>
  <si>
    <t xml:space="preserve">Vainilla en polvo</t>
  </si>
  <si>
    <t xml:space="preserve">Bolsa x 250 g</t>
  </si>
  <si>
    <t xml:space="preserve">Cajas de envío</t>
  </si>
  <si>
    <t xml:space="preserve">Paquete x 50</t>
  </si>
  <si>
    <t xml:space="preserve">1b. Consumo por unidad – Línea A: Barra de 100 g con crisps de arroz  (tabla para el informe)</t>
  </si>
  <si>
    <t xml:space="preserve">Costo por barra (S/)</t>
  </si>
  <si>
    <t xml:space="preserve">Chocolate que queda en la temperadora, moldes y espátulas.</t>
  </si>
  <si>
    <t xml:space="preserve">Polvo fino que no se usa y pérdidas al mezclar.</t>
  </si>
  <si>
    <t xml:space="preserve">Láminas que se rompen al envolver.</t>
  </si>
  <si>
    <t xml:space="preserve">Estuches que se doblan o manchan al armarlos.</t>
  </si>
  <si>
    <t xml:space="preserve">Etiquetas mal pegadas o mal impresas.</t>
  </si>
  <si>
    <t xml:space="preserve">COSTO DE MATERIA PRIMA DIRECTA POR BARRA</t>
  </si>
  <si>
    <t xml:space="preserve">1b. Consumo por unidad – Línea B: Barra de 100 g con arándanos y almendras  (tabla para el informe)</t>
  </si>
  <si>
    <t xml:space="preserve">Frutos pegados o en mal estado que se descartan.</t>
  </si>
  <si>
    <t xml:space="preserve">Láminas rotas muy finas que no se usan.</t>
  </si>
  <si>
    <t xml:space="preserve">Línea A (barra)</t>
  </si>
  <si>
    <t xml:space="preserve">Línea B (barra)</t>
  </si>
  <si>
    <t xml:space="preserve">Inventario inicial de la línea A al 1-ene (barra)</t>
  </si>
  <si>
    <t xml:space="preserve">Tabla para el informe: C2 Producción – Línea A: Barra de 100 g con crisps de arroz</t>
  </si>
  <si>
    <t xml:space="preserve">Inventario inicial de la línea B al 1-ene (barra)</t>
  </si>
  <si>
    <t xml:space="preserve">Tabla para el informe: C2 Producción – Línea B: Barra de 100 g con arándanos y almendras</t>
  </si>
  <si>
    <t xml:space="preserve">Material 1: Manteca de cacao desodorizada (kg)</t>
  </si>
  <si>
    <t xml:space="preserve">Material 2: Leche en polvo entera (kg)</t>
  </si>
  <si>
    <t xml:space="preserve">Material 3: Azúcar blanca molida (kg)</t>
  </si>
  <si>
    <t xml:space="preserve">Material 4: Crisps de arroz inflado (kg)</t>
  </si>
  <si>
    <t xml:space="preserve">Material 5: Arándanos deshidratados (kg)</t>
  </si>
  <si>
    <t xml:space="preserve">Material 6: Almendras laminadas (kg)</t>
  </si>
  <si>
    <t xml:space="preserve">Material 7: Lámina de aluminio precortada (unidad)</t>
  </si>
  <si>
    <t xml:space="preserve">Material 8: Estuche de cartulina impresa (unidad)</t>
  </si>
  <si>
    <t xml:space="preserve">Material 9: Etiqueta con lote y registro sanitario (unidad)</t>
  </si>
  <si>
    <t xml:space="preserve">Pastelería «Delicias de la Campiña» – queques de manzana</t>
  </si>
  <si>
    <t xml:space="preserve">Pastelería en Cayma. El queque dura pocos días: solo se guarda el 5 % de las ventas del mes siguiente.</t>
  </si>
  <si>
    <t xml:space="preserve">Inventario inicial de enero: 10 queques enteros y 60 mini queques. Ojo: la manzana y los huevos frescos están exonerados de IGV.</t>
  </si>
  <si>
    <t xml:space="preserve">Temporadas altas: marzo (loncheras escolares), mayo (Día de la Madre) y diciembre (Navidad).</t>
  </si>
  <si>
    <t xml:space="preserve">Queque entero de 22 cm (10 porciones) (por queque)</t>
  </si>
  <si>
    <t xml:space="preserve">Mini queque individual de 120 g (por mini queque)</t>
  </si>
  <si>
    <t xml:space="preserve">Harina pastelera</t>
  </si>
  <si>
    <t xml:space="preserve">Azúcar rubia</t>
  </si>
  <si>
    <t xml:space="preserve">Huevos frescos</t>
  </si>
  <si>
    <t xml:space="preserve">Jaba x 180 unidades</t>
  </si>
  <si>
    <t xml:space="preserve">No (exonerado)</t>
  </si>
  <si>
    <t xml:space="preserve">MIDAGRI – SISAP (precios mayoristas) / Mercado Río Seco</t>
  </si>
  <si>
    <t xml:space="preserve">Margarina pastelera</t>
  </si>
  <si>
    <t xml:space="preserve">Caja x 10 kg</t>
  </si>
  <si>
    <t xml:space="preserve">Manzana delicia fresca</t>
  </si>
  <si>
    <t xml:space="preserve">Jaba x 20 kg</t>
  </si>
  <si>
    <t xml:space="preserve">Leche evaporada</t>
  </si>
  <si>
    <t xml:space="preserve">Caja x 48 latas de 400 g</t>
  </si>
  <si>
    <t xml:space="preserve">Molde descartable de aluminio de 22 cm</t>
  </si>
  <si>
    <t xml:space="preserve">Caja de cartón con visor</t>
  </si>
  <si>
    <t xml:space="preserve">Paquete x 25</t>
  </si>
  <si>
    <t xml:space="preserve">Pirotín de papel</t>
  </si>
  <si>
    <t xml:space="preserve">Paquete x 500</t>
  </si>
  <si>
    <t xml:space="preserve">Bolsa de celofán con cinta</t>
  </si>
  <si>
    <t xml:space="preserve">Paquete x 100</t>
  </si>
  <si>
    <t xml:space="preserve">Polvo de hornear</t>
  </si>
  <si>
    <t xml:space="preserve">Canela molida</t>
  </si>
  <si>
    <t xml:space="preserve">Bolsa x 500 g</t>
  </si>
  <si>
    <t xml:space="preserve">Esencia de vainilla</t>
  </si>
  <si>
    <t xml:space="preserve">Botella x 1 L</t>
  </si>
  <si>
    <t xml:space="preserve">botella</t>
  </si>
  <si>
    <t xml:space="preserve">Azúcar impalpable para decorar</t>
  </si>
  <si>
    <t xml:space="preserve">Papel manteca y mangas pasteleras</t>
  </si>
  <si>
    <t xml:space="preserve">1b. Consumo por unidad – Línea A: Queque entero de 22 cm (10 porciones)  (tabla para el informe)</t>
  </si>
  <si>
    <t xml:space="preserve">Costo por queque (S/)</t>
  </si>
  <si>
    <t xml:space="preserve">Harina que queda en el tamiz, los bowls y la mesa.</t>
  </si>
  <si>
    <t xml:space="preserve">Pequeñas pérdidas al pesar y mezclar.</t>
  </si>
  <si>
    <t xml:space="preserve">Huevos rotos en el transporte o en el almacén.</t>
  </si>
  <si>
    <t xml:space="preserve">Lo que queda pegado en el envase y en los bowls.</t>
  </si>
  <si>
    <t xml:space="preserve">Cáscara, corazón y semillas que se retiran al pelar y picar.</t>
  </si>
  <si>
    <t xml:space="preserve">Sin merma: se mide exacto por receta.</t>
  </si>
  <si>
    <t xml:space="preserve">Moldes que se abollan al manipularlos.</t>
  </si>
  <si>
    <t xml:space="preserve">Cajas que se rompen o se manchan al armarlas.</t>
  </si>
  <si>
    <t xml:space="preserve">COSTO DE MATERIA PRIMA DIRECTA POR QUEQUE</t>
  </si>
  <si>
    <t xml:space="preserve">1b. Consumo por unidad – Línea B: Mini queque individual de 120 g  (tabla para el informe)</t>
  </si>
  <si>
    <t xml:space="preserve">Costo por mini queque (S/)</t>
  </si>
  <si>
    <t xml:space="preserve">Pirotines que se rompen o se pegan al llenarlos.</t>
  </si>
  <si>
    <t xml:space="preserve">Bolsas que se rasgan al cerrarlas.</t>
  </si>
  <si>
    <t xml:space="preserve">COSTO DE MATERIA PRIMA DIRECTA POR MINI QUEQUE</t>
  </si>
  <si>
    <t xml:space="preserve">Línea A (queque)</t>
  </si>
  <si>
    <t xml:space="preserve">Línea B (mini queque)</t>
  </si>
  <si>
    <t xml:space="preserve">Inventario inicial de la línea A al 1-ene (queque)</t>
  </si>
  <si>
    <t xml:space="preserve">Tabla para el informe: C2 Producción – Línea A: Queque entero de 22 cm (10 porciones)</t>
  </si>
  <si>
    <t xml:space="preserve">Inventario inicial de la línea B al 1-ene (mini queque)</t>
  </si>
  <si>
    <t xml:space="preserve">Tabla para el informe: C2 Producción – Línea B: Mini queque individual de 120 g</t>
  </si>
  <si>
    <t xml:space="preserve">Material 1: Harina pastelera (kg)</t>
  </si>
  <si>
    <t xml:space="preserve">Material 2: Azúcar rubia (kg)</t>
  </si>
  <si>
    <t xml:space="preserve">Material 3: Huevos frescos (unidad)</t>
  </si>
  <si>
    <t xml:space="preserve">Material 4: Margarina pastelera (kg)</t>
  </si>
  <si>
    <t xml:space="preserve">Material 5: Manzana delicia fresca (kg)</t>
  </si>
  <si>
    <t xml:space="preserve">Material 6: Leche evaporada (kg)</t>
  </si>
  <si>
    <t xml:space="preserve">Material 7: Molde descartable de aluminio de 22 cm (unidad)</t>
  </si>
  <si>
    <t xml:space="preserve">Material 8: Caja de cartón con visor (unidad)</t>
  </si>
  <si>
    <t xml:space="preserve">Material 9: Pirotín de papel (unidad)</t>
  </si>
  <si>
    <t xml:space="preserve">Material 10: Bolsa de celofán con cinta (unidad)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</si>
</sst>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#,##0.###"/>
    <numFmt numFmtId="167" formatCode="&quot;S/ &quot;#,##0.00"/>
    <numFmt numFmtId="168" formatCode="&quot;S/ &quot;#,##0.0000"/>
    <numFmt numFmtId="169" formatCode="0%"/>
    <numFmt numFmtId="170" formatCode="#,##0.0000"/>
    <numFmt numFmtId="171" formatCode="#,##0"/>
    <numFmt numFmtId="172" formatCode="#,##0.00"/>
    <numFmt numFmtId="173" formatCode="0.0"/>
    <numFmt numFmtId="174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27.75" hidden="false" customHeight="true" outlineLevel="0" collapsed="false">
      <c r="B4" s="3" t="s">
        <v>2</v>
      </c>
      <c r="C4" s="4" t="s">
        <v>3</v>
      </c>
    </row>
    <row r="5" customFormat="false" ht="27.75" hidden="false" customHeight="true" outlineLevel="0" collapsed="false">
      <c r="B5" s="3" t="s">
        <v>2</v>
      </c>
      <c r="C5" s="4" t="s">
        <v>4</v>
      </c>
    </row>
    <row r="6" customFormat="false" ht="27.75" hidden="false" customHeight="true" outlineLevel="0" collapsed="false">
      <c r="B6" s="3" t="s">
        <v>2</v>
      </c>
      <c r="C6" s="4" t="s">
        <v>5</v>
      </c>
    </row>
    <row r="8" customFormat="false" ht="21.75" hidden="false" customHeight="true" outlineLevel="0" collapsed="false">
      <c r="B8" s="5" t="s">
        <v>6</v>
      </c>
      <c r="C8" s="5" t="s">
        <v>7</v>
      </c>
    </row>
    <row r="9" customFormat="false" ht="27.75" hidden="false" customHeight="true" outlineLevel="0" collapsed="false">
      <c r="B9" s="6" t="s">
        <v>8</v>
      </c>
      <c r="C9" s="7" t="s">
        <v>9</v>
      </c>
    </row>
    <row r="10" customFormat="false" ht="27.75" hidden="false" customHeight="true" outlineLevel="0" collapsed="false">
      <c r="B10" s="6" t="s">
        <v>10</v>
      </c>
      <c r="C10" s="7" t="s">
        <v>11</v>
      </c>
    </row>
    <row r="11" customFormat="false" ht="27.75" hidden="false" customHeight="true" outlineLevel="0" collapsed="false">
      <c r="B11" s="6" t="s">
        <v>12</v>
      </c>
      <c r="C11" s="7" t="s">
        <v>13</v>
      </c>
    </row>
    <row r="12" customFormat="false" ht="27.75" hidden="false" customHeight="true" outlineLevel="0" collapsed="false">
      <c r="B12" s="6" t="s">
        <v>14</v>
      </c>
      <c r="C12" s="7" t="s">
        <v>15</v>
      </c>
    </row>
    <row r="14" customFormat="false" ht="15" hidden="false" customHeight="false" outlineLevel="0" collapsed="false">
      <c r="B14" s="8" t="s">
        <v>16</v>
      </c>
    </row>
    <row r="15" customFormat="false" ht="21.75" hidden="false" customHeight="true" outlineLevel="0" collapsed="false">
      <c r="B15" s="3" t="s">
        <v>2</v>
      </c>
      <c r="C15" s="4" t="s">
        <v>17</v>
      </c>
    </row>
    <row r="16" customFormat="false" ht="21.75" hidden="false" customHeight="true" outlineLevel="0" collapsed="false">
      <c r="B16" s="3" t="s">
        <v>2</v>
      </c>
      <c r="C16" s="4" t="s">
        <v>18</v>
      </c>
    </row>
    <row r="17" customFormat="false" ht="21.75" hidden="false" customHeight="true" outlineLevel="0" collapsed="false">
      <c r="B17" s="3" t="s">
        <v>2</v>
      </c>
      <c r="C17" s="4" t="s">
        <v>19</v>
      </c>
    </row>
    <row r="18" customFormat="false" ht="21.75" hidden="false" customHeight="true" outlineLevel="0" collapsed="false">
      <c r="B18" s="3" t="s">
        <v>2</v>
      </c>
      <c r="C18" s="4" t="s">
        <v>20</v>
      </c>
    </row>
    <row r="19" customFormat="false" ht="21.75" hidden="false" customHeight="true" outlineLevel="0" collapsed="false">
      <c r="B19" s="3" t="s">
        <v>2</v>
      </c>
      <c r="C19" s="4" t="s">
        <v>21</v>
      </c>
    </row>
    <row r="21" customFormat="false" ht="15" hidden="false" customHeight="false" outlineLevel="0" collapsed="false">
      <c r="B21" s="9" t="s">
        <v>22</v>
      </c>
      <c r="C21" s="10" t="s">
        <v>23</v>
      </c>
    </row>
    <row r="22" customFormat="false" ht="15" hidden="false" customHeight="false" outlineLevel="0" collapsed="false">
      <c r="B22" s="11" t="s">
        <v>24</v>
      </c>
      <c r="C22" s="10" t="s">
        <v>25</v>
      </c>
    </row>
    <row r="23" customFormat="false" ht="15" hidden="false" customHeight="false" outlineLevel="0" collapsed="false">
      <c r="B23" s="12" t="s">
        <v>26</v>
      </c>
      <c r="C23" s="10" t="s">
        <v>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31</v>
      </c>
    </row>
    <row r="6" customFormat="false" ht="15" hidden="false" customHeight="false" outlineLevel="0" collapsed="false">
      <c r="B6" s="14" t="s">
        <v>32</v>
      </c>
    </row>
    <row r="7" customFormat="false" ht="15" hidden="false" customHeight="false" outlineLevel="0" collapsed="false">
      <c r="B7" s="14" t="s">
        <v>33</v>
      </c>
    </row>
    <row r="9" customFormat="false" ht="15" hidden="false" customHeight="false" outlineLevel="0" collapsed="false">
      <c r="B9" s="11" t="s">
        <v>34</v>
      </c>
      <c r="C9" s="15" t="n">
        <v>0.18</v>
      </c>
    </row>
    <row r="10" customFormat="false" ht="15" hidden="false" customHeight="false" outlineLevel="0" collapsed="false">
      <c r="B10" s="11" t="s">
        <v>35</v>
      </c>
      <c r="C10" s="10" t="s">
        <v>36</v>
      </c>
      <c r="D10" s="10"/>
      <c r="E10" s="10"/>
      <c r="F10" s="10"/>
      <c r="G10" s="10"/>
    </row>
    <row r="11" customFormat="false" ht="15" hidden="false" customHeight="false" outlineLevel="0" collapsed="false">
      <c r="B11" s="11" t="s">
        <v>37</v>
      </c>
      <c r="C11" s="10" t="s">
        <v>38</v>
      </c>
      <c r="D11" s="10"/>
      <c r="E11" s="10"/>
      <c r="F11" s="10"/>
      <c r="G11" s="10"/>
    </row>
    <row r="13" customFormat="false" ht="19.5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B14" s="17" t="s">
        <v>40</v>
      </c>
    </row>
    <row r="16" customFormat="false" ht="15" hidden="false" customHeight="false" outlineLevel="0" collapsed="false">
      <c r="B16" s="18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</row>
    <row r="18" customFormat="false" ht="30" hidden="false" customHeight="true" outlineLevel="0" collapsed="false">
      <c r="A18" s="19" t="n">
        <v>1</v>
      </c>
      <c r="B18" s="20" t="s">
        <v>52</v>
      </c>
      <c r="C18" s="20" t="s">
        <v>53</v>
      </c>
      <c r="D18" s="21" t="n">
        <v>500</v>
      </c>
      <c r="E18" s="19" t="s">
        <v>54</v>
      </c>
      <c r="F18" s="22" t="n">
        <v>115</v>
      </c>
      <c r="G18" s="23" t="s">
        <v>55</v>
      </c>
      <c r="H18" s="24" t="n">
        <f aca="false">IF(G18="Sí",F18/(1+$C$9),F18)</f>
        <v>97.4576271186441</v>
      </c>
      <c r="I18" s="25" t="n">
        <f aca="false">H18/D18</f>
        <v>0.194915254237288</v>
      </c>
      <c r="J18" s="26" t="s">
        <v>56</v>
      </c>
      <c r="K18" s="26"/>
    </row>
    <row r="19" customFormat="false" ht="30" hidden="false" customHeight="true" outlineLevel="0" collapsed="false">
      <c r="A19" s="19" t="n">
        <v>2</v>
      </c>
      <c r="B19" s="20" t="s">
        <v>57</v>
      </c>
      <c r="C19" s="20" t="s">
        <v>58</v>
      </c>
      <c r="D19" s="21" t="n">
        <v>100</v>
      </c>
      <c r="E19" s="19" t="s">
        <v>54</v>
      </c>
      <c r="F19" s="22" t="n">
        <v>79</v>
      </c>
      <c r="G19" s="23" t="s">
        <v>55</v>
      </c>
      <c r="H19" s="24" t="n">
        <f aca="false">IF(G19="Sí",F19/(1+$C$9),F19)</f>
        <v>66.9491525423729</v>
      </c>
      <c r="I19" s="25" t="n">
        <f aca="false">H19/D19</f>
        <v>0.669491525423729</v>
      </c>
      <c r="J19" s="26" t="s">
        <v>56</v>
      </c>
      <c r="K19" s="26"/>
    </row>
    <row r="20" customFormat="false" ht="30" hidden="false" customHeight="true" outlineLevel="0" collapsed="false">
      <c r="A20" s="19" t="n">
        <v>3</v>
      </c>
      <c r="B20" s="20" t="s">
        <v>59</v>
      </c>
      <c r="C20" s="20" t="s">
        <v>60</v>
      </c>
      <c r="D20" s="21" t="n">
        <v>420</v>
      </c>
      <c r="E20" s="19" t="s">
        <v>61</v>
      </c>
      <c r="F20" s="22" t="n">
        <v>294</v>
      </c>
      <c r="G20" s="23" t="s">
        <v>55</v>
      </c>
      <c r="H20" s="24" t="n">
        <f aca="false">IF(G20="Sí",F20/(1+$C$9),F20)</f>
        <v>249.152542372881</v>
      </c>
      <c r="I20" s="25" t="n">
        <f aca="false">H20/D20</f>
        <v>0.593220338983051</v>
      </c>
      <c r="J20" s="26" t="s">
        <v>62</v>
      </c>
      <c r="K20" s="26"/>
    </row>
    <row r="21" customFormat="false" ht="30" hidden="false" customHeight="true" outlineLevel="0" collapsed="false">
      <c r="A21" s="19" t="n">
        <v>4</v>
      </c>
      <c r="B21" s="20" t="s">
        <v>63</v>
      </c>
      <c r="C21" s="20" t="s">
        <v>64</v>
      </c>
      <c r="D21" s="21" t="n">
        <v>1</v>
      </c>
      <c r="E21" s="19" t="s">
        <v>65</v>
      </c>
      <c r="F21" s="22" t="n">
        <v>29.5</v>
      </c>
      <c r="G21" s="23" t="s">
        <v>55</v>
      </c>
      <c r="H21" s="24" t="n">
        <f aca="false">IF(G21="Sí",F21/(1+$C$9),F21)</f>
        <v>25</v>
      </c>
      <c r="I21" s="25" t="n">
        <f aca="false">H21/D21</f>
        <v>25</v>
      </c>
      <c r="J21" s="26" t="s">
        <v>66</v>
      </c>
      <c r="K21" s="26"/>
    </row>
    <row r="22" customFormat="false" ht="30" hidden="false" customHeight="true" outlineLevel="0" collapsed="false">
      <c r="A22" s="19" t="n">
        <v>5</v>
      </c>
      <c r="B22" s="20" t="s">
        <v>67</v>
      </c>
      <c r="C22" s="20" t="s">
        <v>68</v>
      </c>
      <c r="D22" s="21" t="n">
        <v>1</v>
      </c>
      <c r="E22" s="19" t="s">
        <v>69</v>
      </c>
      <c r="F22" s="22" t="n">
        <v>23.6</v>
      </c>
      <c r="G22" s="23" t="s">
        <v>55</v>
      </c>
      <c r="H22" s="24" t="n">
        <f aca="false">IF(G22="Sí",F22/(1+$C$9),F22)</f>
        <v>20</v>
      </c>
      <c r="I22" s="25" t="n">
        <f aca="false">H22/D22</f>
        <v>20</v>
      </c>
      <c r="J22" s="26" t="s">
        <v>56</v>
      </c>
      <c r="K22" s="26"/>
    </row>
    <row r="23" customFormat="false" ht="30" hidden="false" customHeight="true" outlineLevel="0" collapsed="false">
      <c r="A23" s="19" t="n">
        <v>6</v>
      </c>
      <c r="B23" s="20" t="s">
        <v>70</v>
      </c>
      <c r="C23" s="20" t="s">
        <v>71</v>
      </c>
      <c r="D23" s="21" t="n">
        <v>1000</v>
      </c>
      <c r="E23" s="19" t="s">
        <v>72</v>
      </c>
      <c r="F23" s="22" t="n">
        <v>413</v>
      </c>
      <c r="G23" s="23" t="s">
        <v>55</v>
      </c>
      <c r="H23" s="24" t="n">
        <f aca="false">IF(G23="Sí",F23/(1+$C$9),F23)</f>
        <v>350</v>
      </c>
      <c r="I23" s="25" t="n">
        <f aca="false">H23/D23</f>
        <v>0.35</v>
      </c>
      <c r="J23" s="26" t="s">
        <v>73</v>
      </c>
      <c r="K23" s="26"/>
    </row>
    <row r="24" customFormat="false" ht="30" hidden="false" customHeight="true" outlineLevel="0" collapsed="false">
      <c r="A24" s="19" t="n">
        <v>7</v>
      </c>
      <c r="B24" s="20" t="s">
        <v>74</v>
      </c>
      <c r="C24" s="20" t="s">
        <v>68</v>
      </c>
      <c r="D24" s="21" t="n">
        <v>1</v>
      </c>
      <c r="E24" s="19" t="s">
        <v>69</v>
      </c>
      <c r="F24" s="22" t="n">
        <v>70.8</v>
      </c>
      <c r="G24" s="23" t="s">
        <v>55</v>
      </c>
      <c r="H24" s="24" t="n">
        <f aca="false">IF(G24="Sí",F24/(1+$C$9),F24)</f>
        <v>60</v>
      </c>
      <c r="I24" s="25" t="n">
        <f aca="false">H24/D24</f>
        <v>60</v>
      </c>
      <c r="J24" s="26" t="s">
        <v>75</v>
      </c>
      <c r="K24" s="26"/>
    </row>
    <row r="25" customFormat="false" ht="15" hidden="false" customHeight="false" outlineLevel="0" collapsed="false">
      <c r="B25" s="27" t="s">
        <v>76</v>
      </c>
    </row>
    <row r="26" customFormat="false" ht="15" hidden="false" customHeight="false" outlineLevel="0" collapsed="false">
      <c r="B26" s="27" t="s">
        <v>77</v>
      </c>
    </row>
    <row r="28" customFormat="false" ht="15" hidden="false" customHeight="false" outlineLevel="0" collapsed="false">
      <c r="B28" s="28" t="s">
        <v>78</v>
      </c>
    </row>
    <row r="29" customFormat="false" ht="31.5" hidden="false" customHeight="true" outlineLevel="0" collapsed="false">
      <c r="A29" s="5" t="s">
        <v>42</v>
      </c>
      <c r="B29" s="5" t="s">
        <v>43</v>
      </c>
      <c r="C29" s="5" t="s">
        <v>46</v>
      </c>
      <c r="D29" s="5" t="s">
        <v>79</v>
      </c>
      <c r="E29" s="5" t="s">
        <v>80</v>
      </c>
      <c r="F29" s="5" t="s">
        <v>81</v>
      </c>
      <c r="G29" s="5" t="s">
        <v>50</v>
      </c>
      <c r="H29" s="5" t="s">
        <v>82</v>
      </c>
      <c r="I29" s="5" t="s">
        <v>83</v>
      </c>
      <c r="J29" s="5"/>
      <c r="K29" s="5"/>
    </row>
    <row r="30" customFormat="false" ht="30" hidden="false" customHeight="true" outlineLevel="0" collapsed="false">
      <c r="A30" s="19" t="n">
        <v>1</v>
      </c>
      <c r="B30" s="20" t="s">
        <v>52</v>
      </c>
      <c r="C30" s="19" t="s">
        <v>54</v>
      </c>
      <c r="D30" s="21" t="n">
        <v>1</v>
      </c>
      <c r="E30" s="29" t="n">
        <v>0.03</v>
      </c>
      <c r="F30" s="30" t="n">
        <f aca="false">D30/(1-E30)</f>
        <v>1.03092783505155</v>
      </c>
      <c r="G30" s="25" t="n">
        <f aca="false">I18</f>
        <v>0.194915254237288</v>
      </c>
      <c r="H30" s="25" t="n">
        <f aca="false">F30*G30</f>
        <v>0.200943561069369</v>
      </c>
      <c r="I30" s="26" t="s">
        <v>84</v>
      </c>
      <c r="J30" s="26"/>
      <c r="K30" s="26"/>
    </row>
    <row r="31" customFormat="false" ht="30" hidden="false" customHeight="true" outlineLevel="0" collapsed="false">
      <c r="A31" s="19" t="n">
        <v>2</v>
      </c>
      <c r="B31" s="20" t="s">
        <v>59</v>
      </c>
      <c r="C31" s="19" t="s">
        <v>61</v>
      </c>
      <c r="D31" s="21" t="n">
        <v>0.25</v>
      </c>
      <c r="E31" s="29" t="n">
        <v>0.05</v>
      </c>
      <c r="F31" s="30" t="n">
        <f aca="false">D31/(1-E31)</f>
        <v>0.263157894736842</v>
      </c>
      <c r="G31" s="25" t="n">
        <f aca="false">I20</f>
        <v>0.593220338983051</v>
      </c>
      <c r="H31" s="25" t="n">
        <f aca="false">F31*G31</f>
        <v>0.156110615521855</v>
      </c>
      <c r="I31" s="26" t="s">
        <v>85</v>
      </c>
      <c r="J31" s="26"/>
      <c r="K31" s="26"/>
    </row>
    <row r="32" customFormat="false" ht="25.5" hidden="false" customHeight="true" outlineLevel="0" collapsed="false">
      <c r="A32" s="31"/>
      <c r="B32" s="32" t="s">
        <v>86</v>
      </c>
      <c r="C32" s="31"/>
      <c r="D32" s="31"/>
      <c r="E32" s="31"/>
      <c r="F32" s="31"/>
      <c r="G32" s="31"/>
      <c r="H32" s="33" t="n">
        <f aca="false">SUM(H30:H31)</f>
        <v>0.357054176591225</v>
      </c>
    </row>
    <row r="34" customFormat="false" ht="15" hidden="false" customHeight="false" outlineLevel="0" collapsed="false">
      <c r="B34" s="28" t="s">
        <v>87</v>
      </c>
    </row>
    <row r="35" customFormat="false" ht="31.5" hidden="false" customHeight="true" outlineLevel="0" collapsed="false">
      <c r="A35" s="5" t="s">
        <v>42</v>
      </c>
      <c r="B35" s="5" t="s">
        <v>43</v>
      </c>
      <c r="C35" s="5" t="s">
        <v>46</v>
      </c>
      <c r="D35" s="5" t="s">
        <v>79</v>
      </c>
      <c r="E35" s="5" t="s">
        <v>80</v>
      </c>
      <c r="F35" s="5" t="s">
        <v>81</v>
      </c>
      <c r="G35" s="5" t="s">
        <v>50</v>
      </c>
      <c r="H35" s="5" t="s">
        <v>88</v>
      </c>
      <c r="I35" s="5" t="s">
        <v>83</v>
      </c>
      <c r="J35" s="5"/>
      <c r="K35" s="5"/>
    </row>
    <row r="36" customFormat="false" ht="30" hidden="false" customHeight="true" outlineLevel="0" collapsed="false">
      <c r="A36" s="19" t="n">
        <v>1</v>
      </c>
      <c r="B36" s="20" t="s">
        <v>57</v>
      </c>
      <c r="C36" s="19" t="s">
        <v>54</v>
      </c>
      <c r="D36" s="21" t="n">
        <v>1</v>
      </c>
      <c r="E36" s="29" t="n">
        <v>0.05</v>
      </c>
      <c r="F36" s="30" t="n">
        <f aca="false">D36/(1-E36)</f>
        <v>1.05263157894737</v>
      </c>
      <c r="G36" s="25" t="n">
        <f aca="false">I19</f>
        <v>0.669491525423729</v>
      </c>
      <c r="H36" s="25" t="n">
        <f aca="false">F36*G36</f>
        <v>0.704727921498662</v>
      </c>
      <c r="I36" s="26" t="s">
        <v>89</v>
      </c>
      <c r="J36" s="26"/>
      <c r="K36" s="26"/>
    </row>
    <row r="37" customFormat="false" ht="30" hidden="false" customHeight="true" outlineLevel="0" collapsed="false">
      <c r="A37" s="19" t="n">
        <v>2</v>
      </c>
      <c r="B37" s="20" t="s">
        <v>59</v>
      </c>
      <c r="C37" s="19" t="s">
        <v>61</v>
      </c>
      <c r="D37" s="21" t="n">
        <v>1.1</v>
      </c>
      <c r="E37" s="29" t="n">
        <v>0.05</v>
      </c>
      <c r="F37" s="30" t="n">
        <f aca="false">D37/(1-E37)</f>
        <v>1.15789473684211</v>
      </c>
      <c r="G37" s="25" t="n">
        <f aca="false">I20</f>
        <v>0.593220338983051</v>
      </c>
      <c r="H37" s="25" t="n">
        <f aca="false">F37*G37</f>
        <v>0.686886708296164</v>
      </c>
      <c r="I37" s="26" t="s">
        <v>85</v>
      </c>
      <c r="J37" s="26"/>
      <c r="K37" s="26"/>
    </row>
    <row r="38" customFormat="false" ht="25.5" hidden="false" customHeight="true" outlineLevel="0" collapsed="false">
      <c r="A38" s="31"/>
      <c r="B38" s="32" t="s">
        <v>90</v>
      </c>
      <c r="C38" s="31"/>
      <c r="D38" s="31"/>
      <c r="E38" s="31"/>
      <c r="F38" s="31"/>
      <c r="G38" s="31"/>
      <c r="H38" s="33" t="n">
        <f aca="false">SUM(H36:H37)</f>
        <v>1.39161462979483</v>
      </c>
    </row>
    <row r="40" customFormat="false" ht="15" hidden="false" customHeight="false" outlineLevel="0" collapsed="false">
      <c r="B40" s="28" t="s">
        <v>91</v>
      </c>
    </row>
    <row r="41" customFormat="false" ht="31.5" hidden="false" customHeight="true" outlineLevel="0" collapsed="false">
      <c r="A41" s="5" t="s">
        <v>42</v>
      </c>
      <c r="B41" s="5" t="s">
        <v>43</v>
      </c>
      <c r="C41" s="5" t="s">
        <v>92</v>
      </c>
      <c r="D41" s="5" t="s">
        <v>46</v>
      </c>
      <c r="E41" s="5" t="s">
        <v>93</v>
      </c>
      <c r="F41" s="5" t="s">
        <v>94</v>
      </c>
      <c r="G41" s="5" t="s">
        <v>95</v>
      </c>
    </row>
    <row r="42" customFormat="false" ht="25.5" hidden="false" customHeight="true" outlineLevel="0" collapsed="false">
      <c r="A42" s="19" t="n">
        <v>1</v>
      </c>
      <c r="B42" s="20" t="s">
        <v>63</v>
      </c>
      <c r="C42" s="34" t="n">
        <v>1</v>
      </c>
      <c r="D42" s="19" t="s">
        <v>65</v>
      </c>
      <c r="E42" s="35" t="s">
        <v>96</v>
      </c>
      <c r="F42" s="35" t="s">
        <v>97</v>
      </c>
      <c r="G42" s="24" t="n">
        <f aca="false">C42*I21</f>
        <v>25</v>
      </c>
    </row>
    <row r="43" customFormat="false" ht="25.5" hidden="false" customHeight="true" outlineLevel="0" collapsed="false">
      <c r="A43" s="19" t="n">
        <v>2</v>
      </c>
      <c r="B43" s="20" t="s">
        <v>67</v>
      </c>
      <c r="C43" s="34" t="n">
        <v>1</v>
      </c>
      <c r="D43" s="19" t="s">
        <v>69</v>
      </c>
      <c r="E43" s="35" t="s">
        <v>96</v>
      </c>
      <c r="F43" s="35" t="s">
        <v>97</v>
      </c>
      <c r="G43" s="24" t="n">
        <f aca="false">C43*I22</f>
        <v>20</v>
      </c>
    </row>
    <row r="44" customFormat="false" ht="25.5" hidden="false" customHeight="true" outlineLevel="0" collapsed="false">
      <c r="A44" s="19" t="n">
        <v>3</v>
      </c>
      <c r="B44" s="20" t="s">
        <v>70</v>
      </c>
      <c r="C44" s="34" t="n">
        <v>540</v>
      </c>
      <c r="D44" s="19" t="s">
        <v>72</v>
      </c>
      <c r="E44" s="35" t="s">
        <v>98</v>
      </c>
      <c r="F44" s="35" t="s">
        <v>99</v>
      </c>
      <c r="G44" s="24" t="n">
        <f aca="false">C44*I23</f>
        <v>189</v>
      </c>
    </row>
    <row r="45" customFormat="false" ht="25.5" hidden="false" customHeight="true" outlineLevel="0" collapsed="false">
      <c r="A45" s="19" t="n">
        <v>4</v>
      </c>
      <c r="B45" s="20" t="s">
        <v>74</v>
      </c>
      <c r="C45" s="34" t="n">
        <v>1</v>
      </c>
      <c r="D45" s="19" t="s">
        <v>69</v>
      </c>
      <c r="E45" s="35" t="s">
        <v>98</v>
      </c>
      <c r="F45" s="35" t="s">
        <v>100</v>
      </c>
      <c r="G45" s="24" t="n">
        <f aca="false">C45*I24</f>
        <v>60</v>
      </c>
    </row>
    <row r="47" customFormat="false" ht="25.5" hidden="false" customHeight="true" outlineLevel="0" collapsed="false">
      <c r="B47" s="6" t="s">
        <v>101</v>
      </c>
      <c r="C47" s="36" t="n">
        <f aca="false">SUMIF(F42:F45,"CIF",G42:G45)</f>
        <v>45</v>
      </c>
    </row>
    <row r="48" customFormat="false" ht="25.5" hidden="false" customHeight="true" outlineLevel="0" collapsed="false">
      <c r="B48" s="6" t="s">
        <v>102</v>
      </c>
      <c r="C48" s="36" t="n">
        <f aca="false">SUMIF(F42:F45,"Gasto administrativo",G42:G45)</f>
        <v>60</v>
      </c>
    </row>
    <row r="49" customFormat="false" ht="25.5" hidden="false" customHeight="true" outlineLevel="0" collapsed="false">
      <c r="B49" s="6" t="s">
        <v>103</v>
      </c>
      <c r="C49" s="36" t="n">
        <f aca="false">SUMIF(F42:F45,"Gasto de ventas",G42:G45)</f>
        <v>189</v>
      </c>
    </row>
    <row r="50" customFormat="false" ht="15" hidden="false" customHeight="false" outlineLevel="0" collapsed="false">
      <c r="B50" s="27" t="s">
        <v>104</v>
      </c>
    </row>
    <row r="52" customFormat="false" ht="19.5" hidden="false" customHeight="true" outlineLevel="0" collapsed="false">
      <c r="A52" s="16" t="s">
        <v>105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customFormat="false" ht="15" hidden="false" customHeight="false" outlineLevel="0" collapsed="false">
      <c r="B53" s="17" t="s">
        <v>106</v>
      </c>
    </row>
    <row r="54" customFormat="false" ht="15" hidden="false" customHeight="false" outlineLevel="0" collapsed="false">
      <c r="B54" s="28" t="s">
        <v>107</v>
      </c>
    </row>
    <row r="55" customFormat="false" ht="30" hidden="false" customHeight="true" outlineLevel="0" collapsed="false">
      <c r="B55" s="5" t="s">
        <v>108</v>
      </c>
      <c r="C55" s="5" t="s">
        <v>109</v>
      </c>
      <c r="D55" s="5" t="s">
        <v>110</v>
      </c>
      <c r="E55" s="5" t="s">
        <v>111</v>
      </c>
    </row>
    <row r="56" customFormat="false" ht="15" hidden="false" customHeight="false" outlineLevel="0" collapsed="false">
      <c r="B56" s="10" t="s">
        <v>112</v>
      </c>
      <c r="C56" s="34" t="n">
        <v>7000</v>
      </c>
      <c r="D56" s="34" t="n">
        <v>300</v>
      </c>
      <c r="E56" s="37" t="n">
        <f aca="false">C56+D56</f>
        <v>7300</v>
      </c>
    </row>
    <row r="57" customFormat="false" ht="15" hidden="false" customHeight="false" outlineLevel="0" collapsed="false">
      <c r="B57" s="10" t="s">
        <v>113</v>
      </c>
      <c r="C57" s="34" t="n">
        <v>6500</v>
      </c>
      <c r="D57" s="34" t="n">
        <v>280</v>
      </c>
      <c r="E57" s="37" t="n">
        <f aca="false">C57+D57</f>
        <v>6780</v>
      </c>
    </row>
    <row r="58" customFormat="false" ht="15" hidden="false" customHeight="false" outlineLevel="0" collapsed="false">
      <c r="B58" s="10" t="s">
        <v>114</v>
      </c>
      <c r="C58" s="34" t="n">
        <v>7500</v>
      </c>
      <c r="D58" s="34" t="n">
        <v>350</v>
      </c>
      <c r="E58" s="37" t="n">
        <f aca="false">C58+D58</f>
        <v>7850</v>
      </c>
    </row>
    <row r="59" customFormat="false" ht="15" hidden="false" customHeight="false" outlineLevel="0" collapsed="false">
      <c r="B59" s="10" t="s">
        <v>115</v>
      </c>
      <c r="C59" s="34" t="n">
        <v>7000</v>
      </c>
      <c r="D59" s="34" t="n">
        <v>320</v>
      </c>
      <c r="E59" s="37" t="n">
        <f aca="false">C59+D59</f>
        <v>7320</v>
      </c>
    </row>
    <row r="60" customFormat="false" ht="15" hidden="false" customHeight="false" outlineLevel="0" collapsed="false">
      <c r="B60" s="10" t="s">
        <v>116</v>
      </c>
      <c r="C60" s="34" t="n">
        <v>9000</v>
      </c>
      <c r="D60" s="34" t="n">
        <v>500</v>
      </c>
      <c r="E60" s="37" t="n">
        <f aca="false">C60+D60</f>
        <v>9500</v>
      </c>
    </row>
    <row r="61" customFormat="false" ht="15" hidden="false" customHeight="false" outlineLevel="0" collapsed="false">
      <c r="B61" s="10" t="s">
        <v>117</v>
      </c>
      <c r="C61" s="34" t="n">
        <v>7500</v>
      </c>
      <c r="D61" s="34" t="n">
        <v>380</v>
      </c>
      <c r="E61" s="37" t="n">
        <f aca="false">C61+D61</f>
        <v>7880</v>
      </c>
    </row>
    <row r="62" customFormat="false" ht="15" hidden="false" customHeight="false" outlineLevel="0" collapsed="false">
      <c r="B62" s="10" t="s">
        <v>118</v>
      </c>
      <c r="C62" s="34" t="n">
        <v>8000</v>
      </c>
      <c r="D62" s="34" t="n">
        <v>400</v>
      </c>
      <c r="E62" s="37" t="n">
        <f aca="false">C62+D62</f>
        <v>8400</v>
      </c>
    </row>
    <row r="63" customFormat="false" ht="15" hidden="false" customHeight="false" outlineLevel="0" collapsed="false">
      <c r="B63" s="10" t="s">
        <v>119</v>
      </c>
      <c r="C63" s="34" t="n">
        <v>8500</v>
      </c>
      <c r="D63" s="34" t="n">
        <v>450</v>
      </c>
      <c r="E63" s="37" t="n">
        <f aca="false">C63+D63</f>
        <v>8950</v>
      </c>
    </row>
    <row r="64" customFormat="false" ht="15" hidden="false" customHeight="false" outlineLevel="0" collapsed="false">
      <c r="B64" s="10" t="s">
        <v>120</v>
      </c>
      <c r="C64" s="34" t="n">
        <v>7500</v>
      </c>
      <c r="D64" s="34" t="n">
        <v>380</v>
      </c>
      <c r="E64" s="37" t="n">
        <f aca="false">C64+D64</f>
        <v>7880</v>
      </c>
    </row>
    <row r="65" customFormat="false" ht="15" hidden="false" customHeight="false" outlineLevel="0" collapsed="false">
      <c r="B65" s="10" t="s">
        <v>121</v>
      </c>
      <c r="C65" s="34" t="n">
        <v>8000</v>
      </c>
      <c r="D65" s="34" t="n">
        <v>400</v>
      </c>
      <c r="E65" s="37" t="n">
        <f aca="false">C65+D65</f>
        <v>8400</v>
      </c>
    </row>
    <row r="66" customFormat="false" ht="15" hidden="false" customHeight="false" outlineLevel="0" collapsed="false">
      <c r="B66" s="10" t="s">
        <v>122</v>
      </c>
      <c r="C66" s="34" t="n">
        <v>8500</v>
      </c>
      <c r="D66" s="34" t="n">
        <v>450</v>
      </c>
      <c r="E66" s="37" t="n">
        <f aca="false">C66+D66</f>
        <v>8950</v>
      </c>
    </row>
    <row r="67" customFormat="false" ht="15" hidden="false" customHeight="false" outlineLevel="0" collapsed="false">
      <c r="B67" s="10" t="s">
        <v>123</v>
      </c>
      <c r="C67" s="34" t="n">
        <v>12000</v>
      </c>
      <c r="D67" s="34" t="n">
        <v>700</v>
      </c>
      <c r="E67" s="37" t="n">
        <f aca="false">C67+D67</f>
        <v>12700</v>
      </c>
    </row>
    <row r="68" customFormat="false" ht="15" hidden="false" customHeight="false" outlineLevel="0" collapsed="false">
      <c r="B68" s="38" t="s">
        <v>124</v>
      </c>
      <c r="C68" s="39" t="n">
        <f aca="false">SUM(C56:C67)</f>
        <v>97000</v>
      </c>
      <c r="D68" s="39" t="n">
        <f aca="false">SUM(D56:D67)</f>
        <v>4910</v>
      </c>
      <c r="E68" s="39" t="n">
        <f aca="false">SUM(E56:E67)</f>
        <v>101910</v>
      </c>
    </row>
    <row r="69" customFormat="false" ht="15" hidden="false" customHeight="false" outlineLevel="0" collapsed="false">
      <c r="B69" s="10" t="s">
        <v>125</v>
      </c>
      <c r="C69" s="34" t="n">
        <v>7200</v>
      </c>
      <c r="D69" s="34" t="n">
        <v>310</v>
      </c>
      <c r="E69" s="19" t="s">
        <v>126</v>
      </c>
    </row>
    <row r="70" customFormat="false" ht="15" hidden="false" customHeight="false" outlineLevel="0" collapsed="false">
      <c r="B70" s="10" t="s">
        <v>127</v>
      </c>
      <c r="C70" s="34" t="n">
        <v>6700</v>
      </c>
      <c r="D70" s="34" t="n">
        <v>290</v>
      </c>
      <c r="E70" s="19" t="s">
        <v>126</v>
      </c>
    </row>
    <row r="72" customFormat="false" ht="19.5" hidden="false" customHeight="true" outlineLevel="0" collapsed="false">
      <c r="A72" s="16" t="s">
        <v>128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customFormat="false" ht="15" hidden="false" customHeight="false" outlineLevel="0" collapsed="false">
      <c r="B73" s="17" t="s">
        <v>129</v>
      </c>
    </row>
    <row r="74" customFormat="false" ht="15" hidden="false" customHeight="false" outlineLevel="0" collapsed="false">
      <c r="B74" s="27" t="s">
        <v>130</v>
      </c>
    </row>
    <row r="75" customFormat="false" ht="15" hidden="false" customHeight="false" outlineLevel="0" collapsed="false">
      <c r="B75" s="28" t="s">
        <v>131</v>
      </c>
    </row>
    <row r="76" customFormat="false" ht="31.5" hidden="false" customHeight="true" outlineLevel="0" collapsed="false">
      <c r="B76" s="5" t="s">
        <v>108</v>
      </c>
      <c r="C76" s="5" t="s">
        <v>109</v>
      </c>
      <c r="D76" s="5" t="s">
        <v>110</v>
      </c>
    </row>
    <row r="77" customFormat="false" ht="15" hidden="false" customHeight="false" outlineLevel="0" collapsed="false">
      <c r="B77" s="10" t="s">
        <v>112</v>
      </c>
      <c r="C77" s="37" t="n">
        <f aca="false">C56</f>
        <v>7000</v>
      </c>
      <c r="D77" s="37" t="n">
        <f aca="false">D56</f>
        <v>300</v>
      </c>
    </row>
    <row r="78" customFormat="false" ht="15" hidden="false" customHeight="false" outlineLevel="0" collapsed="false">
      <c r="B78" s="10" t="s">
        <v>113</v>
      </c>
      <c r="C78" s="37" t="n">
        <f aca="false">C57</f>
        <v>6500</v>
      </c>
      <c r="D78" s="37" t="n">
        <f aca="false">D57</f>
        <v>280</v>
      </c>
    </row>
    <row r="79" customFormat="false" ht="15" hidden="false" customHeight="false" outlineLevel="0" collapsed="false">
      <c r="B79" s="10" t="s">
        <v>114</v>
      </c>
      <c r="C79" s="37" t="n">
        <f aca="false">C58</f>
        <v>7500</v>
      </c>
      <c r="D79" s="37" t="n">
        <f aca="false">D58</f>
        <v>350</v>
      </c>
    </row>
    <row r="80" customFormat="false" ht="15" hidden="false" customHeight="false" outlineLevel="0" collapsed="false">
      <c r="B80" s="10" t="s">
        <v>115</v>
      </c>
      <c r="C80" s="37" t="n">
        <f aca="false">C59</f>
        <v>7000</v>
      </c>
      <c r="D80" s="37" t="n">
        <f aca="false">D59</f>
        <v>320</v>
      </c>
    </row>
    <row r="81" customFormat="false" ht="15" hidden="false" customHeight="false" outlineLevel="0" collapsed="false">
      <c r="B81" s="10" t="s">
        <v>116</v>
      </c>
      <c r="C81" s="37" t="n">
        <f aca="false">C60</f>
        <v>9000</v>
      </c>
      <c r="D81" s="37" t="n">
        <f aca="false">D60</f>
        <v>500</v>
      </c>
    </row>
    <row r="82" customFormat="false" ht="15" hidden="false" customHeight="false" outlineLevel="0" collapsed="false">
      <c r="B82" s="10" t="s">
        <v>117</v>
      </c>
      <c r="C82" s="37" t="n">
        <f aca="false">C61</f>
        <v>7500</v>
      </c>
      <c r="D82" s="37" t="n">
        <f aca="false">D61</f>
        <v>380</v>
      </c>
    </row>
    <row r="83" customFormat="false" ht="15" hidden="false" customHeight="false" outlineLevel="0" collapsed="false">
      <c r="B83" s="10" t="s">
        <v>118</v>
      </c>
      <c r="C83" s="37" t="n">
        <f aca="false">C62</f>
        <v>8000</v>
      </c>
      <c r="D83" s="37" t="n">
        <f aca="false">D62</f>
        <v>400</v>
      </c>
    </row>
    <row r="84" customFormat="false" ht="15" hidden="false" customHeight="false" outlineLevel="0" collapsed="false">
      <c r="B84" s="10" t="s">
        <v>119</v>
      </c>
      <c r="C84" s="37" t="n">
        <f aca="false">C63</f>
        <v>8500</v>
      </c>
      <c r="D84" s="37" t="n">
        <f aca="false">D63</f>
        <v>450</v>
      </c>
    </row>
    <row r="85" customFormat="false" ht="15" hidden="false" customHeight="false" outlineLevel="0" collapsed="false">
      <c r="B85" s="10" t="s">
        <v>120</v>
      </c>
      <c r="C85" s="37" t="n">
        <f aca="false">C64</f>
        <v>7500</v>
      </c>
      <c r="D85" s="37" t="n">
        <f aca="false">D64</f>
        <v>380</v>
      </c>
    </row>
    <row r="86" customFormat="false" ht="15" hidden="false" customHeight="false" outlineLevel="0" collapsed="false">
      <c r="B86" s="10" t="s">
        <v>121</v>
      </c>
      <c r="C86" s="37" t="n">
        <f aca="false">C65</f>
        <v>8000</v>
      </c>
      <c r="D86" s="37" t="n">
        <f aca="false">D65</f>
        <v>400</v>
      </c>
    </row>
    <row r="87" customFormat="false" ht="15" hidden="false" customHeight="false" outlineLevel="0" collapsed="false">
      <c r="B87" s="10" t="s">
        <v>122</v>
      </c>
      <c r="C87" s="37" t="n">
        <f aca="false">C66</f>
        <v>8500</v>
      </c>
      <c r="D87" s="37" t="n">
        <f aca="false">D66</f>
        <v>450</v>
      </c>
    </row>
    <row r="88" customFormat="false" ht="15" hidden="false" customHeight="false" outlineLevel="0" collapsed="false">
      <c r="B88" s="10" t="s">
        <v>123</v>
      </c>
      <c r="C88" s="37" t="n">
        <f aca="false">C67</f>
        <v>12000</v>
      </c>
      <c r="D88" s="37" t="n">
        <f aca="false">D67</f>
        <v>700</v>
      </c>
    </row>
    <row r="89" customFormat="false" ht="15" hidden="false" customHeight="false" outlineLevel="0" collapsed="false">
      <c r="B89" s="10" t="s">
        <v>132</v>
      </c>
      <c r="C89" s="37" t="n">
        <f aca="false">C69</f>
        <v>7200</v>
      </c>
      <c r="D89" s="37" t="n">
        <f aca="false">D69</f>
        <v>310</v>
      </c>
    </row>
    <row r="91" customFormat="false" ht="19.5" hidden="false" customHeight="true" outlineLevel="0" collapsed="false">
      <c r="A91" s="16" t="s">
        <v>133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customFormat="false" ht="15" hidden="false" customHeight="false" outlineLevel="0" collapsed="false">
      <c r="B92" s="17" t="s">
        <v>134</v>
      </c>
    </row>
    <row r="93" customFormat="false" ht="15" hidden="false" customHeight="false" outlineLevel="0" collapsed="false">
      <c r="B93" s="27" t="s">
        <v>135</v>
      </c>
    </row>
    <row r="95" customFormat="false" ht="15" hidden="false" customHeight="false" outlineLevel="0" collapsed="false">
      <c r="B95" s="18" t="s">
        <v>136</v>
      </c>
    </row>
    <row r="96" customFormat="false" ht="25.5" hidden="false" customHeight="true" outlineLevel="0" collapsed="false">
      <c r="B96" s="20" t="s">
        <v>137</v>
      </c>
      <c r="C96" s="29" t="n">
        <v>0.2</v>
      </c>
    </row>
    <row r="97" customFormat="false" ht="15" hidden="false" customHeight="false" outlineLevel="0" collapsed="false">
      <c r="B97" s="10" t="s">
        <v>138</v>
      </c>
      <c r="C97" s="21" t="n">
        <v>1500</v>
      </c>
    </row>
    <row r="98" customFormat="false" ht="39.75" hidden="false" customHeight="true" outlineLevel="0" collapsed="false">
      <c r="B98" s="5" t="s">
        <v>108</v>
      </c>
      <c r="C98" s="5" t="s">
        <v>139</v>
      </c>
      <c r="D98" s="5" t="s">
        <v>140</v>
      </c>
      <c r="E98" s="5" t="s">
        <v>141</v>
      </c>
      <c r="F98" s="5" t="s">
        <v>142</v>
      </c>
      <c r="G98" s="5" t="s">
        <v>143</v>
      </c>
      <c r="H98" s="5" t="s">
        <v>144</v>
      </c>
      <c r="I98" s="5" t="s">
        <v>49</v>
      </c>
      <c r="J98" s="5" t="s">
        <v>145</v>
      </c>
      <c r="K98" s="5" t="s">
        <v>146</v>
      </c>
    </row>
    <row r="99" customFormat="false" ht="15" hidden="false" customHeight="false" outlineLevel="0" collapsed="false">
      <c r="B99" s="10" t="s">
        <v>112</v>
      </c>
      <c r="C99" s="40" t="n">
        <f aca="false">$C$77*$F$30</f>
        <v>7216.49484536083</v>
      </c>
      <c r="D99" s="41" t="n">
        <v>0</v>
      </c>
      <c r="E99" s="40" t="n">
        <f aca="false">C99+D99</f>
        <v>7216.49484536083</v>
      </c>
      <c r="F99" s="40" t="n">
        <f aca="false">E100*$C$96</f>
        <v>1340.20618556701</v>
      </c>
      <c r="G99" s="40" t="n">
        <f aca="false">$C$97</f>
        <v>1500</v>
      </c>
      <c r="H99" s="42" t="n">
        <f aca="false">E99+F99-G99</f>
        <v>7056.70103092784</v>
      </c>
      <c r="I99" s="24" t="n">
        <f aca="false">H99*$I$18</f>
        <v>1375.45867551983</v>
      </c>
      <c r="J99" s="24" t="n">
        <f aca="false">I99*IF($G$18="Sí",$C$9,0)</f>
        <v>247.58256159357</v>
      </c>
      <c r="K99" s="36" t="n">
        <f aca="false">I99+J99</f>
        <v>1623.0412371134</v>
      </c>
    </row>
    <row r="100" customFormat="false" ht="15" hidden="false" customHeight="false" outlineLevel="0" collapsed="false">
      <c r="B100" s="10" t="s">
        <v>113</v>
      </c>
      <c r="C100" s="40" t="n">
        <f aca="false">$C$78*$F$30</f>
        <v>6701.03092783505</v>
      </c>
      <c r="D100" s="41" t="n">
        <v>0</v>
      </c>
      <c r="E100" s="40" t="n">
        <f aca="false">C100+D100</f>
        <v>6701.03092783505</v>
      </c>
      <c r="F100" s="40" t="n">
        <f aca="false">E101*$C$96</f>
        <v>1546.39175257732</v>
      </c>
      <c r="G100" s="40" t="n">
        <f aca="false">F99</f>
        <v>1340.20618556701</v>
      </c>
      <c r="H100" s="42" t="n">
        <f aca="false">E100+F100-G100</f>
        <v>6907.21649484536</v>
      </c>
      <c r="I100" s="24" t="n">
        <f aca="false">H100*$I$18</f>
        <v>1346.32185916477</v>
      </c>
      <c r="J100" s="24" t="n">
        <f aca="false">I100*IF($G$18="Sí",$C$9,0)</f>
        <v>242.337934649659</v>
      </c>
      <c r="K100" s="36" t="n">
        <f aca="false">I100+J100</f>
        <v>1588.65979381443</v>
      </c>
    </row>
    <row r="101" customFormat="false" ht="15" hidden="false" customHeight="false" outlineLevel="0" collapsed="false">
      <c r="B101" s="10" t="s">
        <v>114</v>
      </c>
      <c r="C101" s="40" t="n">
        <f aca="false">$C$79*$F$30</f>
        <v>7731.9587628866</v>
      </c>
      <c r="D101" s="41" t="n">
        <v>0</v>
      </c>
      <c r="E101" s="40" t="n">
        <f aca="false">C101+D101</f>
        <v>7731.9587628866</v>
      </c>
      <c r="F101" s="40" t="n">
        <f aca="false">E102*$C$96</f>
        <v>1443.29896907217</v>
      </c>
      <c r="G101" s="40" t="n">
        <f aca="false">F100</f>
        <v>1546.39175257732</v>
      </c>
      <c r="H101" s="42" t="n">
        <f aca="false">E101+F101-G101</f>
        <v>7628.86597938144</v>
      </c>
      <c r="I101" s="24" t="n">
        <f aca="false">H101*$I$18</f>
        <v>1486.98235191333</v>
      </c>
      <c r="J101" s="24" t="n">
        <f aca="false">I101*IF($G$18="Sí",$C$9,0)</f>
        <v>267.6568233444</v>
      </c>
      <c r="K101" s="36" t="n">
        <f aca="false">I101+J101</f>
        <v>1754.63917525773</v>
      </c>
    </row>
    <row r="102" customFormat="false" ht="15" hidden="false" customHeight="false" outlineLevel="0" collapsed="false">
      <c r="B102" s="10" t="s">
        <v>115</v>
      </c>
      <c r="C102" s="40" t="n">
        <f aca="false">$C$80*$F$30</f>
        <v>7216.49484536083</v>
      </c>
      <c r="D102" s="41" t="n">
        <v>0</v>
      </c>
      <c r="E102" s="40" t="n">
        <f aca="false">C102+D102</f>
        <v>7216.49484536083</v>
      </c>
      <c r="F102" s="40" t="n">
        <f aca="false">E103*$C$96</f>
        <v>1855.67010309278</v>
      </c>
      <c r="G102" s="40" t="n">
        <f aca="false">F101</f>
        <v>1443.29896907217</v>
      </c>
      <c r="H102" s="42" t="n">
        <f aca="false">E102+F102-G102</f>
        <v>7628.86597938145</v>
      </c>
      <c r="I102" s="24" t="n">
        <f aca="false">H102*$I$18</f>
        <v>1486.98235191333</v>
      </c>
      <c r="J102" s="24" t="n">
        <f aca="false">I102*IF($G$18="Sí",$C$9,0)</f>
        <v>267.6568233444</v>
      </c>
      <c r="K102" s="36" t="n">
        <f aca="false">I102+J102</f>
        <v>1754.63917525773</v>
      </c>
    </row>
    <row r="103" customFormat="false" ht="15" hidden="false" customHeight="false" outlineLevel="0" collapsed="false">
      <c r="B103" s="10" t="s">
        <v>116</v>
      </c>
      <c r="C103" s="40" t="n">
        <f aca="false">$C$81*$F$30</f>
        <v>9278.35051546392</v>
      </c>
      <c r="D103" s="41" t="n">
        <v>0</v>
      </c>
      <c r="E103" s="40" t="n">
        <f aca="false">C103+D103</f>
        <v>9278.35051546392</v>
      </c>
      <c r="F103" s="40" t="n">
        <f aca="false">E104*$C$96</f>
        <v>1546.39175257732</v>
      </c>
      <c r="G103" s="40" t="n">
        <f aca="false">F102</f>
        <v>1855.67010309278</v>
      </c>
      <c r="H103" s="42" t="n">
        <f aca="false">E103+F103-G103</f>
        <v>8969.07216494846</v>
      </c>
      <c r="I103" s="24" t="n">
        <f aca="false">H103*$I$18</f>
        <v>1748.20898130351</v>
      </c>
      <c r="J103" s="24" t="n">
        <f aca="false">I103*IF($G$18="Sí",$C$9,0)</f>
        <v>314.677616634632</v>
      </c>
      <c r="K103" s="36" t="n">
        <f aca="false">I103+J103</f>
        <v>2062.88659793815</v>
      </c>
    </row>
    <row r="104" customFormat="false" ht="15" hidden="false" customHeight="false" outlineLevel="0" collapsed="false">
      <c r="B104" s="10" t="s">
        <v>117</v>
      </c>
      <c r="C104" s="40" t="n">
        <f aca="false">$C$82*$F$30</f>
        <v>7731.9587628866</v>
      </c>
      <c r="D104" s="41" t="n">
        <v>0</v>
      </c>
      <c r="E104" s="40" t="n">
        <f aca="false">C104+D104</f>
        <v>7731.9587628866</v>
      </c>
      <c r="F104" s="40" t="n">
        <f aca="false">E105*$C$96</f>
        <v>1649.48453608247</v>
      </c>
      <c r="G104" s="40" t="n">
        <f aca="false">F103</f>
        <v>1546.39175257732</v>
      </c>
      <c r="H104" s="42" t="n">
        <f aca="false">E104+F104-G104</f>
        <v>7835.05154639175</v>
      </c>
      <c r="I104" s="24" t="n">
        <f aca="false">H104*$I$18</f>
        <v>1527.17106412721</v>
      </c>
      <c r="J104" s="24" t="n">
        <f aca="false">I104*IF($G$18="Sí",$C$9,0)</f>
        <v>274.890791542897</v>
      </c>
      <c r="K104" s="36" t="n">
        <f aca="false">I104+J104</f>
        <v>1802.0618556701</v>
      </c>
    </row>
    <row r="105" customFormat="false" ht="15" hidden="false" customHeight="false" outlineLevel="0" collapsed="false">
      <c r="B105" s="10" t="s">
        <v>118</v>
      </c>
      <c r="C105" s="40" t="n">
        <f aca="false">$C$83*$F$30</f>
        <v>8247.42268041237</v>
      </c>
      <c r="D105" s="41" t="n">
        <v>0</v>
      </c>
      <c r="E105" s="40" t="n">
        <f aca="false">C105+D105</f>
        <v>8247.42268041237</v>
      </c>
      <c r="F105" s="40" t="n">
        <f aca="false">E106*$C$96</f>
        <v>1752.57731958763</v>
      </c>
      <c r="G105" s="40" t="n">
        <f aca="false">F104</f>
        <v>1649.48453608247</v>
      </c>
      <c r="H105" s="42" t="n">
        <f aca="false">E105+F105-G105</f>
        <v>8350.51546391753</v>
      </c>
      <c r="I105" s="24" t="n">
        <f aca="false">H105*$I$18</f>
        <v>1627.64284466189</v>
      </c>
      <c r="J105" s="24" t="n">
        <f aca="false">I105*IF($G$18="Sí",$C$9,0)</f>
        <v>292.97571203914</v>
      </c>
      <c r="K105" s="36" t="n">
        <f aca="false">I105+J105</f>
        <v>1920.61855670103</v>
      </c>
    </row>
    <row r="106" customFormat="false" ht="15" hidden="false" customHeight="false" outlineLevel="0" collapsed="false">
      <c r="B106" s="10" t="s">
        <v>119</v>
      </c>
      <c r="C106" s="40" t="n">
        <f aca="false">$C$84*$F$30</f>
        <v>8762.88659793814</v>
      </c>
      <c r="D106" s="41" t="n">
        <v>0</v>
      </c>
      <c r="E106" s="40" t="n">
        <f aca="false">C106+D106</f>
        <v>8762.88659793814</v>
      </c>
      <c r="F106" s="40" t="n">
        <f aca="false">E107*$C$96</f>
        <v>1546.39175257732</v>
      </c>
      <c r="G106" s="40" t="n">
        <f aca="false">F105</f>
        <v>1752.57731958763</v>
      </c>
      <c r="H106" s="42" t="n">
        <f aca="false">E106+F106-G106</f>
        <v>8556.70103092783</v>
      </c>
      <c r="I106" s="24" t="n">
        <f aca="false">H106*$I$18</f>
        <v>1667.83155687576</v>
      </c>
      <c r="J106" s="24" t="n">
        <f aca="false">I106*IF($G$18="Sí",$C$9,0)</f>
        <v>300.209680237638</v>
      </c>
      <c r="K106" s="36" t="n">
        <f aca="false">I106+J106</f>
        <v>1968.0412371134</v>
      </c>
    </row>
    <row r="107" customFormat="false" ht="15" hidden="false" customHeight="false" outlineLevel="0" collapsed="false">
      <c r="B107" s="10" t="s">
        <v>120</v>
      </c>
      <c r="C107" s="40" t="n">
        <f aca="false">$C$85*$F$30</f>
        <v>7731.9587628866</v>
      </c>
      <c r="D107" s="41" t="n">
        <v>0</v>
      </c>
      <c r="E107" s="40" t="n">
        <f aca="false">C107+D107</f>
        <v>7731.9587628866</v>
      </c>
      <c r="F107" s="40" t="n">
        <f aca="false">E108*$C$96</f>
        <v>1649.48453608247</v>
      </c>
      <c r="G107" s="40" t="n">
        <f aca="false">F106</f>
        <v>1546.39175257732</v>
      </c>
      <c r="H107" s="42" t="n">
        <f aca="false">E107+F107-G107</f>
        <v>7835.05154639175</v>
      </c>
      <c r="I107" s="24" t="n">
        <f aca="false">H107*$I$18</f>
        <v>1527.17106412721</v>
      </c>
      <c r="J107" s="24" t="n">
        <f aca="false">I107*IF($G$18="Sí",$C$9,0)</f>
        <v>274.890791542897</v>
      </c>
      <c r="K107" s="36" t="n">
        <f aca="false">I107+J107</f>
        <v>1802.0618556701</v>
      </c>
    </row>
    <row r="108" customFormat="false" ht="15" hidden="false" customHeight="false" outlineLevel="0" collapsed="false">
      <c r="B108" s="10" t="s">
        <v>121</v>
      </c>
      <c r="C108" s="40" t="n">
        <f aca="false">$C$86*$F$30</f>
        <v>8247.42268041237</v>
      </c>
      <c r="D108" s="41" t="n">
        <v>0</v>
      </c>
      <c r="E108" s="40" t="n">
        <f aca="false">C108+D108</f>
        <v>8247.42268041237</v>
      </c>
      <c r="F108" s="40" t="n">
        <f aca="false">E109*$C$96</f>
        <v>1752.57731958763</v>
      </c>
      <c r="G108" s="40" t="n">
        <f aca="false">F107</f>
        <v>1649.48453608247</v>
      </c>
      <c r="H108" s="42" t="n">
        <f aca="false">E108+F108-G108</f>
        <v>8350.51546391753</v>
      </c>
      <c r="I108" s="24" t="n">
        <f aca="false">H108*$I$18</f>
        <v>1627.64284466189</v>
      </c>
      <c r="J108" s="24" t="n">
        <f aca="false">I108*IF($G$18="Sí",$C$9,0)</f>
        <v>292.97571203914</v>
      </c>
      <c r="K108" s="36" t="n">
        <f aca="false">I108+J108</f>
        <v>1920.61855670103</v>
      </c>
    </row>
    <row r="109" customFormat="false" ht="15" hidden="false" customHeight="false" outlineLevel="0" collapsed="false">
      <c r="B109" s="10" t="s">
        <v>122</v>
      </c>
      <c r="C109" s="40" t="n">
        <f aca="false">$C$87*$F$30</f>
        <v>8762.88659793814</v>
      </c>
      <c r="D109" s="41" t="n">
        <v>0</v>
      </c>
      <c r="E109" s="40" t="n">
        <f aca="false">C109+D109</f>
        <v>8762.88659793814</v>
      </c>
      <c r="F109" s="40" t="n">
        <f aca="false">E110*$C$96</f>
        <v>2474.22680412371</v>
      </c>
      <c r="G109" s="40" t="n">
        <f aca="false">F108</f>
        <v>1752.57731958763</v>
      </c>
      <c r="H109" s="42" t="n">
        <f aca="false">E109+F109-G109</f>
        <v>9484.53608247423</v>
      </c>
      <c r="I109" s="24" t="n">
        <f aca="false">H109*$I$18</f>
        <v>1848.6807618382</v>
      </c>
      <c r="J109" s="24" t="n">
        <f aca="false">I109*IF($G$18="Sí",$C$9,0)</f>
        <v>332.762537130875</v>
      </c>
      <c r="K109" s="36" t="n">
        <f aca="false">I109+J109</f>
        <v>2181.44329896907</v>
      </c>
    </row>
    <row r="110" customFormat="false" ht="15" hidden="false" customHeight="false" outlineLevel="0" collapsed="false">
      <c r="B110" s="10" t="s">
        <v>123</v>
      </c>
      <c r="C110" s="40" t="n">
        <f aca="false">$C$88*$F$30</f>
        <v>12371.1340206186</v>
      </c>
      <c r="D110" s="41" t="n">
        <v>0</v>
      </c>
      <c r="E110" s="40" t="n">
        <f aca="false">C110+D110</f>
        <v>12371.1340206186</v>
      </c>
      <c r="F110" s="40" t="n">
        <f aca="false">E112*$C$96</f>
        <v>1484.53608247423</v>
      </c>
      <c r="G110" s="40" t="n">
        <f aca="false">F109</f>
        <v>2474.22680412371</v>
      </c>
      <c r="H110" s="42" t="n">
        <f aca="false">E110+F110-G110</f>
        <v>11381.4432989691</v>
      </c>
      <c r="I110" s="24" t="n">
        <f aca="false">H110*$I$18</f>
        <v>2218.41691420584</v>
      </c>
      <c r="J110" s="24" t="n">
        <f aca="false">I110*IF($G$18="Sí",$C$9,0)</f>
        <v>399.315044557051</v>
      </c>
      <c r="K110" s="36" t="n">
        <f aca="false">I110+J110</f>
        <v>2617.73195876289</v>
      </c>
    </row>
    <row r="111" customFormat="false" ht="15" hidden="false" customHeight="false" outlineLevel="0" collapsed="false">
      <c r="B111" s="38" t="s">
        <v>124</v>
      </c>
      <c r="C111" s="31"/>
      <c r="D111" s="31"/>
      <c r="E111" s="43" t="n">
        <f aca="false">SUM(E99:E110)</f>
        <v>100000</v>
      </c>
      <c r="F111" s="31"/>
      <c r="G111" s="31"/>
      <c r="H111" s="43" t="n">
        <f aca="false">SUM(H99:H110)</f>
        <v>99984.5360824742</v>
      </c>
      <c r="I111" s="44" t="n">
        <f aca="false">SUM(I99:I110)</f>
        <v>19488.5112703128</v>
      </c>
      <c r="J111" s="44" t="n">
        <f aca="false">SUM(J99:J110)</f>
        <v>3507.9320286563</v>
      </c>
      <c r="K111" s="44" t="n">
        <f aca="false">SUM(K99:K110)</f>
        <v>22996.4432989691</v>
      </c>
    </row>
    <row r="112" customFormat="false" ht="15" hidden="false" customHeight="false" outlineLevel="0" collapsed="false">
      <c r="B112" s="10" t="s">
        <v>147</v>
      </c>
      <c r="C112" s="40" t="n">
        <f aca="false">$C$89*$F$30</f>
        <v>7422.68041237113</v>
      </c>
      <c r="D112" s="41" t="n">
        <v>0</v>
      </c>
      <c r="E112" s="40" t="n">
        <f aca="false">C112+D112</f>
        <v>7422.68041237113</v>
      </c>
      <c r="F112" s="19" t="s">
        <v>126</v>
      </c>
      <c r="G112" s="19" t="s">
        <v>126</v>
      </c>
      <c r="H112" s="19" t="s">
        <v>126</v>
      </c>
      <c r="I112" s="19" t="s">
        <v>126</v>
      </c>
      <c r="J112" s="19" t="s">
        <v>126</v>
      </c>
      <c r="K112" s="19" t="s">
        <v>126</v>
      </c>
    </row>
    <row r="114" customFormat="false" ht="15" hidden="false" customHeight="false" outlineLevel="0" collapsed="false">
      <c r="B114" s="18" t="s">
        <v>148</v>
      </c>
    </row>
    <row r="115" customFormat="false" ht="25.5" hidden="false" customHeight="true" outlineLevel="0" collapsed="false">
      <c r="B115" s="20" t="s">
        <v>137</v>
      </c>
      <c r="C115" s="29" t="n">
        <v>0.2</v>
      </c>
    </row>
    <row r="116" customFormat="false" ht="15" hidden="false" customHeight="false" outlineLevel="0" collapsed="false">
      <c r="B116" s="10" t="s">
        <v>138</v>
      </c>
      <c r="C116" s="21" t="n">
        <v>80</v>
      </c>
    </row>
    <row r="117" customFormat="false" ht="39.75" hidden="false" customHeight="true" outlineLevel="0" collapsed="false">
      <c r="B117" s="5" t="s">
        <v>108</v>
      </c>
      <c r="C117" s="5" t="s">
        <v>139</v>
      </c>
      <c r="D117" s="5" t="s">
        <v>140</v>
      </c>
      <c r="E117" s="5" t="s">
        <v>141</v>
      </c>
      <c r="F117" s="5" t="s">
        <v>142</v>
      </c>
      <c r="G117" s="5" t="s">
        <v>143</v>
      </c>
      <c r="H117" s="5" t="s">
        <v>144</v>
      </c>
      <c r="I117" s="5" t="s">
        <v>49</v>
      </c>
      <c r="J117" s="5" t="s">
        <v>145</v>
      </c>
      <c r="K117" s="5" t="s">
        <v>146</v>
      </c>
    </row>
    <row r="118" customFormat="false" ht="15" hidden="false" customHeight="false" outlineLevel="0" collapsed="false">
      <c r="B118" s="10" t="s">
        <v>112</v>
      </c>
      <c r="C118" s="41" t="n">
        <v>0</v>
      </c>
      <c r="D118" s="40" t="n">
        <f aca="false">$D$77*$F$36</f>
        <v>315.789473684211</v>
      </c>
      <c r="E118" s="40" t="n">
        <f aca="false">C118+D118</f>
        <v>315.789473684211</v>
      </c>
      <c r="F118" s="40" t="n">
        <f aca="false">E119*$C$115</f>
        <v>58.9473684210526</v>
      </c>
      <c r="G118" s="40" t="n">
        <f aca="false">$C$116</f>
        <v>80</v>
      </c>
      <c r="H118" s="42" t="n">
        <f aca="false">E118+F118-G118</f>
        <v>294.736842105263</v>
      </c>
      <c r="I118" s="24" t="n">
        <f aca="false">H118*$I$19</f>
        <v>197.323818019625</v>
      </c>
      <c r="J118" s="24" t="n">
        <f aca="false">I118*IF($G$19="Sí",$C$9,0)</f>
        <v>35.5182872435326</v>
      </c>
      <c r="K118" s="36" t="n">
        <f aca="false">I118+J118</f>
        <v>232.842105263158</v>
      </c>
    </row>
    <row r="119" customFormat="false" ht="15" hidden="false" customHeight="false" outlineLevel="0" collapsed="false">
      <c r="B119" s="10" t="s">
        <v>113</v>
      </c>
      <c r="C119" s="41" t="n">
        <v>0</v>
      </c>
      <c r="D119" s="40" t="n">
        <f aca="false">$D$78*$F$36</f>
        <v>294.736842105263</v>
      </c>
      <c r="E119" s="40" t="n">
        <f aca="false">C119+D119</f>
        <v>294.736842105263</v>
      </c>
      <c r="F119" s="40" t="n">
        <f aca="false">E120*$C$115</f>
        <v>73.6842105263158</v>
      </c>
      <c r="G119" s="40" t="n">
        <f aca="false">F118</f>
        <v>58.9473684210526</v>
      </c>
      <c r="H119" s="42" t="n">
        <f aca="false">E119+F119-G119</f>
        <v>309.473684210526</v>
      </c>
      <c r="I119" s="24" t="n">
        <f aca="false">H119*$I$19</f>
        <v>207.190008920607</v>
      </c>
      <c r="J119" s="24" t="n">
        <f aca="false">I119*IF($G$19="Sí",$C$9,0)</f>
        <v>37.2942016057092</v>
      </c>
      <c r="K119" s="36" t="n">
        <f aca="false">I119+J119</f>
        <v>244.484210526316</v>
      </c>
    </row>
    <row r="120" customFormat="false" ht="15" hidden="false" customHeight="false" outlineLevel="0" collapsed="false">
      <c r="B120" s="10" t="s">
        <v>114</v>
      </c>
      <c r="C120" s="41" t="n">
        <v>0</v>
      </c>
      <c r="D120" s="40" t="n">
        <f aca="false">$D$79*$F$36</f>
        <v>368.421052631579</v>
      </c>
      <c r="E120" s="40" t="n">
        <f aca="false">C120+D120</f>
        <v>368.421052631579</v>
      </c>
      <c r="F120" s="40" t="n">
        <f aca="false">E121*$C$115</f>
        <v>67.3684210526316</v>
      </c>
      <c r="G120" s="40" t="n">
        <f aca="false">F119</f>
        <v>73.6842105263158</v>
      </c>
      <c r="H120" s="42" t="n">
        <f aca="false">E120+F120-G120</f>
        <v>362.105263157895</v>
      </c>
      <c r="I120" s="24" t="n">
        <f aca="false">H120*$I$19</f>
        <v>242.42640499554</v>
      </c>
      <c r="J120" s="24" t="n">
        <f aca="false">I120*IF($G$19="Sí",$C$9,0)</f>
        <v>43.6367528991971</v>
      </c>
      <c r="K120" s="36" t="n">
        <f aca="false">I120+J120</f>
        <v>286.063157894737</v>
      </c>
    </row>
    <row r="121" customFormat="false" ht="15" hidden="false" customHeight="false" outlineLevel="0" collapsed="false">
      <c r="B121" s="10" t="s">
        <v>115</v>
      </c>
      <c r="C121" s="41" t="n">
        <v>0</v>
      </c>
      <c r="D121" s="40" t="n">
        <f aca="false">$D$80*$F$36</f>
        <v>336.842105263158</v>
      </c>
      <c r="E121" s="40" t="n">
        <f aca="false">C121+D121</f>
        <v>336.842105263158</v>
      </c>
      <c r="F121" s="40" t="n">
        <f aca="false">E122*$C$115</f>
        <v>105.263157894737</v>
      </c>
      <c r="G121" s="40" t="n">
        <f aca="false">F120</f>
        <v>67.3684210526316</v>
      </c>
      <c r="H121" s="42" t="n">
        <f aca="false">E121+F121-G121</f>
        <v>374.736842105263</v>
      </c>
      <c r="I121" s="24" t="n">
        <f aca="false">H121*$I$19</f>
        <v>250.883140053524</v>
      </c>
      <c r="J121" s="24" t="n">
        <f aca="false">I121*IF($G$19="Sí",$C$9,0)</f>
        <v>45.1589652096342</v>
      </c>
      <c r="K121" s="36" t="n">
        <f aca="false">I121+J121</f>
        <v>296.042105263158</v>
      </c>
    </row>
    <row r="122" customFormat="false" ht="15" hidden="false" customHeight="false" outlineLevel="0" collapsed="false">
      <c r="B122" s="10" t="s">
        <v>116</v>
      </c>
      <c r="C122" s="41" t="n">
        <v>0</v>
      </c>
      <c r="D122" s="40" t="n">
        <f aca="false">$D$81*$F$36</f>
        <v>526.315789473684</v>
      </c>
      <c r="E122" s="40" t="n">
        <f aca="false">C122+D122</f>
        <v>526.315789473684</v>
      </c>
      <c r="F122" s="40" t="n">
        <f aca="false">E123*$C$115</f>
        <v>80</v>
      </c>
      <c r="G122" s="40" t="n">
        <f aca="false">F121</f>
        <v>105.263157894737</v>
      </c>
      <c r="H122" s="42" t="n">
        <f aca="false">E122+F122-G122</f>
        <v>501.052631578947</v>
      </c>
      <c r="I122" s="24" t="n">
        <f aca="false">H122*$I$19</f>
        <v>335.450490633363</v>
      </c>
      <c r="J122" s="24" t="n">
        <f aca="false">I122*IF($G$19="Sí",$C$9,0)</f>
        <v>60.3810883140054</v>
      </c>
      <c r="K122" s="36" t="n">
        <f aca="false">I122+J122</f>
        <v>395.831578947368</v>
      </c>
    </row>
    <row r="123" customFormat="false" ht="15" hidden="false" customHeight="false" outlineLevel="0" collapsed="false">
      <c r="B123" s="10" t="s">
        <v>117</v>
      </c>
      <c r="C123" s="41" t="n">
        <v>0</v>
      </c>
      <c r="D123" s="40" t="n">
        <f aca="false">$D$82*$F$36</f>
        <v>400</v>
      </c>
      <c r="E123" s="40" t="n">
        <f aca="false">C123+D123</f>
        <v>400</v>
      </c>
      <c r="F123" s="40" t="n">
        <f aca="false">E124*$C$115</f>
        <v>84.2105263157895</v>
      </c>
      <c r="G123" s="40" t="n">
        <f aca="false">F122</f>
        <v>80</v>
      </c>
      <c r="H123" s="42" t="n">
        <f aca="false">E123+F123-G123</f>
        <v>404.21052631579</v>
      </c>
      <c r="I123" s="24" t="n">
        <f aca="false">H123*$I$19</f>
        <v>270.615521855486</v>
      </c>
      <c r="J123" s="24" t="n">
        <f aca="false">I123*IF($G$19="Sí",$C$9,0)</f>
        <v>48.7107939339875</v>
      </c>
      <c r="K123" s="36" t="n">
        <f aca="false">I123+J123</f>
        <v>319.326315789474</v>
      </c>
    </row>
    <row r="124" customFormat="false" ht="15" hidden="false" customHeight="false" outlineLevel="0" collapsed="false">
      <c r="B124" s="10" t="s">
        <v>118</v>
      </c>
      <c r="C124" s="41" t="n">
        <v>0</v>
      </c>
      <c r="D124" s="40" t="n">
        <f aca="false">$D$83*$F$36</f>
        <v>421.052631578947</v>
      </c>
      <c r="E124" s="40" t="n">
        <f aca="false">C124+D124</f>
        <v>421.052631578947</v>
      </c>
      <c r="F124" s="40" t="n">
        <f aca="false">E125*$C$115</f>
        <v>94.7368421052632</v>
      </c>
      <c r="G124" s="40" t="n">
        <f aca="false">F123</f>
        <v>84.2105263157895</v>
      </c>
      <c r="H124" s="42" t="n">
        <f aca="false">E124+F124-G124</f>
        <v>431.578947368421</v>
      </c>
      <c r="I124" s="24" t="n">
        <f aca="false">H124*$I$19</f>
        <v>288.938447814451</v>
      </c>
      <c r="J124" s="24" t="n">
        <f aca="false">I124*IF($G$19="Sí",$C$9,0)</f>
        <v>52.0089206066012</v>
      </c>
      <c r="K124" s="36" t="n">
        <f aca="false">I124+J124</f>
        <v>340.947368421053</v>
      </c>
    </row>
    <row r="125" customFormat="false" ht="15" hidden="false" customHeight="false" outlineLevel="0" collapsed="false">
      <c r="B125" s="10" t="s">
        <v>119</v>
      </c>
      <c r="C125" s="41" t="n">
        <v>0</v>
      </c>
      <c r="D125" s="40" t="n">
        <f aca="false">$D$84*$F$36</f>
        <v>473.684210526316</v>
      </c>
      <c r="E125" s="40" t="n">
        <f aca="false">C125+D125</f>
        <v>473.684210526316</v>
      </c>
      <c r="F125" s="40" t="n">
        <f aca="false">E126*$C$115</f>
        <v>80</v>
      </c>
      <c r="G125" s="40" t="n">
        <f aca="false">F124</f>
        <v>94.7368421052632</v>
      </c>
      <c r="H125" s="42" t="n">
        <f aca="false">E125+F125-G125</f>
        <v>458.947368421053</v>
      </c>
      <c r="I125" s="24" t="n">
        <f aca="false">H125*$I$19</f>
        <v>307.261373773417</v>
      </c>
      <c r="J125" s="24" t="n">
        <f aca="false">I125*IF($G$19="Sí",$C$9,0)</f>
        <v>55.307047279215</v>
      </c>
      <c r="K125" s="36" t="n">
        <f aca="false">I125+J125</f>
        <v>362.568421052632</v>
      </c>
    </row>
    <row r="126" customFormat="false" ht="15" hidden="false" customHeight="false" outlineLevel="0" collapsed="false">
      <c r="B126" s="10" t="s">
        <v>120</v>
      </c>
      <c r="C126" s="41" t="n">
        <v>0</v>
      </c>
      <c r="D126" s="40" t="n">
        <f aca="false">$D$85*$F$36</f>
        <v>400</v>
      </c>
      <c r="E126" s="40" t="n">
        <f aca="false">C126+D126</f>
        <v>400</v>
      </c>
      <c r="F126" s="40" t="n">
        <f aca="false">E127*$C$115</f>
        <v>84.2105263157895</v>
      </c>
      <c r="G126" s="40" t="n">
        <f aca="false">F125</f>
        <v>80</v>
      </c>
      <c r="H126" s="42" t="n">
        <f aca="false">E126+F126-G126</f>
        <v>404.21052631579</v>
      </c>
      <c r="I126" s="24" t="n">
        <f aca="false">H126*$I$19</f>
        <v>270.615521855486</v>
      </c>
      <c r="J126" s="24" t="n">
        <f aca="false">I126*IF($G$19="Sí",$C$9,0)</f>
        <v>48.7107939339875</v>
      </c>
      <c r="K126" s="36" t="n">
        <f aca="false">I126+J126</f>
        <v>319.326315789474</v>
      </c>
    </row>
    <row r="127" customFormat="false" ht="15" hidden="false" customHeight="false" outlineLevel="0" collapsed="false">
      <c r="B127" s="10" t="s">
        <v>121</v>
      </c>
      <c r="C127" s="41" t="n">
        <v>0</v>
      </c>
      <c r="D127" s="40" t="n">
        <f aca="false">$D$86*$F$36</f>
        <v>421.052631578947</v>
      </c>
      <c r="E127" s="40" t="n">
        <f aca="false">C127+D127</f>
        <v>421.052631578947</v>
      </c>
      <c r="F127" s="40" t="n">
        <f aca="false">E128*$C$115</f>
        <v>94.7368421052632</v>
      </c>
      <c r="G127" s="40" t="n">
        <f aca="false">F126</f>
        <v>84.2105263157895</v>
      </c>
      <c r="H127" s="42" t="n">
        <f aca="false">E127+F127-G127</f>
        <v>431.578947368421</v>
      </c>
      <c r="I127" s="24" t="n">
        <f aca="false">H127*$I$19</f>
        <v>288.938447814451</v>
      </c>
      <c r="J127" s="24" t="n">
        <f aca="false">I127*IF($G$19="Sí",$C$9,0)</f>
        <v>52.0089206066012</v>
      </c>
      <c r="K127" s="36" t="n">
        <f aca="false">I127+J127</f>
        <v>340.947368421053</v>
      </c>
    </row>
    <row r="128" customFormat="false" ht="15" hidden="false" customHeight="false" outlineLevel="0" collapsed="false">
      <c r="B128" s="10" t="s">
        <v>122</v>
      </c>
      <c r="C128" s="41" t="n">
        <v>0</v>
      </c>
      <c r="D128" s="40" t="n">
        <f aca="false">$D$87*$F$36</f>
        <v>473.684210526316</v>
      </c>
      <c r="E128" s="40" t="n">
        <f aca="false">C128+D128</f>
        <v>473.684210526316</v>
      </c>
      <c r="F128" s="40" t="n">
        <f aca="false">E129*$C$115</f>
        <v>147.368421052632</v>
      </c>
      <c r="G128" s="40" t="n">
        <f aca="false">F127</f>
        <v>94.7368421052632</v>
      </c>
      <c r="H128" s="42" t="n">
        <f aca="false">E128+F128-G128</f>
        <v>526.315789473684</v>
      </c>
      <c r="I128" s="24" t="n">
        <f aca="false">H128*$I$19</f>
        <v>352.363960749331</v>
      </c>
      <c r="J128" s="24" t="n">
        <f aca="false">I128*IF($G$19="Sí",$C$9,0)</f>
        <v>63.4255129348796</v>
      </c>
      <c r="K128" s="36" t="n">
        <f aca="false">I128+J128</f>
        <v>415.789473684211</v>
      </c>
    </row>
    <row r="129" customFormat="false" ht="15" hidden="false" customHeight="false" outlineLevel="0" collapsed="false">
      <c r="B129" s="10" t="s">
        <v>123</v>
      </c>
      <c r="C129" s="41" t="n">
        <v>0</v>
      </c>
      <c r="D129" s="40" t="n">
        <f aca="false">$D$88*$F$36</f>
        <v>736.842105263158</v>
      </c>
      <c r="E129" s="40" t="n">
        <f aca="false">C129+D129</f>
        <v>736.842105263158</v>
      </c>
      <c r="F129" s="40" t="n">
        <f aca="false">E131*$C$115</f>
        <v>65.2631578947369</v>
      </c>
      <c r="G129" s="40" t="n">
        <f aca="false">F128</f>
        <v>147.368421052632</v>
      </c>
      <c r="H129" s="42" t="n">
        <f aca="false">E129+F129-G129</f>
        <v>654.736842105263</v>
      </c>
      <c r="I129" s="24" t="n">
        <f aca="false">H129*$I$19</f>
        <v>438.340767172168</v>
      </c>
      <c r="J129" s="24" t="n">
        <f aca="false">I129*IF($G$19="Sí",$C$9,0)</f>
        <v>78.9013380909902</v>
      </c>
      <c r="K129" s="36" t="n">
        <f aca="false">I129+J129</f>
        <v>517.242105263158</v>
      </c>
    </row>
    <row r="130" customFormat="false" ht="15" hidden="false" customHeight="false" outlineLevel="0" collapsed="false">
      <c r="B130" s="38" t="s">
        <v>124</v>
      </c>
      <c r="C130" s="31"/>
      <c r="D130" s="31"/>
      <c r="E130" s="43" t="n">
        <f aca="false">SUM(E118:E129)</f>
        <v>5168.42105263158</v>
      </c>
      <c r="F130" s="31"/>
      <c r="G130" s="31"/>
      <c r="H130" s="43" t="n">
        <f aca="false">SUM(H118:H129)</f>
        <v>5153.68421052632</v>
      </c>
      <c r="I130" s="44" t="n">
        <f aca="false">SUM(I118:I129)</f>
        <v>3450.34790365745</v>
      </c>
      <c r="J130" s="44" t="n">
        <f aca="false">SUM(J118:J129)</f>
        <v>621.062622658341</v>
      </c>
      <c r="K130" s="44" t="n">
        <f aca="false">SUM(K118:K129)</f>
        <v>4071.41052631579</v>
      </c>
    </row>
    <row r="131" customFormat="false" ht="15" hidden="false" customHeight="false" outlineLevel="0" collapsed="false">
      <c r="B131" s="10" t="s">
        <v>147</v>
      </c>
      <c r="C131" s="41" t="n">
        <v>0</v>
      </c>
      <c r="D131" s="40" t="n">
        <f aca="false">$D$89*$F$36</f>
        <v>326.315789473684</v>
      </c>
      <c r="E131" s="40" t="n">
        <f aca="false">C131+D131</f>
        <v>326.315789473684</v>
      </c>
      <c r="F131" s="19" t="s">
        <v>126</v>
      </c>
      <c r="G131" s="19" t="s">
        <v>126</v>
      </c>
      <c r="H131" s="19" t="s">
        <v>126</v>
      </c>
      <c r="I131" s="19" t="s">
        <v>126</v>
      </c>
      <c r="J131" s="19" t="s">
        <v>126</v>
      </c>
      <c r="K131" s="19" t="s">
        <v>126</v>
      </c>
    </row>
    <row r="133" customFormat="false" ht="15" hidden="false" customHeight="false" outlineLevel="0" collapsed="false">
      <c r="B133" s="18" t="s">
        <v>149</v>
      </c>
    </row>
    <row r="134" customFormat="false" ht="25.5" hidden="false" customHeight="true" outlineLevel="0" collapsed="false">
      <c r="B134" s="20" t="s">
        <v>137</v>
      </c>
      <c r="C134" s="29" t="n">
        <v>0.2</v>
      </c>
    </row>
    <row r="135" customFormat="false" ht="15" hidden="false" customHeight="false" outlineLevel="0" collapsed="false">
      <c r="B135" s="10" t="s">
        <v>150</v>
      </c>
      <c r="C135" s="21" t="n">
        <v>700</v>
      </c>
    </row>
    <row r="136" customFormat="false" ht="39.75" hidden="false" customHeight="true" outlineLevel="0" collapsed="false">
      <c r="B136" s="5" t="s">
        <v>108</v>
      </c>
      <c r="C136" s="5" t="s">
        <v>139</v>
      </c>
      <c r="D136" s="5" t="s">
        <v>140</v>
      </c>
      <c r="E136" s="5" t="s">
        <v>141</v>
      </c>
      <c r="F136" s="5" t="s">
        <v>142</v>
      </c>
      <c r="G136" s="5" t="s">
        <v>143</v>
      </c>
      <c r="H136" s="5" t="s">
        <v>144</v>
      </c>
      <c r="I136" s="5" t="s">
        <v>49</v>
      </c>
      <c r="J136" s="5" t="s">
        <v>145</v>
      </c>
      <c r="K136" s="5" t="s">
        <v>146</v>
      </c>
    </row>
    <row r="137" customFormat="false" ht="15" hidden="false" customHeight="false" outlineLevel="0" collapsed="false">
      <c r="B137" s="10" t="s">
        <v>112</v>
      </c>
      <c r="C137" s="40" t="n">
        <f aca="false">$C$77*$F$31</f>
        <v>1842.10526315789</v>
      </c>
      <c r="D137" s="40" t="n">
        <f aca="false">$D$77*$F$37</f>
        <v>347.368421052632</v>
      </c>
      <c r="E137" s="40" t="n">
        <f aca="false">C137+D137</f>
        <v>2189.47368421053</v>
      </c>
      <c r="F137" s="40" t="n">
        <f aca="false">E138*$C$134</f>
        <v>406.947368421053</v>
      </c>
      <c r="G137" s="40" t="n">
        <f aca="false">$C$135</f>
        <v>700</v>
      </c>
      <c r="H137" s="42" t="n">
        <f aca="false">E137+F137-G137</f>
        <v>1896.42105263158</v>
      </c>
      <c r="I137" s="24" t="n">
        <f aca="false">H137*$I$20</f>
        <v>1124.9955396967</v>
      </c>
      <c r="J137" s="24" t="n">
        <f aca="false">I137*IF($G$20="Sí",$C$9,0)</f>
        <v>202.499197145406</v>
      </c>
      <c r="K137" s="36" t="n">
        <f aca="false">I137+J137</f>
        <v>1327.4947368421</v>
      </c>
    </row>
    <row r="138" customFormat="false" ht="15" hidden="false" customHeight="false" outlineLevel="0" collapsed="false">
      <c r="B138" s="10" t="s">
        <v>113</v>
      </c>
      <c r="C138" s="40" t="n">
        <f aca="false">$C$78*$F$31</f>
        <v>1710.52631578947</v>
      </c>
      <c r="D138" s="40" t="n">
        <f aca="false">$D$78*$F$37</f>
        <v>324.21052631579</v>
      </c>
      <c r="E138" s="40" t="n">
        <f aca="false">C138+D138</f>
        <v>2034.73684210526</v>
      </c>
      <c r="F138" s="40" t="n">
        <f aca="false">E139*$C$134</f>
        <v>475.789473684211</v>
      </c>
      <c r="G138" s="40" t="n">
        <f aca="false">F137</f>
        <v>406.947368421053</v>
      </c>
      <c r="H138" s="42" t="n">
        <f aca="false">E138+F138-G138</f>
        <v>2103.57894736842</v>
      </c>
      <c r="I138" s="24" t="n">
        <f aca="false">H138*$I$20</f>
        <v>1247.8858162355</v>
      </c>
      <c r="J138" s="24" t="n">
        <f aca="false">I138*IF($G$20="Sí",$C$9,0)</f>
        <v>224.619446922391</v>
      </c>
      <c r="K138" s="36" t="n">
        <f aca="false">I138+J138</f>
        <v>1472.50526315789</v>
      </c>
    </row>
    <row r="139" customFormat="false" ht="15" hidden="false" customHeight="false" outlineLevel="0" collapsed="false">
      <c r="B139" s="10" t="s">
        <v>114</v>
      </c>
      <c r="C139" s="40" t="n">
        <f aca="false">$C$79*$F$31</f>
        <v>1973.68421052632</v>
      </c>
      <c r="D139" s="40" t="n">
        <f aca="false">$D$79*$F$37</f>
        <v>405.263157894737</v>
      </c>
      <c r="E139" s="40" t="n">
        <f aca="false">C139+D139</f>
        <v>2378.94736842105</v>
      </c>
      <c r="F139" s="40" t="n">
        <f aca="false">E140*$C$134</f>
        <v>442.526315789474</v>
      </c>
      <c r="G139" s="40" t="n">
        <f aca="false">F138</f>
        <v>475.789473684211</v>
      </c>
      <c r="H139" s="42" t="n">
        <f aca="false">E139+F139-G139</f>
        <v>2345.68421052632</v>
      </c>
      <c r="I139" s="24" t="n">
        <f aca="false">H139*$I$20</f>
        <v>1391.50758251561</v>
      </c>
      <c r="J139" s="24" t="n">
        <f aca="false">I139*IF($G$20="Sí",$C$9,0)</f>
        <v>250.47136485281</v>
      </c>
      <c r="K139" s="36" t="n">
        <f aca="false">I139+J139</f>
        <v>1641.97894736842</v>
      </c>
    </row>
    <row r="140" customFormat="false" ht="15" hidden="false" customHeight="false" outlineLevel="0" collapsed="false">
      <c r="B140" s="10" t="s">
        <v>115</v>
      </c>
      <c r="C140" s="40" t="n">
        <f aca="false">$C$80*$F$31</f>
        <v>1842.10526315789</v>
      </c>
      <c r="D140" s="40" t="n">
        <f aca="false">$D$80*$F$37</f>
        <v>370.526315789474</v>
      </c>
      <c r="E140" s="40" t="n">
        <f aca="false">C140+D140</f>
        <v>2212.63157894737</v>
      </c>
      <c r="F140" s="40" t="n">
        <f aca="false">E141*$C$134</f>
        <v>589.473684210526</v>
      </c>
      <c r="G140" s="40" t="n">
        <f aca="false">F139</f>
        <v>442.526315789474</v>
      </c>
      <c r="H140" s="42" t="n">
        <f aca="false">E140+F140-G140</f>
        <v>2359.57894736842</v>
      </c>
      <c r="I140" s="24" t="n">
        <f aca="false">H140*$I$20</f>
        <v>1399.75022301517</v>
      </c>
      <c r="J140" s="24" t="n">
        <f aca="false">I140*IF($G$20="Sí",$C$9,0)</f>
        <v>251.95504014273</v>
      </c>
      <c r="K140" s="36" t="n">
        <f aca="false">I140+J140</f>
        <v>1651.70526315789</v>
      </c>
    </row>
    <row r="141" customFormat="false" ht="15" hidden="false" customHeight="false" outlineLevel="0" collapsed="false">
      <c r="B141" s="10" t="s">
        <v>116</v>
      </c>
      <c r="C141" s="40" t="n">
        <f aca="false">$C$81*$F$31</f>
        <v>2368.42105263158</v>
      </c>
      <c r="D141" s="40" t="n">
        <f aca="false">$D$81*$F$37</f>
        <v>578.947368421053</v>
      </c>
      <c r="E141" s="40" t="n">
        <f aca="false">C141+D141</f>
        <v>2947.36842105263</v>
      </c>
      <c r="F141" s="40" t="n">
        <f aca="false">E142*$C$134</f>
        <v>482.736842105263</v>
      </c>
      <c r="G141" s="40" t="n">
        <f aca="false">F140</f>
        <v>589.473684210526</v>
      </c>
      <c r="H141" s="42" t="n">
        <f aca="false">E141+F141-G141</f>
        <v>2840.63157894737</v>
      </c>
      <c r="I141" s="24" t="n">
        <f aca="false">H141*$I$20</f>
        <v>1685.12042818912</v>
      </c>
      <c r="J141" s="24" t="n">
        <f aca="false">I141*IF($G$20="Sí",$C$9,0)</f>
        <v>303.321677074041</v>
      </c>
      <c r="K141" s="36" t="n">
        <f aca="false">I141+J141</f>
        <v>1988.44210526316</v>
      </c>
    </row>
    <row r="142" customFormat="false" ht="15" hidden="false" customHeight="false" outlineLevel="0" collapsed="false">
      <c r="B142" s="10" t="s">
        <v>117</v>
      </c>
      <c r="C142" s="40" t="n">
        <f aca="false">$C$82*$F$31</f>
        <v>1973.68421052632</v>
      </c>
      <c r="D142" s="40" t="n">
        <f aca="false">$D$82*$F$37</f>
        <v>440</v>
      </c>
      <c r="E142" s="40" t="n">
        <f aca="false">C142+D142</f>
        <v>2413.68421052632</v>
      </c>
      <c r="F142" s="40" t="n">
        <f aca="false">E143*$C$134</f>
        <v>513.684210526316</v>
      </c>
      <c r="G142" s="40" t="n">
        <f aca="false">F141</f>
        <v>482.736842105263</v>
      </c>
      <c r="H142" s="42" t="n">
        <f aca="false">E142+F142-G142</f>
        <v>2444.63157894737</v>
      </c>
      <c r="I142" s="24" t="n">
        <f aca="false">H142*$I$20</f>
        <v>1450.20517395183</v>
      </c>
      <c r="J142" s="24" t="n">
        <f aca="false">I142*IF($G$20="Sí",$C$9,0)</f>
        <v>261.036931311329</v>
      </c>
      <c r="K142" s="36" t="n">
        <f aca="false">I142+J142</f>
        <v>1711.24210526316</v>
      </c>
    </row>
    <row r="143" customFormat="false" ht="15" hidden="false" customHeight="false" outlineLevel="0" collapsed="false">
      <c r="B143" s="10" t="s">
        <v>118</v>
      </c>
      <c r="C143" s="40" t="n">
        <f aca="false">$C$83*$F$31</f>
        <v>2105.26315789474</v>
      </c>
      <c r="D143" s="40" t="n">
        <f aca="false">$D$83*$F$37</f>
        <v>463.157894736842</v>
      </c>
      <c r="E143" s="40" t="n">
        <f aca="false">C143+D143</f>
        <v>2568.42105263158</v>
      </c>
      <c r="F143" s="40" t="n">
        <f aca="false">E144*$C$134</f>
        <v>551.578947368421</v>
      </c>
      <c r="G143" s="40" t="n">
        <f aca="false">F142</f>
        <v>513.684210526316</v>
      </c>
      <c r="H143" s="42" t="n">
        <f aca="false">E143+F143-G143</f>
        <v>2606.31578947368</v>
      </c>
      <c r="I143" s="24" t="n">
        <f aca="false">H143*$I$20</f>
        <v>1546.11953612846</v>
      </c>
      <c r="J143" s="24" t="n">
        <f aca="false">I143*IF($G$20="Sí",$C$9,0)</f>
        <v>278.301516503122</v>
      </c>
      <c r="K143" s="36" t="n">
        <f aca="false">I143+J143</f>
        <v>1824.42105263158</v>
      </c>
    </row>
    <row r="144" customFormat="false" ht="15" hidden="false" customHeight="false" outlineLevel="0" collapsed="false">
      <c r="B144" s="10" t="s">
        <v>119</v>
      </c>
      <c r="C144" s="40" t="n">
        <f aca="false">$C$84*$F$31</f>
        <v>2236.84210526316</v>
      </c>
      <c r="D144" s="40" t="n">
        <f aca="false">$D$84*$F$37</f>
        <v>521.052631578947</v>
      </c>
      <c r="E144" s="40" t="n">
        <f aca="false">C144+D144</f>
        <v>2757.89473684211</v>
      </c>
      <c r="F144" s="40" t="n">
        <f aca="false">E145*$C$134</f>
        <v>482.736842105263</v>
      </c>
      <c r="G144" s="40" t="n">
        <f aca="false">F143</f>
        <v>551.578947368421</v>
      </c>
      <c r="H144" s="42" t="n">
        <f aca="false">E144+F144-G144</f>
        <v>2689.05263157895</v>
      </c>
      <c r="I144" s="24" t="n">
        <f aca="false">H144*$I$20</f>
        <v>1595.20071364853</v>
      </c>
      <c r="J144" s="24" t="n">
        <f aca="false">I144*IF($G$20="Sí",$C$9,0)</f>
        <v>287.136128456735</v>
      </c>
      <c r="K144" s="36" t="n">
        <f aca="false">I144+J144</f>
        <v>1882.33684210526</v>
      </c>
    </row>
    <row r="145" customFormat="false" ht="15" hidden="false" customHeight="false" outlineLevel="0" collapsed="false">
      <c r="B145" s="10" t="s">
        <v>120</v>
      </c>
      <c r="C145" s="40" t="n">
        <f aca="false">$C$85*$F$31</f>
        <v>1973.68421052632</v>
      </c>
      <c r="D145" s="40" t="n">
        <f aca="false">$D$85*$F$37</f>
        <v>440</v>
      </c>
      <c r="E145" s="40" t="n">
        <f aca="false">C145+D145</f>
        <v>2413.68421052632</v>
      </c>
      <c r="F145" s="40" t="n">
        <f aca="false">E146*$C$134</f>
        <v>513.684210526316</v>
      </c>
      <c r="G145" s="40" t="n">
        <f aca="false">F144</f>
        <v>482.736842105263</v>
      </c>
      <c r="H145" s="42" t="n">
        <f aca="false">E145+F145-G145</f>
        <v>2444.63157894737</v>
      </c>
      <c r="I145" s="24" t="n">
        <f aca="false">H145*$I$20</f>
        <v>1450.20517395183</v>
      </c>
      <c r="J145" s="24" t="n">
        <f aca="false">I145*IF($G$20="Sí",$C$9,0)</f>
        <v>261.036931311329</v>
      </c>
      <c r="K145" s="36" t="n">
        <f aca="false">I145+J145</f>
        <v>1711.24210526316</v>
      </c>
    </row>
    <row r="146" customFormat="false" ht="15" hidden="false" customHeight="false" outlineLevel="0" collapsed="false">
      <c r="B146" s="10" t="s">
        <v>121</v>
      </c>
      <c r="C146" s="40" t="n">
        <f aca="false">$C$86*$F$31</f>
        <v>2105.26315789474</v>
      </c>
      <c r="D146" s="40" t="n">
        <f aca="false">$D$86*$F$37</f>
        <v>463.157894736842</v>
      </c>
      <c r="E146" s="40" t="n">
        <f aca="false">C146+D146</f>
        <v>2568.42105263158</v>
      </c>
      <c r="F146" s="40" t="n">
        <f aca="false">E147*$C$134</f>
        <v>551.578947368421</v>
      </c>
      <c r="G146" s="40" t="n">
        <f aca="false">F145</f>
        <v>513.684210526316</v>
      </c>
      <c r="H146" s="42" t="n">
        <f aca="false">E146+F146-G146</f>
        <v>2606.31578947368</v>
      </c>
      <c r="I146" s="24" t="n">
        <f aca="false">H146*$I$20</f>
        <v>1546.11953612846</v>
      </c>
      <c r="J146" s="24" t="n">
        <f aca="false">I146*IF($G$20="Sí",$C$9,0)</f>
        <v>278.301516503122</v>
      </c>
      <c r="K146" s="36" t="n">
        <f aca="false">I146+J146</f>
        <v>1824.42105263158</v>
      </c>
    </row>
    <row r="147" customFormat="false" ht="15" hidden="false" customHeight="false" outlineLevel="0" collapsed="false">
      <c r="B147" s="10" t="s">
        <v>122</v>
      </c>
      <c r="C147" s="40" t="n">
        <f aca="false">$C$87*$F$31</f>
        <v>2236.84210526316</v>
      </c>
      <c r="D147" s="40" t="n">
        <f aca="false">$D$87*$F$37</f>
        <v>521.052631578947</v>
      </c>
      <c r="E147" s="40" t="n">
        <f aca="false">C147+D147</f>
        <v>2757.89473684211</v>
      </c>
      <c r="F147" s="40" t="n">
        <f aca="false">E148*$C$134</f>
        <v>793.684210526316</v>
      </c>
      <c r="G147" s="40" t="n">
        <f aca="false">F146</f>
        <v>551.578947368421</v>
      </c>
      <c r="H147" s="42" t="n">
        <f aca="false">E147+F147-G147</f>
        <v>3000</v>
      </c>
      <c r="I147" s="24" t="n">
        <f aca="false">H147*$I$20</f>
        <v>1779.66101694915</v>
      </c>
      <c r="J147" s="24" t="n">
        <f aca="false">I147*IF($G$20="Sí",$C$9,0)</f>
        <v>320.338983050847</v>
      </c>
      <c r="K147" s="36" t="n">
        <f aca="false">I147+J147</f>
        <v>2100</v>
      </c>
    </row>
    <row r="148" customFormat="false" ht="15" hidden="false" customHeight="false" outlineLevel="0" collapsed="false">
      <c r="B148" s="10" t="s">
        <v>123</v>
      </c>
      <c r="C148" s="40" t="n">
        <f aca="false">$C$88*$F$31</f>
        <v>3157.89473684211</v>
      </c>
      <c r="D148" s="40" t="n">
        <f aca="false">$D$88*$F$37</f>
        <v>810.526315789474</v>
      </c>
      <c r="E148" s="40" t="n">
        <f aca="false">C148+D148</f>
        <v>3968.42105263158</v>
      </c>
      <c r="F148" s="40" t="n">
        <f aca="false">E150*$C$134</f>
        <v>450.736842105263</v>
      </c>
      <c r="G148" s="40" t="n">
        <f aca="false">F147</f>
        <v>793.684210526316</v>
      </c>
      <c r="H148" s="42" t="n">
        <f aca="false">E148+F148-G148</f>
        <v>3625.47368421053</v>
      </c>
      <c r="I148" s="24" t="n">
        <f aca="false">H148*$I$20</f>
        <v>2150.7047279215</v>
      </c>
      <c r="J148" s="24" t="n">
        <f aca="false">I148*IF($G$20="Sí",$C$9,0)</f>
        <v>387.12685102587</v>
      </c>
      <c r="K148" s="36" t="n">
        <f aca="false">I148+J148</f>
        <v>2537.83157894737</v>
      </c>
    </row>
    <row r="149" customFormat="false" ht="15" hidden="false" customHeight="false" outlineLevel="0" collapsed="false">
      <c r="B149" s="38" t="s">
        <v>124</v>
      </c>
      <c r="C149" s="31"/>
      <c r="D149" s="31"/>
      <c r="E149" s="43" t="n">
        <f aca="false">SUM(E137:E148)</f>
        <v>31211.5789473684</v>
      </c>
      <c r="F149" s="31"/>
      <c r="G149" s="31"/>
      <c r="H149" s="43" t="n">
        <f aca="false">SUM(H137:H148)</f>
        <v>30962.3157894737</v>
      </c>
      <c r="I149" s="44" t="n">
        <f aca="false">SUM(I137:I148)</f>
        <v>18367.4754683318</v>
      </c>
      <c r="J149" s="44" t="n">
        <f aca="false">SUM(J137:J148)</f>
        <v>3306.14558429973</v>
      </c>
      <c r="K149" s="44" t="n">
        <f aca="false">SUM(K137:K148)</f>
        <v>21673.6210526316</v>
      </c>
    </row>
    <row r="150" customFormat="false" ht="15" hidden="false" customHeight="false" outlineLevel="0" collapsed="false">
      <c r="B150" s="10" t="s">
        <v>147</v>
      </c>
      <c r="C150" s="40" t="n">
        <f aca="false">$C$89*$F$31</f>
        <v>1894.73684210526</v>
      </c>
      <c r="D150" s="40" t="n">
        <f aca="false">$D$89*$F$37</f>
        <v>358.947368421053</v>
      </c>
      <c r="E150" s="40" t="n">
        <f aca="false">C150+D150</f>
        <v>2253.68421052632</v>
      </c>
      <c r="F150" s="19" t="s">
        <v>126</v>
      </c>
      <c r="G150" s="19" t="s">
        <v>126</v>
      </c>
      <c r="H150" s="19" t="s">
        <v>126</v>
      </c>
      <c r="I150" s="19" t="s">
        <v>126</v>
      </c>
      <c r="J150" s="19" t="s">
        <v>126</v>
      </c>
      <c r="K150" s="19" t="s">
        <v>126</v>
      </c>
    </row>
    <row r="152" customFormat="false" ht="15" hidden="false" customHeight="false" outlineLevel="0" collapsed="false">
      <c r="B152" s="28" t="s">
        <v>151</v>
      </c>
    </row>
    <row r="153" customFormat="false" ht="30" hidden="false" customHeight="true" outlineLevel="0" collapsed="false">
      <c r="B153" s="5" t="s">
        <v>108</v>
      </c>
      <c r="C153" s="5" t="s">
        <v>49</v>
      </c>
      <c r="D153" s="5" t="s">
        <v>145</v>
      </c>
      <c r="E153" s="5" t="s">
        <v>146</v>
      </c>
    </row>
    <row r="154" customFormat="false" ht="15" hidden="false" customHeight="false" outlineLevel="0" collapsed="false">
      <c r="B154" s="10" t="s">
        <v>112</v>
      </c>
      <c r="C154" s="24" t="n">
        <f aca="false">I99+I118+I137</f>
        <v>2697.77803323616</v>
      </c>
      <c r="D154" s="24" t="n">
        <f aca="false">J99+J118+J137</f>
        <v>485.600045982508</v>
      </c>
      <c r="E154" s="24" t="n">
        <f aca="false">K99+K118+K137</f>
        <v>3183.37807921867</v>
      </c>
    </row>
    <row r="155" customFormat="false" ht="15" hidden="false" customHeight="false" outlineLevel="0" collapsed="false">
      <c r="B155" s="10" t="s">
        <v>113</v>
      </c>
      <c r="C155" s="24" t="n">
        <f aca="false">I100+I119+I138</f>
        <v>2801.39768432088</v>
      </c>
      <c r="D155" s="24" t="n">
        <f aca="false">J100+J119+J138</f>
        <v>504.251583177759</v>
      </c>
      <c r="E155" s="24" t="n">
        <f aca="false">K100+K119+K138</f>
        <v>3305.64926749864</v>
      </c>
    </row>
    <row r="156" customFormat="false" ht="15" hidden="false" customHeight="false" outlineLevel="0" collapsed="false">
      <c r="B156" s="10" t="s">
        <v>114</v>
      </c>
      <c r="C156" s="24" t="n">
        <f aca="false">I101+I120+I139</f>
        <v>3120.91633942448</v>
      </c>
      <c r="D156" s="24" t="n">
        <f aca="false">J101+J120+J139</f>
        <v>561.764941096407</v>
      </c>
      <c r="E156" s="24" t="n">
        <f aca="false">K101+K120+K139</f>
        <v>3682.68128052089</v>
      </c>
    </row>
    <row r="157" customFormat="false" ht="15" hidden="false" customHeight="false" outlineLevel="0" collapsed="false">
      <c r="B157" s="10" t="s">
        <v>115</v>
      </c>
      <c r="C157" s="24" t="n">
        <f aca="false">I102+I121+I140</f>
        <v>3137.61571498202</v>
      </c>
      <c r="D157" s="24" t="n">
        <f aca="false">J102+J121+J140</f>
        <v>564.770828696764</v>
      </c>
      <c r="E157" s="24" t="n">
        <f aca="false">K102+K121+K140</f>
        <v>3702.38654367878</v>
      </c>
    </row>
    <row r="158" customFormat="false" ht="15" hidden="false" customHeight="false" outlineLevel="0" collapsed="false">
      <c r="B158" s="10" t="s">
        <v>116</v>
      </c>
      <c r="C158" s="24" t="n">
        <f aca="false">I103+I122+I141</f>
        <v>3768.77990012599</v>
      </c>
      <c r="D158" s="24" t="n">
        <f aca="false">J103+J122+J141</f>
        <v>678.380382022679</v>
      </c>
      <c r="E158" s="24" t="n">
        <f aca="false">K103+K122+K141</f>
        <v>4447.16028214867</v>
      </c>
    </row>
    <row r="159" customFormat="false" ht="15" hidden="false" customHeight="false" outlineLevel="0" collapsed="false">
      <c r="B159" s="10" t="s">
        <v>117</v>
      </c>
      <c r="C159" s="24" t="n">
        <f aca="false">I104+I123+I142</f>
        <v>3247.99175993452</v>
      </c>
      <c r="D159" s="24" t="n">
        <f aca="false">J104+J123+J142</f>
        <v>584.638516788214</v>
      </c>
      <c r="E159" s="24" t="n">
        <f aca="false">K104+K123+K142</f>
        <v>3832.63027672274</v>
      </c>
    </row>
    <row r="160" customFormat="false" ht="15" hidden="false" customHeight="false" outlineLevel="0" collapsed="false">
      <c r="B160" s="10" t="s">
        <v>118</v>
      </c>
      <c r="C160" s="24" t="n">
        <f aca="false">I105+I124+I143</f>
        <v>3462.7008286048</v>
      </c>
      <c r="D160" s="24" t="n">
        <f aca="false">J105+J124+J143</f>
        <v>623.286149148864</v>
      </c>
      <c r="E160" s="24" t="n">
        <f aca="false">K105+K124+K143</f>
        <v>4085.98697775366</v>
      </c>
    </row>
    <row r="161" customFormat="false" ht="15" hidden="false" customHeight="false" outlineLevel="0" collapsed="false">
      <c r="B161" s="10" t="s">
        <v>119</v>
      </c>
      <c r="C161" s="24" t="n">
        <f aca="false">I106+I125+I144</f>
        <v>3570.29364429771</v>
      </c>
      <c r="D161" s="24" t="n">
        <f aca="false">J106+J125+J144</f>
        <v>642.652855973588</v>
      </c>
      <c r="E161" s="24" t="n">
        <f aca="false">K106+K125+K144</f>
        <v>4212.9465002713</v>
      </c>
    </row>
    <row r="162" customFormat="false" ht="15" hidden="false" customHeight="false" outlineLevel="0" collapsed="false">
      <c r="B162" s="10" t="s">
        <v>120</v>
      </c>
      <c r="C162" s="24" t="n">
        <f aca="false">I107+I126+I145</f>
        <v>3247.99175993452</v>
      </c>
      <c r="D162" s="24" t="n">
        <f aca="false">J107+J126+J145</f>
        <v>584.638516788214</v>
      </c>
      <c r="E162" s="24" t="n">
        <f aca="false">K107+K126+K145</f>
        <v>3832.63027672274</v>
      </c>
    </row>
    <row r="163" customFormat="false" ht="15" hidden="false" customHeight="false" outlineLevel="0" collapsed="false">
      <c r="B163" s="10" t="s">
        <v>121</v>
      </c>
      <c r="C163" s="24" t="n">
        <f aca="false">I108+I127+I146</f>
        <v>3462.7008286048</v>
      </c>
      <c r="D163" s="24" t="n">
        <f aca="false">J108+J127+J146</f>
        <v>623.286149148864</v>
      </c>
      <c r="E163" s="24" t="n">
        <f aca="false">K108+K127+K146</f>
        <v>4085.98697775366</v>
      </c>
    </row>
    <row r="164" customFormat="false" ht="15" hidden="false" customHeight="false" outlineLevel="0" collapsed="false">
      <c r="B164" s="10" t="s">
        <v>122</v>
      </c>
      <c r="C164" s="24" t="n">
        <f aca="false">I109+I128+I147</f>
        <v>3980.70573953668</v>
      </c>
      <c r="D164" s="24" t="n">
        <f aca="false">J109+J128+J147</f>
        <v>716.527033116603</v>
      </c>
      <c r="E164" s="24" t="n">
        <f aca="false">K109+K128+K147</f>
        <v>4697.23277265328</v>
      </c>
    </row>
    <row r="165" customFormat="false" ht="15" hidden="false" customHeight="false" outlineLevel="0" collapsed="false">
      <c r="B165" s="10" t="s">
        <v>123</v>
      </c>
      <c r="C165" s="24" t="n">
        <f aca="false">I110+I129+I148</f>
        <v>4807.4624092995</v>
      </c>
      <c r="D165" s="24" t="n">
        <f aca="false">J110+J129+J148</f>
        <v>865.34323367391</v>
      </c>
      <c r="E165" s="24" t="n">
        <f aca="false">K110+K129+K148</f>
        <v>5672.80564297341</v>
      </c>
    </row>
    <row r="166" customFormat="false" ht="15" hidden="false" customHeight="false" outlineLevel="0" collapsed="false">
      <c r="B166" s="38" t="s">
        <v>124</v>
      </c>
      <c r="C166" s="44" t="n">
        <f aca="false">SUM(C154:C165)</f>
        <v>41306.3346423021</v>
      </c>
      <c r="D166" s="44" t="n">
        <f aca="false">SUM(D154:D165)</f>
        <v>7435.14023561437</v>
      </c>
      <c r="E166" s="44" t="n">
        <f aca="false">SUM(E154:E165)</f>
        <v>48741.4748779164</v>
      </c>
    </row>
  </sheetData>
  <mergeCells count="22">
    <mergeCell ref="A1:K1"/>
    <mergeCell ref="A2:K2"/>
    <mergeCell ref="C10:G10"/>
    <mergeCell ref="C11:G11"/>
    <mergeCell ref="A13:K13"/>
    <mergeCell ref="J17:K17"/>
    <mergeCell ref="J18:K18"/>
    <mergeCell ref="J19:K19"/>
    <mergeCell ref="J20:K20"/>
    <mergeCell ref="J21:K21"/>
    <mergeCell ref="J22:K22"/>
    <mergeCell ref="J23:K23"/>
    <mergeCell ref="J24:K24"/>
    <mergeCell ref="I29:K29"/>
    <mergeCell ref="I30:K30"/>
    <mergeCell ref="I31:K31"/>
    <mergeCell ref="I35:K35"/>
    <mergeCell ref="I36:K36"/>
    <mergeCell ref="I37:K37"/>
    <mergeCell ref="A52:K52"/>
    <mergeCell ref="A72:K72"/>
    <mergeCell ref="A91:K91"/>
  </mergeCells>
  <dataValidations count="2">
    <dataValidation allowBlank="true" errorStyle="stop" operator="between" showDropDown="false" showErrorMessage="false" showInputMessage="false" sqref="E42:E45" type="list">
      <formula1>"MPI,No es materia prima"</formula1>
      <formula2>0</formula2>
    </dataValidation>
    <dataValidation allowBlank="true" errorStyle="stop" operator="between" showDropDown="false" showErrorMessage="false" showInputMessage="false" sqref="F42:F45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153</v>
      </c>
    </row>
    <row r="6" customFormat="false" ht="15" hidden="false" customHeight="false" outlineLevel="0" collapsed="false">
      <c r="B6" s="14" t="s">
        <v>154</v>
      </c>
    </row>
    <row r="7" customFormat="false" ht="15" hidden="false" customHeight="false" outlineLevel="0" collapsed="false">
      <c r="B7" s="14" t="s">
        <v>155</v>
      </c>
    </row>
    <row r="9" customFormat="false" ht="15" hidden="false" customHeight="false" outlineLevel="0" collapsed="false">
      <c r="B9" s="11" t="s">
        <v>34</v>
      </c>
      <c r="C9" s="15" t="n">
        <v>0.18</v>
      </c>
    </row>
    <row r="10" customFormat="false" ht="15" hidden="false" customHeight="false" outlineLevel="0" collapsed="false">
      <c r="B10" s="11" t="s">
        <v>35</v>
      </c>
      <c r="C10" s="10" t="s">
        <v>156</v>
      </c>
      <c r="D10" s="10"/>
      <c r="E10" s="10"/>
      <c r="F10" s="10"/>
      <c r="G10" s="10"/>
    </row>
    <row r="11" customFormat="false" ht="15" hidden="false" customHeight="false" outlineLevel="0" collapsed="false">
      <c r="B11" s="11" t="s">
        <v>37</v>
      </c>
      <c r="C11" s="10" t="s">
        <v>157</v>
      </c>
      <c r="D11" s="10"/>
      <c r="E11" s="10"/>
      <c r="F11" s="10"/>
      <c r="G11" s="10"/>
    </row>
    <row r="13" customFormat="false" ht="19.5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B14" s="17" t="s">
        <v>40</v>
      </c>
    </row>
    <row r="16" customFormat="false" ht="15" hidden="false" customHeight="false" outlineLevel="0" collapsed="false">
      <c r="B16" s="18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</row>
    <row r="18" customFormat="false" ht="30" hidden="false" customHeight="true" outlineLevel="0" collapsed="false">
      <c r="A18" s="19" t="n">
        <v>1</v>
      </c>
      <c r="B18" s="20" t="s">
        <v>158</v>
      </c>
      <c r="C18" s="20" t="s">
        <v>159</v>
      </c>
      <c r="D18" s="21" t="n">
        <v>50</v>
      </c>
      <c r="E18" s="19" t="s">
        <v>160</v>
      </c>
      <c r="F18" s="22" t="n">
        <v>690</v>
      </c>
      <c r="G18" s="23" t="s">
        <v>55</v>
      </c>
      <c r="H18" s="24" t="n">
        <f aca="false">IF(G18="Sí",F18/(1+$C$9),F18)</f>
        <v>584.745762711865</v>
      </c>
      <c r="I18" s="25" t="n">
        <f aca="false">H18/D18</f>
        <v>11.6949152542373</v>
      </c>
      <c r="J18" s="26" t="s">
        <v>161</v>
      </c>
      <c r="K18" s="26"/>
    </row>
    <row r="19" customFormat="false" ht="30" hidden="false" customHeight="true" outlineLevel="0" collapsed="false">
      <c r="A19" s="19" t="n">
        <v>2</v>
      </c>
      <c r="B19" s="20" t="s">
        <v>162</v>
      </c>
      <c r="C19" s="20" t="s">
        <v>163</v>
      </c>
      <c r="D19" s="21" t="n">
        <v>5</v>
      </c>
      <c r="E19" s="19" t="s">
        <v>164</v>
      </c>
      <c r="F19" s="22" t="n">
        <v>175</v>
      </c>
      <c r="G19" s="23" t="s">
        <v>55</v>
      </c>
      <c r="H19" s="24" t="n">
        <f aca="false">IF(G19="Sí",F19/(1+$C$9),F19)</f>
        <v>148.305084745763</v>
      </c>
      <c r="I19" s="25" t="n">
        <f aca="false">H19/D19</f>
        <v>29.6610169491525</v>
      </c>
      <c r="J19" s="26" t="s">
        <v>161</v>
      </c>
      <c r="K19" s="26"/>
    </row>
    <row r="20" customFormat="false" ht="30" hidden="false" customHeight="true" outlineLevel="0" collapsed="false">
      <c r="A20" s="19" t="n">
        <v>3</v>
      </c>
      <c r="B20" s="20" t="s">
        <v>165</v>
      </c>
      <c r="C20" s="20" t="s">
        <v>159</v>
      </c>
      <c r="D20" s="21" t="n">
        <v>50</v>
      </c>
      <c r="E20" s="19" t="s">
        <v>160</v>
      </c>
      <c r="F20" s="22" t="n">
        <v>48</v>
      </c>
      <c r="G20" s="23" t="s">
        <v>55</v>
      </c>
      <c r="H20" s="24" t="n">
        <f aca="false">IF(G20="Sí",F20/(1+$C$9),F20)</f>
        <v>40.6779661016949</v>
      </c>
      <c r="I20" s="25" t="n">
        <f aca="false">H20/D20</f>
        <v>0.813559322033898</v>
      </c>
      <c r="J20" s="26" t="s">
        <v>166</v>
      </c>
      <c r="K20" s="26"/>
    </row>
    <row r="21" customFormat="false" ht="30" hidden="false" customHeight="true" outlineLevel="0" collapsed="false">
      <c r="A21" s="19" t="n">
        <v>4</v>
      </c>
      <c r="B21" s="20" t="s">
        <v>167</v>
      </c>
      <c r="C21" s="20" t="s">
        <v>168</v>
      </c>
      <c r="D21" s="21" t="n">
        <v>144</v>
      </c>
      <c r="E21" s="19" t="s">
        <v>72</v>
      </c>
      <c r="F21" s="22" t="n">
        <v>14</v>
      </c>
      <c r="G21" s="23" t="s">
        <v>55</v>
      </c>
      <c r="H21" s="24" t="n">
        <f aca="false">IF(G21="Sí",F21/(1+$C$9),F21)</f>
        <v>11.864406779661</v>
      </c>
      <c r="I21" s="25" t="n">
        <f aca="false">H21/D21</f>
        <v>0.082391713747646</v>
      </c>
      <c r="J21" s="26" t="s">
        <v>166</v>
      </c>
      <c r="K21" s="26"/>
    </row>
    <row r="22" customFormat="false" ht="30" hidden="false" customHeight="true" outlineLevel="0" collapsed="false">
      <c r="A22" s="19" t="n">
        <v>5</v>
      </c>
      <c r="B22" s="20" t="s">
        <v>169</v>
      </c>
      <c r="C22" s="20" t="s">
        <v>71</v>
      </c>
      <c r="D22" s="21" t="n">
        <v>1000</v>
      </c>
      <c r="E22" s="19" t="s">
        <v>72</v>
      </c>
      <c r="F22" s="22" t="n">
        <v>190</v>
      </c>
      <c r="G22" s="23" t="s">
        <v>55</v>
      </c>
      <c r="H22" s="24" t="n">
        <f aca="false">IF(G22="Sí",F22/(1+$C$9),F22)</f>
        <v>161.016949152542</v>
      </c>
      <c r="I22" s="25" t="n">
        <f aca="false">H22/D22</f>
        <v>0.161016949152542</v>
      </c>
      <c r="J22" s="26" t="s">
        <v>170</v>
      </c>
      <c r="K22" s="26"/>
    </row>
    <row r="23" customFormat="false" ht="30" hidden="false" customHeight="true" outlineLevel="0" collapsed="false">
      <c r="A23" s="19" t="n">
        <v>6</v>
      </c>
      <c r="B23" s="20" t="s">
        <v>171</v>
      </c>
      <c r="C23" s="20" t="s">
        <v>71</v>
      </c>
      <c r="D23" s="21" t="n">
        <v>1000</v>
      </c>
      <c r="E23" s="19" t="s">
        <v>72</v>
      </c>
      <c r="F23" s="22" t="n">
        <v>65</v>
      </c>
      <c r="G23" s="23" t="s">
        <v>55</v>
      </c>
      <c r="H23" s="24" t="n">
        <f aca="false">IF(G23="Sí",F23/(1+$C$9),F23)</f>
        <v>55.0847457627119</v>
      </c>
      <c r="I23" s="25" t="n">
        <f aca="false">H23/D23</f>
        <v>0.0550847457627119</v>
      </c>
      <c r="J23" s="26" t="s">
        <v>170</v>
      </c>
      <c r="K23" s="26"/>
    </row>
    <row r="24" customFormat="false" ht="30" hidden="false" customHeight="true" outlineLevel="0" collapsed="false">
      <c r="A24" s="19" t="n">
        <v>7</v>
      </c>
      <c r="B24" s="20" t="s">
        <v>172</v>
      </c>
      <c r="C24" s="20" t="s">
        <v>71</v>
      </c>
      <c r="D24" s="21" t="n">
        <v>1000</v>
      </c>
      <c r="E24" s="19" t="s">
        <v>72</v>
      </c>
      <c r="F24" s="22" t="n">
        <v>140</v>
      </c>
      <c r="G24" s="23" t="s">
        <v>55</v>
      </c>
      <c r="H24" s="24" t="n">
        <f aca="false">IF(G24="Sí",F24/(1+$C$9),F24)</f>
        <v>118.64406779661</v>
      </c>
      <c r="I24" s="25" t="n">
        <f aca="false">H24/D24</f>
        <v>0.11864406779661</v>
      </c>
      <c r="J24" s="26" t="s">
        <v>173</v>
      </c>
      <c r="K24" s="26"/>
    </row>
    <row r="25" customFormat="false" ht="30" hidden="false" customHeight="true" outlineLevel="0" collapsed="false">
      <c r="A25" s="19" t="n">
        <v>8</v>
      </c>
      <c r="B25" s="20" t="s">
        <v>174</v>
      </c>
      <c r="C25" s="20" t="s">
        <v>175</v>
      </c>
      <c r="D25" s="21" t="n">
        <v>1</v>
      </c>
      <c r="E25" s="19" t="s">
        <v>176</v>
      </c>
      <c r="F25" s="22" t="n">
        <v>9.5</v>
      </c>
      <c r="G25" s="23" t="s">
        <v>55</v>
      </c>
      <c r="H25" s="24" t="n">
        <f aca="false">IF(G25="Sí",F25/(1+$C$9),F25)</f>
        <v>8.05084745762712</v>
      </c>
      <c r="I25" s="25" t="n">
        <f aca="false">H25/D25</f>
        <v>8.05084745762712</v>
      </c>
      <c r="J25" s="26" t="s">
        <v>166</v>
      </c>
      <c r="K25" s="26"/>
    </row>
    <row r="26" customFormat="false" ht="30" hidden="false" customHeight="true" outlineLevel="0" collapsed="false">
      <c r="A26" s="19" t="n">
        <v>9</v>
      </c>
      <c r="B26" s="20" t="s">
        <v>177</v>
      </c>
      <c r="C26" s="20" t="s">
        <v>178</v>
      </c>
      <c r="D26" s="21" t="n">
        <v>1</v>
      </c>
      <c r="E26" s="19" t="s">
        <v>179</v>
      </c>
      <c r="F26" s="22" t="n">
        <v>45</v>
      </c>
      <c r="G26" s="23" t="s">
        <v>55</v>
      </c>
      <c r="H26" s="24" t="n">
        <f aca="false">IF(G26="Sí",F26/(1+$C$9),F26)</f>
        <v>38.135593220339</v>
      </c>
      <c r="I26" s="25" t="n">
        <f aca="false">H26/D26</f>
        <v>38.135593220339</v>
      </c>
      <c r="J26" s="26" t="s">
        <v>166</v>
      </c>
      <c r="K26" s="26"/>
    </row>
    <row r="27" customFormat="false" ht="30" hidden="false" customHeight="true" outlineLevel="0" collapsed="false">
      <c r="A27" s="19" t="n">
        <v>10</v>
      </c>
      <c r="B27" s="20" t="s">
        <v>180</v>
      </c>
      <c r="C27" s="20" t="s">
        <v>181</v>
      </c>
      <c r="D27" s="21" t="n">
        <v>1</v>
      </c>
      <c r="E27" s="19" t="s">
        <v>182</v>
      </c>
      <c r="F27" s="22" t="n">
        <v>38</v>
      </c>
      <c r="G27" s="23" t="s">
        <v>55</v>
      </c>
      <c r="H27" s="24" t="n">
        <f aca="false">IF(G27="Sí",F27/(1+$C$9),F27)</f>
        <v>32.2033898305085</v>
      </c>
      <c r="I27" s="25" t="n">
        <f aca="false">H27/D27</f>
        <v>32.2033898305085</v>
      </c>
      <c r="J27" s="26" t="s">
        <v>166</v>
      </c>
      <c r="K27" s="26"/>
    </row>
    <row r="28" customFormat="false" ht="30" hidden="false" customHeight="true" outlineLevel="0" collapsed="false">
      <c r="A28" s="19" t="n">
        <v>11</v>
      </c>
      <c r="B28" s="20" t="s">
        <v>183</v>
      </c>
      <c r="C28" s="20" t="s">
        <v>68</v>
      </c>
      <c r="D28" s="21" t="n">
        <v>1</v>
      </c>
      <c r="E28" s="19" t="s">
        <v>69</v>
      </c>
      <c r="F28" s="22" t="n">
        <v>25</v>
      </c>
      <c r="G28" s="23" t="s">
        <v>55</v>
      </c>
      <c r="H28" s="24" t="n">
        <f aca="false">IF(G28="Sí",F28/(1+$C$9),F28)</f>
        <v>21.1864406779661</v>
      </c>
      <c r="I28" s="25" t="n">
        <f aca="false">H28/D28</f>
        <v>21.1864406779661</v>
      </c>
      <c r="J28" s="26" t="s">
        <v>166</v>
      </c>
      <c r="K28" s="26"/>
    </row>
    <row r="29" customFormat="false" ht="30" hidden="false" customHeight="true" outlineLevel="0" collapsed="false">
      <c r="A29" s="19" t="n">
        <v>12</v>
      </c>
      <c r="B29" s="20" t="s">
        <v>184</v>
      </c>
      <c r="C29" s="20" t="s">
        <v>71</v>
      </c>
      <c r="D29" s="21" t="n">
        <v>1000</v>
      </c>
      <c r="E29" s="19" t="s">
        <v>72</v>
      </c>
      <c r="F29" s="22" t="n">
        <v>354</v>
      </c>
      <c r="G29" s="23" t="s">
        <v>55</v>
      </c>
      <c r="H29" s="24" t="n">
        <f aca="false">IF(G29="Sí",F29/(1+$C$9),F29)</f>
        <v>300</v>
      </c>
      <c r="I29" s="25" t="n">
        <f aca="false">H29/D29</f>
        <v>0.3</v>
      </c>
      <c r="J29" s="26" t="s">
        <v>173</v>
      </c>
      <c r="K29" s="26"/>
    </row>
    <row r="30" customFormat="false" ht="30" hidden="false" customHeight="true" outlineLevel="0" collapsed="false">
      <c r="A30" s="19" t="n">
        <v>13</v>
      </c>
      <c r="B30" s="20" t="s">
        <v>185</v>
      </c>
      <c r="C30" s="20" t="s">
        <v>68</v>
      </c>
      <c r="D30" s="21" t="n">
        <v>1</v>
      </c>
      <c r="E30" s="19" t="s">
        <v>69</v>
      </c>
      <c r="F30" s="22" t="n">
        <v>60</v>
      </c>
      <c r="G30" s="23" t="s">
        <v>55</v>
      </c>
      <c r="H30" s="24" t="n">
        <f aca="false">IF(G30="Sí",F30/(1+$C$9),F30)</f>
        <v>50.8474576271186</v>
      </c>
      <c r="I30" s="25" t="n">
        <f aca="false">H30/D30</f>
        <v>50.8474576271186</v>
      </c>
      <c r="J30" s="26" t="s">
        <v>75</v>
      </c>
      <c r="K30" s="26"/>
    </row>
    <row r="31" customFormat="false" ht="15" hidden="false" customHeight="false" outlineLevel="0" collapsed="false">
      <c r="B31" s="27" t="s">
        <v>76</v>
      </c>
    </row>
    <row r="32" customFormat="false" ht="15" hidden="false" customHeight="false" outlineLevel="0" collapsed="false">
      <c r="B32" s="27" t="s">
        <v>77</v>
      </c>
    </row>
    <row r="34" customFormat="false" ht="15" hidden="false" customHeight="false" outlineLevel="0" collapsed="false">
      <c r="B34" s="28" t="s">
        <v>186</v>
      </c>
    </row>
    <row r="35" customFormat="false" ht="31.5" hidden="false" customHeight="true" outlineLevel="0" collapsed="false">
      <c r="A35" s="5" t="s">
        <v>42</v>
      </c>
      <c r="B35" s="5" t="s">
        <v>43</v>
      </c>
      <c r="C35" s="5" t="s">
        <v>46</v>
      </c>
      <c r="D35" s="5" t="s">
        <v>79</v>
      </c>
      <c r="E35" s="5" t="s">
        <v>80</v>
      </c>
      <c r="F35" s="5" t="s">
        <v>81</v>
      </c>
      <c r="G35" s="5" t="s">
        <v>50</v>
      </c>
      <c r="H35" s="5" t="s">
        <v>187</v>
      </c>
      <c r="I35" s="5" t="s">
        <v>83</v>
      </c>
      <c r="J35" s="5"/>
      <c r="K35" s="5"/>
    </row>
    <row r="36" customFormat="false" ht="30" hidden="false" customHeight="true" outlineLevel="0" collapsed="false">
      <c r="A36" s="19" t="n">
        <v>1</v>
      </c>
      <c r="B36" s="20" t="s">
        <v>158</v>
      </c>
      <c r="C36" s="19" t="s">
        <v>160</v>
      </c>
      <c r="D36" s="21" t="n">
        <v>2.2</v>
      </c>
      <c r="E36" s="29" t="n">
        <v>0.07</v>
      </c>
      <c r="F36" s="30" t="n">
        <f aca="false">D36/(1-E36)</f>
        <v>2.36559139784946</v>
      </c>
      <c r="G36" s="25" t="n">
        <f aca="false">I18</f>
        <v>11.6949152542373</v>
      </c>
      <c r="H36" s="25" t="n">
        <f aca="false">F36*G36</f>
        <v>27.6653909240022</v>
      </c>
      <c r="I36" s="26" t="s">
        <v>188</v>
      </c>
      <c r="J36" s="26"/>
      <c r="K36" s="26"/>
    </row>
    <row r="37" customFormat="false" ht="30" hidden="false" customHeight="true" outlineLevel="0" collapsed="false">
      <c r="A37" s="19" t="n">
        <v>2</v>
      </c>
      <c r="B37" s="20" t="s">
        <v>162</v>
      </c>
      <c r="C37" s="19" t="s">
        <v>164</v>
      </c>
      <c r="D37" s="21" t="n">
        <v>0.06</v>
      </c>
      <c r="E37" s="29" t="n">
        <v>0.05</v>
      </c>
      <c r="F37" s="30" t="n">
        <f aca="false">D37/(1-E37)</f>
        <v>0.0631578947368421</v>
      </c>
      <c r="G37" s="25" t="n">
        <f aca="false">I19</f>
        <v>29.6610169491525</v>
      </c>
      <c r="H37" s="25" t="n">
        <f aca="false">F37*G37</f>
        <v>1.87332738626227</v>
      </c>
      <c r="I37" s="26" t="s">
        <v>189</v>
      </c>
      <c r="J37" s="26"/>
      <c r="K37" s="26"/>
    </row>
    <row r="38" customFormat="false" ht="30" hidden="false" customHeight="true" outlineLevel="0" collapsed="false">
      <c r="A38" s="19" t="n">
        <v>3</v>
      </c>
      <c r="B38" s="20" t="s">
        <v>165</v>
      </c>
      <c r="C38" s="19" t="s">
        <v>160</v>
      </c>
      <c r="D38" s="21" t="n">
        <v>0.9</v>
      </c>
      <c r="E38" s="29" t="n">
        <v>0.03</v>
      </c>
      <c r="F38" s="30" t="n">
        <f aca="false">D38/(1-E38)</f>
        <v>0.927835051546392</v>
      </c>
      <c r="G38" s="25" t="n">
        <f aca="false">I20</f>
        <v>0.813559322033898</v>
      </c>
      <c r="H38" s="25" t="n">
        <f aca="false">F38*G38</f>
        <v>0.75484885549537</v>
      </c>
      <c r="I38" s="26" t="s">
        <v>190</v>
      </c>
      <c r="J38" s="26"/>
      <c r="K38" s="26"/>
    </row>
    <row r="39" customFormat="false" ht="30" hidden="false" customHeight="true" outlineLevel="0" collapsed="false">
      <c r="A39" s="19" t="n">
        <v>4</v>
      </c>
      <c r="B39" s="20" t="s">
        <v>167</v>
      </c>
      <c r="C39" s="19" t="s">
        <v>72</v>
      </c>
      <c r="D39" s="21" t="n">
        <v>5</v>
      </c>
      <c r="E39" s="29" t="n">
        <v>0.02</v>
      </c>
      <c r="F39" s="30" t="n">
        <f aca="false">D39/(1-E39)</f>
        <v>5.10204081632653</v>
      </c>
      <c r="G39" s="25" t="n">
        <f aca="false">I21</f>
        <v>0.082391713747646</v>
      </c>
      <c r="H39" s="25" t="n">
        <f aca="false">F39*G39</f>
        <v>0.420365886467581</v>
      </c>
      <c r="I39" s="26" t="s">
        <v>191</v>
      </c>
      <c r="J39" s="26"/>
      <c r="K39" s="26"/>
    </row>
    <row r="40" customFormat="false" ht="30" hidden="false" customHeight="true" outlineLevel="0" collapsed="false">
      <c r="A40" s="19" t="n">
        <v>5</v>
      </c>
      <c r="B40" s="20" t="s">
        <v>169</v>
      </c>
      <c r="C40" s="19" t="s">
        <v>72</v>
      </c>
      <c r="D40" s="21" t="n">
        <v>1</v>
      </c>
      <c r="E40" s="29" t="n">
        <v>0.02</v>
      </c>
      <c r="F40" s="30" t="n">
        <f aca="false">D40/(1-E40)</f>
        <v>1.02040816326531</v>
      </c>
      <c r="G40" s="25" t="n">
        <f aca="false">I22</f>
        <v>0.161016949152542</v>
      </c>
      <c r="H40" s="25" t="n">
        <f aca="false">F40*G40</f>
        <v>0.164303009339329</v>
      </c>
      <c r="I40" s="26" t="s">
        <v>192</v>
      </c>
      <c r="J40" s="26"/>
      <c r="K40" s="26"/>
    </row>
    <row r="41" customFormat="false" ht="30" hidden="false" customHeight="true" outlineLevel="0" collapsed="false">
      <c r="A41" s="19" t="n">
        <v>6</v>
      </c>
      <c r="B41" s="20" t="s">
        <v>171</v>
      </c>
      <c r="C41" s="19" t="s">
        <v>72</v>
      </c>
      <c r="D41" s="21" t="n">
        <v>1</v>
      </c>
      <c r="E41" s="29" t="n">
        <v>0.02</v>
      </c>
      <c r="F41" s="30" t="n">
        <f aca="false">D41/(1-E41)</f>
        <v>1.02040816326531</v>
      </c>
      <c r="G41" s="25" t="n">
        <f aca="false">I23</f>
        <v>0.0550847457627119</v>
      </c>
      <c r="H41" s="25" t="n">
        <f aca="false">F41*G41</f>
        <v>0.0562089242476652</v>
      </c>
      <c r="I41" s="26" t="s">
        <v>192</v>
      </c>
      <c r="J41" s="26"/>
      <c r="K41" s="26"/>
    </row>
    <row r="42" customFormat="false" ht="30" hidden="false" customHeight="true" outlineLevel="0" collapsed="false">
      <c r="A42" s="19" t="n">
        <v>7</v>
      </c>
      <c r="B42" s="20" t="s">
        <v>172</v>
      </c>
      <c r="C42" s="19" t="s">
        <v>72</v>
      </c>
      <c r="D42" s="21" t="n">
        <v>1</v>
      </c>
      <c r="E42" s="29" t="n">
        <v>0</v>
      </c>
      <c r="F42" s="30" t="n">
        <f aca="false">D42/(1-E42)</f>
        <v>1</v>
      </c>
      <c r="G42" s="25" t="n">
        <f aca="false">I24</f>
        <v>0.11864406779661</v>
      </c>
      <c r="H42" s="25" t="n">
        <f aca="false">F42*G42</f>
        <v>0.11864406779661</v>
      </c>
      <c r="I42" s="26" t="s">
        <v>193</v>
      </c>
      <c r="J42" s="26"/>
      <c r="K42" s="26"/>
    </row>
    <row r="43" customFormat="false" ht="25.5" hidden="false" customHeight="true" outlineLevel="0" collapsed="false">
      <c r="A43" s="31"/>
      <c r="B43" s="32" t="s">
        <v>194</v>
      </c>
      <c r="C43" s="31"/>
      <c r="D43" s="31"/>
      <c r="E43" s="31"/>
      <c r="F43" s="31"/>
      <c r="G43" s="31"/>
      <c r="H43" s="33" t="n">
        <f aca="false">SUM(H36:H42)</f>
        <v>31.053089053611</v>
      </c>
    </row>
    <row r="45" customFormat="false" ht="15" hidden="false" customHeight="false" outlineLevel="0" collapsed="false">
      <c r="B45" s="28" t="s">
        <v>195</v>
      </c>
    </row>
    <row r="46" customFormat="false" ht="31.5" hidden="false" customHeight="true" outlineLevel="0" collapsed="false">
      <c r="A46" s="5" t="s">
        <v>42</v>
      </c>
      <c r="B46" s="5" t="s">
        <v>43</v>
      </c>
      <c r="C46" s="5" t="s">
        <v>46</v>
      </c>
      <c r="D46" s="5" t="s">
        <v>79</v>
      </c>
      <c r="E46" s="5" t="s">
        <v>80</v>
      </c>
      <c r="F46" s="5" t="s">
        <v>81</v>
      </c>
      <c r="G46" s="5" t="s">
        <v>50</v>
      </c>
      <c r="H46" s="5" t="s">
        <v>187</v>
      </c>
      <c r="I46" s="5" t="s">
        <v>83</v>
      </c>
      <c r="J46" s="5"/>
      <c r="K46" s="5"/>
    </row>
    <row r="47" customFormat="false" ht="30" hidden="false" customHeight="true" outlineLevel="0" collapsed="false">
      <c r="A47" s="19" t="n">
        <v>1</v>
      </c>
      <c r="B47" s="20" t="s">
        <v>158</v>
      </c>
      <c r="C47" s="19" t="s">
        <v>160</v>
      </c>
      <c r="D47" s="21" t="n">
        <v>1.3</v>
      </c>
      <c r="E47" s="29" t="n">
        <v>0.07</v>
      </c>
      <c r="F47" s="30" t="n">
        <f aca="false">D47/(1-E47)</f>
        <v>1.39784946236559</v>
      </c>
      <c r="G47" s="25" t="n">
        <f aca="false">I18</f>
        <v>11.6949152542373</v>
      </c>
      <c r="H47" s="25" t="n">
        <f aca="false">F47*G47</f>
        <v>16.3477310005467</v>
      </c>
      <c r="I47" s="26" t="s">
        <v>188</v>
      </c>
      <c r="J47" s="26"/>
      <c r="K47" s="26"/>
    </row>
    <row r="48" customFormat="false" ht="30" hidden="false" customHeight="true" outlineLevel="0" collapsed="false">
      <c r="A48" s="19" t="n">
        <v>2</v>
      </c>
      <c r="B48" s="20" t="s">
        <v>162</v>
      </c>
      <c r="C48" s="19" t="s">
        <v>164</v>
      </c>
      <c r="D48" s="21" t="n">
        <v>0.04</v>
      </c>
      <c r="E48" s="29" t="n">
        <v>0.05</v>
      </c>
      <c r="F48" s="30" t="n">
        <f aca="false">D48/(1-E48)</f>
        <v>0.0421052631578947</v>
      </c>
      <c r="G48" s="25" t="n">
        <f aca="false">I19</f>
        <v>29.6610169491525</v>
      </c>
      <c r="H48" s="25" t="n">
        <f aca="false">F48*G48</f>
        <v>1.24888492417484</v>
      </c>
      <c r="I48" s="26" t="s">
        <v>189</v>
      </c>
      <c r="J48" s="26"/>
      <c r="K48" s="26"/>
    </row>
    <row r="49" customFormat="false" ht="30" hidden="false" customHeight="true" outlineLevel="0" collapsed="false">
      <c r="A49" s="19" t="n">
        <v>3</v>
      </c>
      <c r="B49" s="20" t="s">
        <v>165</v>
      </c>
      <c r="C49" s="19" t="s">
        <v>160</v>
      </c>
      <c r="D49" s="21" t="n">
        <v>0.65</v>
      </c>
      <c r="E49" s="29" t="n">
        <v>0.03</v>
      </c>
      <c r="F49" s="30" t="n">
        <f aca="false">D49/(1-E49)</f>
        <v>0.670103092783505</v>
      </c>
      <c r="G49" s="25" t="n">
        <f aca="false">I20</f>
        <v>0.813559322033898</v>
      </c>
      <c r="H49" s="25" t="n">
        <f aca="false">F49*G49</f>
        <v>0.545168617857767</v>
      </c>
      <c r="I49" s="26" t="s">
        <v>190</v>
      </c>
      <c r="J49" s="26"/>
      <c r="K49" s="26"/>
    </row>
    <row r="50" customFormat="false" ht="30" hidden="false" customHeight="true" outlineLevel="0" collapsed="false">
      <c r="A50" s="19" t="n">
        <v>4</v>
      </c>
      <c r="B50" s="20" t="s">
        <v>167</v>
      </c>
      <c r="C50" s="19" t="s">
        <v>72</v>
      </c>
      <c r="D50" s="21" t="n">
        <v>4</v>
      </c>
      <c r="E50" s="29" t="n">
        <v>0.02</v>
      </c>
      <c r="F50" s="30" t="n">
        <f aca="false">D50/(1-E50)</f>
        <v>4.08163265306123</v>
      </c>
      <c r="G50" s="25" t="n">
        <f aca="false">I21</f>
        <v>0.082391713747646</v>
      </c>
      <c r="H50" s="25" t="n">
        <f aca="false">F50*G50</f>
        <v>0.336292709174065</v>
      </c>
      <c r="I50" s="26" t="s">
        <v>191</v>
      </c>
      <c r="J50" s="26"/>
      <c r="K50" s="26"/>
    </row>
    <row r="51" customFormat="false" ht="30" hidden="false" customHeight="true" outlineLevel="0" collapsed="false">
      <c r="A51" s="19" t="n">
        <v>5</v>
      </c>
      <c r="B51" s="20" t="s">
        <v>169</v>
      </c>
      <c r="C51" s="19" t="s">
        <v>72</v>
      </c>
      <c r="D51" s="21" t="n">
        <v>1</v>
      </c>
      <c r="E51" s="29" t="n">
        <v>0.02</v>
      </c>
      <c r="F51" s="30" t="n">
        <f aca="false">D51/(1-E51)</f>
        <v>1.02040816326531</v>
      </c>
      <c r="G51" s="25" t="n">
        <f aca="false">I22</f>
        <v>0.161016949152542</v>
      </c>
      <c r="H51" s="25" t="n">
        <f aca="false">F51*G51</f>
        <v>0.164303009339329</v>
      </c>
      <c r="I51" s="26" t="s">
        <v>192</v>
      </c>
      <c r="J51" s="26"/>
      <c r="K51" s="26"/>
    </row>
    <row r="52" customFormat="false" ht="30" hidden="false" customHeight="true" outlineLevel="0" collapsed="false">
      <c r="A52" s="19" t="n">
        <v>6</v>
      </c>
      <c r="B52" s="20" t="s">
        <v>171</v>
      </c>
      <c r="C52" s="19" t="s">
        <v>72</v>
      </c>
      <c r="D52" s="21" t="n">
        <v>1</v>
      </c>
      <c r="E52" s="29" t="n">
        <v>0.02</v>
      </c>
      <c r="F52" s="30" t="n">
        <f aca="false">D52/(1-E52)</f>
        <v>1.02040816326531</v>
      </c>
      <c r="G52" s="25" t="n">
        <f aca="false">I23</f>
        <v>0.0550847457627119</v>
      </c>
      <c r="H52" s="25" t="n">
        <f aca="false">F52*G52</f>
        <v>0.0562089242476652</v>
      </c>
      <c r="I52" s="26" t="s">
        <v>192</v>
      </c>
      <c r="J52" s="26"/>
      <c r="K52" s="26"/>
    </row>
    <row r="53" customFormat="false" ht="30" hidden="false" customHeight="true" outlineLevel="0" collapsed="false">
      <c r="A53" s="19" t="n">
        <v>7</v>
      </c>
      <c r="B53" s="20" t="s">
        <v>172</v>
      </c>
      <c r="C53" s="19" t="s">
        <v>72</v>
      </c>
      <c r="D53" s="21" t="n">
        <v>1</v>
      </c>
      <c r="E53" s="29" t="n">
        <v>0</v>
      </c>
      <c r="F53" s="30" t="n">
        <f aca="false">D53/(1-E53)</f>
        <v>1</v>
      </c>
      <c r="G53" s="25" t="n">
        <f aca="false">I24</f>
        <v>0.11864406779661</v>
      </c>
      <c r="H53" s="25" t="n">
        <f aca="false">F53*G53</f>
        <v>0.11864406779661</v>
      </c>
      <c r="I53" s="26" t="s">
        <v>193</v>
      </c>
      <c r="J53" s="26"/>
      <c r="K53" s="26"/>
    </row>
    <row r="54" customFormat="false" ht="25.5" hidden="false" customHeight="true" outlineLevel="0" collapsed="false">
      <c r="A54" s="31"/>
      <c r="B54" s="32" t="s">
        <v>194</v>
      </c>
      <c r="C54" s="31"/>
      <c r="D54" s="31"/>
      <c r="E54" s="31"/>
      <c r="F54" s="31"/>
      <c r="G54" s="31"/>
      <c r="H54" s="33" t="n">
        <f aca="false">SUM(H47:H53)</f>
        <v>18.817233253137</v>
      </c>
    </row>
    <row r="56" customFormat="false" ht="15" hidden="false" customHeight="false" outlineLevel="0" collapsed="false">
      <c r="B56" s="28" t="s">
        <v>91</v>
      </c>
    </row>
    <row r="57" customFormat="false" ht="31.5" hidden="false" customHeight="true" outlineLevel="0" collapsed="false">
      <c r="A57" s="5" t="s">
        <v>42</v>
      </c>
      <c r="B57" s="5" t="s">
        <v>43</v>
      </c>
      <c r="C57" s="5" t="s">
        <v>92</v>
      </c>
      <c r="D57" s="5" t="s">
        <v>46</v>
      </c>
      <c r="E57" s="5" t="s">
        <v>93</v>
      </c>
      <c r="F57" s="5" t="s">
        <v>94</v>
      </c>
      <c r="G57" s="5" t="s">
        <v>95</v>
      </c>
    </row>
    <row r="58" customFormat="false" ht="25.5" hidden="false" customHeight="true" outlineLevel="0" collapsed="false">
      <c r="A58" s="19" t="n">
        <v>1</v>
      </c>
      <c r="B58" s="20" t="s">
        <v>174</v>
      </c>
      <c r="C58" s="34" t="n">
        <v>45</v>
      </c>
      <c r="D58" s="19" t="s">
        <v>176</v>
      </c>
      <c r="E58" s="35" t="s">
        <v>96</v>
      </c>
      <c r="F58" s="35" t="s">
        <v>97</v>
      </c>
      <c r="G58" s="24" t="n">
        <f aca="false">C58*I25</f>
        <v>362.28813559322</v>
      </c>
    </row>
    <row r="59" customFormat="false" ht="25.5" hidden="false" customHeight="true" outlineLevel="0" collapsed="false">
      <c r="A59" s="19" t="n">
        <v>2</v>
      </c>
      <c r="B59" s="20" t="s">
        <v>177</v>
      </c>
      <c r="C59" s="34" t="n">
        <v>1</v>
      </c>
      <c r="D59" s="19" t="s">
        <v>179</v>
      </c>
      <c r="E59" s="35" t="s">
        <v>96</v>
      </c>
      <c r="F59" s="35" t="s">
        <v>97</v>
      </c>
      <c r="G59" s="24" t="n">
        <f aca="false">C59*I26</f>
        <v>38.135593220339</v>
      </c>
    </row>
    <row r="60" customFormat="false" ht="25.5" hidden="false" customHeight="true" outlineLevel="0" collapsed="false">
      <c r="A60" s="19" t="n">
        <v>3</v>
      </c>
      <c r="B60" s="20" t="s">
        <v>180</v>
      </c>
      <c r="C60" s="34" t="n">
        <v>1</v>
      </c>
      <c r="D60" s="19" t="s">
        <v>182</v>
      </c>
      <c r="E60" s="35" t="s">
        <v>96</v>
      </c>
      <c r="F60" s="35" t="s">
        <v>97</v>
      </c>
      <c r="G60" s="24" t="n">
        <f aca="false">C60*I27</f>
        <v>32.2033898305085</v>
      </c>
    </row>
    <row r="61" customFormat="false" ht="25.5" hidden="false" customHeight="true" outlineLevel="0" collapsed="false">
      <c r="A61" s="19" t="n">
        <v>4</v>
      </c>
      <c r="B61" s="20" t="s">
        <v>183</v>
      </c>
      <c r="C61" s="34" t="n">
        <v>2</v>
      </c>
      <c r="D61" s="19" t="s">
        <v>69</v>
      </c>
      <c r="E61" s="35" t="s">
        <v>96</v>
      </c>
      <c r="F61" s="35" t="s">
        <v>97</v>
      </c>
      <c r="G61" s="24" t="n">
        <f aca="false">C61*I28</f>
        <v>42.3728813559322</v>
      </c>
    </row>
    <row r="62" customFormat="false" ht="25.5" hidden="false" customHeight="true" outlineLevel="0" collapsed="false">
      <c r="A62" s="19" t="n">
        <v>5</v>
      </c>
      <c r="B62" s="20" t="s">
        <v>184</v>
      </c>
      <c r="C62" s="34" t="n">
        <v>650</v>
      </c>
      <c r="D62" s="19" t="s">
        <v>72</v>
      </c>
      <c r="E62" s="35" t="s">
        <v>98</v>
      </c>
      <c r="F62" s="35" t="s">
        <v>99</v>
      </c>
      <c r="G62" s="24" t="n">
        <f aca="false">C62*I29</f>
        <v>195</v>
      </c>
    </row>
    <row r="63" customFormat="false" ht="25.5" hidden="false" customHeight="true" outlineLevel="0" collapsed="false">
      <c r="A63" s="19" t="n">
        <v>6</v>
      </c>
      <c r="B63" s="20" t="s">
        <v>185</v>
      </c>
      <c r="C63" s="34" t="n">
        <v>1</v>
      </c>
      <c r="D63" s="19" t="s">
        <v>69</v>
      </c>
      <c r="E63" s="35" t="s">
        <v>98</v>
      </c>
      <c r="F63" s="35" t="s">
        <v>100</v>
      </c>
      <c r="G63" s="24" t="n">
        <f aca="false">C63*I30</f>
        <v>50.8474576271186</v>
      </c>
    </row>
    <row r="65" customFormat="false" ht="25.5" hidden="false" customHeight="true" outlineLevel="0" collapsed="false">
      <c r="B65" s="6" t="s">
        <v>101</v>
      </c>
      <c r="C65" s="36" t="n">
        <f aca="false">SUMIF(F58:F63,"CIF",G58:G63)</f>
        <v>475</v>
      </c>
    </row>
    <row r="66" customFormat="false" ht="25.5" hidden="false" customHeight="true" outlineLevel="0" collapsed="false">
      <c r="B66" s="6" t="s">
        <v>102</v>
      </c>
      <c r="C66" s="36" t="n">
        <f aca="false">SUMIF(F58:F63,"Gasto administrativo",G58:G63)</f>
        <v>50.8474576271186</v>
      </c>
    </row>
    <row r="67" customFormat="false" ht="25.5" hidden="false" customHeight="true" outlineLevel="0" collapsed="false">
      <c r="B67" s="6" t="s">
        <v>103</v>
      </c>
      <c r="C67" s="36" t="n">
        <f aca="false">SUMIF(F58:F63,"Gasto de ventas",G58:G63)</f>
        <v>195</v>
      </c>
    </row>
    <row r="68" customFormat="false" ht="15" hidden="false" customHeight="false" outlineLevel="0" collapsed="false">
      <c r="B68" s="27" t="s">
        <v>104</v>
      </c>
    </row>
    <row r="70" customFormat="false" ht="19.5" hidden="false" customHeight="true" outlineLevel="0" collapsed="false">
      <c r="A70" s="16" t="s">
        <v>105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customFormat="false" ht="15" hidden="false" customHeight="false" outlineLevel="0" collapsed="false">
      <c r="B71" s="17" t="s">
        <v>106</v>
      </c>
    </row>
    <row r="72" customFormat="false" ht="15" hidden="false" customHeight="false" outlineLevel="0" collapsed="false">
      <c r="B72" s="28" t="s">
        <v>107</v>
      </c>
    </row>
    <row r="73" customFormat="false" ht="30" hidden="false" customHeight="true" outlineLevel="0" collapsed="false">
      <c r="B73" s="5" t="s">
        <v>108</v>
      </c>
      <c r="C73" s="5" t="s">
        <v>196</v>
      </c>
      <c r="D73" s="5" t="s">
        <v>197</v>
      </c>
      <c r="E73" s="5" t="s">
        <v>111</v>
      </c>
    </row>
    <row r="74" customFormat="false" ht="15" hidden="false" customHeight="false" outlineLevel="0" collapsed="false">
      <c r="B74" s="10" t="s">
        <v>112</v>
      </c>
      <c r="C74" s="34" t="n">
        <v>300</v>
      </c>
      <c r="D74" s="34" t="n">
        <v>220</v>
      </c>
      <c r="E74" s="37" t="n">
        <f aca="false">C74+D74</f>
        <v>520</v>
      </c>
    </row>
    <row r="75" customFormat="false" ht="15" hidden="false" customHeight="false" outlineLevel="0" collapsed="false">
      <c r="B75" s="10" t="s">
        <v>113</v>
      </c>
      <c r="C75" s="34" t="n">
        <v>280</v>
      </c>
      <c r="D75" s="34" t="n">
        <v>200</v>
      </c>
      <c r="E75" s="37" t="n">
        <f aca="false">C75+D75</f>
        <v>480</v>
      </c>
    </row>
    <row r="76" customFormat="false" ht="15" hidden="false" customHeight="false" outlineLevel="0" collapsed="false">
      <c r="B76" s="10" t="s">
        <v>114</v>
      </c>
      <c r="C76" s="34" t="n">
        <v>320</v>
      </c>
      <c r="D76" s="34" t="n">
        <v>250</v>
      </c>
      <c r="E76" s="37" t="n">
        <f aca="false">C76+D76</f>
        <v>570</v>
      </c>
    </row>
    <row r="77" customFormat="false" ht="15" hidden="false" customHeight="false" outlineLevel="0" collapsed="false">
      <c r="B77" s="10" t="s">
        <v>115</v>
      </c>
      <c r="C77" s="34" t="n">
        <v>380</v>
      </c>
      <c r="D77" s="34" t="n">
        <v>300</v>
      </c>
      <c r="E77" s="37" t="n">
        <f aca="false">C77+D77</f>
        <v>680</v>
      </c>
    </row>
    <row r="78" customFormat="false" ht="15" hidden="false" customHeight="false" outlineLevel="0" collapsed="false">
      <c r="B78" s="10" t="s">
        <v>116</v>
      </c>
      <c r="C78" s="34" t="n">
        <v>520</v>
      </c>
      <c r="D78" s="34" t="n">
        <v>330</v>
      </c>
      <c r="E78" s="37" t="n">
        <f aca="false">C78+D78</f>
        <v>850</v>
      </c>
    </row>
    <row r="79" customFormat="false" ht="15" hidden="false" customHeight="false" outlineLevel="0" collapsed="false">
      <c r="B79" s="10" t="s">
        <v>117</v>
      </c>
      <c r="C79" s="34" t="n">
        <v>600</v>
      </c>
      <c r="D79" s="34" t="n">
        <v>460</v>
      </c>
      <c r="E79" s="37" t="n">
        <f aca="false">C79+D79</f>
        <v>1060</v>
      </c>
    </row>
    <row r="80" customFormat="false" ht="15" hidden="false" customHeight="false" outlineLevel="0" collapsed="false">
      <c r="B80" s="10" t="s">
        <v>118</v>
      </c>
      <c r="C80" s="34" t="n">
        <v>620</v>
      </c>
      <c r="D80" s="34" t="n">
        <v>480</v>
      </c>
      <c r="E80" s="37" t="n">
        <f aca="false">C80+D80</f>
        <v>1100</v>
      </c>
    </row>
    <row r="81" customFormat="false" ht="15" hidden="false" customHeight="false" outlineLevel="0" collapsed="false">
      <c r="B81" s="10" t="s">
        <v>119</v>
      </c>
      <c r="C81" s="34" t="n">
        <v>450</v>
      </c>
      <c r="D81" s="34" t="n">
        <v>330</v>
      </c>
      <c r="E81" s="37" t="n">
        <f aca="false">C81+D81</f>
        <v>780</v>
      </c>
    </row>
    <row r="82" customFormat="false" ht="15" hidden="false" customHeight="false" outlineLevel="0" collapsed="false">
      <c r="B82" s="10" t="s">
        <v>120</v>
      </c>
      <c r="C82" s="34" t="n">
        <v>380</v>
      </c>
      <c r="D82" s="34" t="n">
        <v>280</v>
      </c>
      <c r="E82" s="37" t="n">
        <f aca="false">C82+D82</f>
        <v>660</v>
      </c>
    </row>
    <row r="83" customFormat="false" ht="15" hidden="false" customHeight="false" outlineLevel="0" collapsed="false">
      <c r="B83" s="10" t="s">
        <v>121</v>
      </c>
      <c r="C83" s="34" t="n">
        <v>400</v>
      </c>
      <c r="D83" s="34" t="n">
        <v>300</v>
      </c>
      <c r="E83" s="37" t="n">
        <f aca="false">C83+D83</f>
        <v>700</v>
      </c>
    </row>
    <row r="84" customFormat="false" ht="15" hidden="false" customHeight="false" outlineLevel="0" collapsed="false">
      <c r="B84" s="10" t="s">
        <v>122</v>
      </c>
      <c r="C84" s="34" t="n">
        <v>480</v>
      </c>
      <c r="D84" s="34" t="n">
        <v>380</v>
      </c>
      <c r="E84" s="37" t="n">
        <f aca="false">C84+D84</f>
        <v>860</v>
      </c>
    </row>
    <row r="85" customFormat="false" ht="15" hidden="false" customHeight="false" outlineLevel="0" collapsed="false">
      <c r="B85" s="10" t="s">
        <v>123</v>
      </c>
      <c r="C85" s="34" t="n">
        <v>700</v>
      </c>
      <c r="D85" s="34" t="n">
        <v>560</v>
      </c>
      <c r="E85" s="37" t="n">
        <f aca="false">C85+D85</f>
        <v>1260</v>
      </c>
    </row>
    <row r="86" customFormat="false" ht="15" hidden="false" customHeight="false" outlineLevel="0" collapsed="false">
      <c r="B86" s="38" t="s">
        <v>124</v>
      </c>
      <c r="C86" s="39" t="n">
        <f aca="false">SUM(C74:C85)</f>
        <v>5430</v>
      </c>
      <c r="D86" s="39" t="n">
        <f aca="false">SUM(D74:D85)</f>
        <v>4090</v>
      </c>
      <c r="E86" s="39" t="n">
        <f aca="false">SUM(E74:E85)</f>
        <v>9520</v>
      </c>
    </row>
    <row r="87" customFormat="false" ht="15" hidden="false" customHeight="false" outlineLevel="0" collapsed="false">
      <c r="B87" s="10" t="s">
        <v>125</v>
      </c>
      <c r="C87" s="34" t="n">
        <v>320</v>
      </c>
      <c r="D87" s="34" t="n">
        <v>230</v>
      </c>
      <c r="E87" s="19" t="s">
        <v>126</v>
      </c>
    </row>
    <row r="88" customFormat="false" ht="15" hidden="false" customHeight="false" outlineLevel="0" collapsed="false">
      <c r="B88" s="10" t="s">
        <v>127</v>
      </c>
      <c r="C88" s="34" t="n">
        <v>300</v>
      </c>
      <c r="D88" s="34" t="n">
        <v>210</v>
      </c>
      <c r="E88" s="19" t="s">
        <v>126</v>
      </c>
    </row>
    <row r="90" customFormat="false" ht="19.5" hidden="false" customHeight="true" outlineLevel="0" collapsed="false">
      <c r="A90" s="16" t="s">
        <v>128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customFormat="false" ht="15" hidden="false" customHeight="false" outlineLevel="0" collapsed="false">
      <c r="B91" s="17" t="s">
        <v>129</v>
      </c>
    </row>
    <row r="92" customFormat="false" ht="25.5" hidden="false" customHeight="true" outlineLevel="0" collapsed="false">
      <c r="B92" s="6" t="s">
        <v>198</v>
      </c>
      <c r="C92" s="29" t="n">
        <v>0.2</v>
      </c>
    </row>
    <row r="93" customFormat="false" ht="25.5" hidden="false" customHeight="true" outlineLevel="0" collapsed="false">
      <c r="B93" s="6" t="s">
        <v>199</v>
      </c>
      <c r="C93" s="34" t="n">
        <v>60</v>
      </c>
    </row>
    <row r="95" customFormat="false" ht="15" hidden="false" customHeight="false" outlineLevel="0" collapsed="false">
      <c r="B95" s="28" t="s">
        <v>200</v>
      </c>
    </row>
    <row r="96" customFormat="false" ht="31.5" hidden="false" customHeight="true" outlineLevel="0" collapsed="false">
      <c r="B96" s="5" t="s">
        <v>108</v>
      </c>
      <c r="C96" s="5" t="s">
        <v>201</v>
      </c>
      <c r="D96" s="5" t="s">
        <v>142</v>
      </c>
      <c r="E96" s="5" t="s">
        <v>202</v>
      </c>
      <c r="F96" s="5" t="s">
        <v>143</v>
      </c>
      <c r="G96" s="5" t="s">
        <v>203</v>
      </c>
    </row>
    <row r="97" customFormat="false" ht="15" hidden="false" customHeight="false" outlineLevel="0" collapsed="false">
      <c r="B97" s="10" t="s">
        <v>112</v>
      </c>
      <c r="C97" s="37" t="n">
        <f aca="false">C74</f>
        <v>300</v>
      </c>
      <c r="D97" s="37" t="n">
        <f aca="false">ROUND(C75*$C$92,0)</f>
        <v>56</v>
      </c>
      <c r="E97" s="37" t="n">
        <f aca="false">C97+D97</f>
        <v>356</v>
      </c>
      <c r="F97" s="37" t="n">
        <f aca="false">$C$93</f>
        <v>60</v>
      </c>
      <c r="G97" s="45" t="n">
        <f aca="false">E97-F97</f>
        <v>296</v>
      </c>
    </row>
    <row r="98" customFormat="false" ht="15" hidden="false" customHeight="false" outlineLevel="0" collapsed="false">
      <c r="B98" s="10" t="s">
        <v>113</v>
      </c>
      <c r="C98" s="37" t="n">
        <f aca="false">C75</f>
        <v>280</v>
      </c>
      <c r="D98" s="37" t="n">
        <f aca="false">ROUND(C76*$C$92,0)</f>
        <v>64</v>
      </c>
      <c r="E98" s="37" t="n">
        <f aca="false">C98+D98</f>
        <v>344</v>
      </c>
      <c r="F98" s="37" t="n">
        <f aca="false">D97</f>
        <v>56</v>
      </c>
      <c r="G98" s="45" t="n">
        <f aca="false">E98-F98</f>
        <v>288</v>
      </c>
    </row>
    <row r="99" customFormat="false" ht="15" hidden="false" customHeight="false" outlineLevel="0" collapsed="false">
      <c r="B99" s="10" t="s">
        <v>114</v>
      </c>
      <c r="C99" s="37" t="n">
        <f aca="false">C76</f>
        <v>320</v>
      </c>
      <c r="D99" s="37" t="n">
        <f aca="false">ROUND(C77*$C$92,0)</f>
        <v>76</v>
      </c>
      <c r="E99" s="37" t="n">
        <f aca="false">C99+D99</f>
        <v>396</v>
      </c>
      <c r="F99" s="37" t="n">
        <f aca="false">D98</f>
        <v>64</v>
      </c>
      <c r="G99" s="45" t="n">
        <f aca="false">E99-F99</f>
        <v>332</v>
      </c>
    </row>
    <row r="100" customFormat="false" ht="15" hidden="false" customHeight="false" outlineLevel="0" collapsed="false">
      <c r="B100" s="10" t="s">
        <v>115</v>
      </c>
      <c r="C100" s="37" t="n">
        <f aca="false">C77</f>
        <v>380</v>
      </c>
      <c r="D100" s="37" t="n">
        <f aca="false">ROUND(C78*$C$92,0)</f>
        <v>104</v>
      </c>
      <c r="E100" s="37" t="n">
        <f aca="false">C100+D100</f>
        <v>484</v>
      </c>
      <c r="F100" s="37" t="n">
        <f aca="false">D99</f>
        <v>76</v>
      </c>
      <c r="G100" s="45" t="n">
        <f aca="false">E100-F100</f>
        <v>408</v>
      </c>
    </row>
    <row r="101" customFormat="false" ht="15" hidden="false" customHeight="false" outlineLevel="0" collapsed="false">
      <c r="B101" s="10" t="s">
        <v>116</v>
      </c>
      <c r="C101" s="37" t="n">
        <f aca="false">C78</f>
        <v>520</v>
      </c>
      <c r="D101" s="37" t="n">
        <f aca="false">ROUND(C79*$C$92,0)</f>
        <v>120</v>
      </c>
      <c r="E101" s="37" t="n">
        <f aca="false">C101+D101</f>
        <v>640</v>
      </c>
      <c r="F101" s="37" t="n">
        <f aca="false">D100</f>
        <v>104</v>
      </c>
      <c r="G101" s="45" t="n">
        <f aca="false">E101-F101</f>
        <v>536</v>
      </c>
    </row>
    <row r="102" customFormat="false" ht="15" hidden="false" customHeight="false" outlineLevel="0" collapsed="false">
      <c r="B102" s="10" t="s">
        <v>117</v>
      </c>
      <c r="C102" s="37" t="n">
        <f aca="false">C79</f>
        <v>600</v>
      </c>
      <c r="D102" s="37" t="n">
        <f aca="false">ROUND(C80*$C$92,0)</f>
        <v>124</v>
      </c>
      <c r="E102" s="37" t="n">
        <f aca="false">C102+D102</f>
        <v>724</v>
      </c>
      <c r="F102" s="37" t="n">
        <f aca="false">D101</f>
        <v>120</v>
      </c>
      <c r="G102" s="45" t="n">
        <f aca="false">E102-F102</f>
        <v>604</v>
      </c>
    </row>
    <row r="103" customFormat="false" ht="15" hidden="false" customHeight="false" outlineLevel="0" collapsed="false">
      <c r="B103" s="10" t="s">
        <v>118</v>
      </c>
      <c r="C103" s="37" t="n">
        <f aca="false">C80</f>
        <v>620</v>
      </c>
      <c r="D103" s="37" t="n">
        <f aca="false">ROUND(C81*$C$92,0)</f>
        <v>90</v>
      </c>
      <c r="E103" s="37" t="n">
        <f aca="false">C103+D103</f>
        <v>710</v>
      </c>
      <c r="F103" s="37" t="n">
        <f aca="false">D102</f>
        <v>124</v>
      </c>
      <c r="G103" s="45" t="n">
        <f aca="false">E103-F103</f>
        <v>586</v>
      </c>
    </row>
    <row r="104" customFormat="false" ht="15" hidden="false" customHeight="false" outlineLevel="0" collapsed="false">
      <c r="B104" s="10" t="s">
        <v>119</v>
      </c>
      <c r="C104" s="37" t="n">
        <f aca="false">C81</f>
        <v>450</v>
      </c>
      <c r="D104" s="37" t="n">
        <f aca="false">ROUND(C82*$C$92,0)</f>
        <v>76</v>
      </c>
      <c r="E104" s="37" t="n">
        <f aca="false">C104+D104</f>
        <v>526</v>
      </c>
      <c r="F104" s="37" t="n">
        <f aca="false">D103</f>
        <v>90</v>
      </c>
      <c r="G104" s="45" t="n">
        <f aca="false">E104-F104</f>
        <v>436</v>
      </c>
    </row>
    <row r="105" customFormat="false" ht="15" hidden="false" customHeight="false" outlineLevel="0" collapsed="false">
      <c r="B105" s="10" t="s">
        <v>120</v>
      </c>
      <c r="C105" s="37" t="n">
        <f aca="false">C82</f>
        <v>380</v>
      </c>
      <c r="D105" s="37" t="n">
        <f aca="false">ROUND(C83*$C$92,0)</f>
        <v>80</v>
      </c>
      <c r="E105" s="37" t="n">
        <f aca="false">C105+D105</f>
        <v>460</v>
      </c>
      <c r="F105" s="37" t="n">
        <f aca="false">D104</f>
        <v>76</v>
      </c>
      <c r="G105" s="45" t="n">
        <f aca="false">E105-F105</f>
        <v>384</v>
      </c>
    </row>
    <row r="106" customFormat="false" ht="15" hidden="false" customHeight="false" outlineLevel="0" collapsed="false">
      <c r="B106" s="10" t="s">
        <v>121</v>
      </c>
      <c r="C106" s="37" t="n">
        <f aca="false">C83</f>
        <v>400</v>
      </c>
      <c r="D106" s="37" t="n">
        <f aca="false">ROUND(C84*$C$92,0)</f>
        <v>96</v>
      </c>
      <c r="E106" s="37" t="n">
        <f aca="false">C106+D106</f>
        <v>496</v>
      </c>
      <c r="F106" s="37" t="n">
        <f aca="false">D105</f>
        <v>80</v>
      </c>
      <c r="G106" s="45" t="n">
        <f aca="false">E106-F106</f>
        <v>416</v>
      </c>
    </row>
    <row r="107" customFormat="false" ht="15" hidden="false" customHeight="false" outlineLevel="0" collapsed="false">
      <c r="B107" s="10" t="s">
        <v>122</v>
      </c>
      <c r="C107" s="37" t="n">
        <f aca="false">C84</f>
        <v>480</v>
      </c>
      <c r="D107" s="37" t="n">
        <f aca="false">ROUND(C85*$C$92,0)</f>
        <v>140</v>
      </c>
      <c r="E107" s="37" t="n">
        <f aca="false">C107+D107</f>
        <v>620</v>
      </c>
      <c r="F107" s="37" t="n">
        <f aca="false">D106</f>
        <v>96</v>
      </c>
      <c r="G107" s="45" t="n">
        <f aca="false">E107-F107</f>
        <v>524</v>
      </c>
    </row>
    <row r="108" customFormat="false" ht="15" hidden="false" customHeight="false" outlineLevel="0" collapsed="false">
      <c r="B108" s="10" t="s">
        <v>123</v>
      </c>
      <c r="C108" s="37" t="n">
        <f aca="false">C85</f>
        <v>700</v>
      </c>
      <c r="D108" s="37" t="n">
        <f aca="false">ROUND(C87*$C$92,0)</f>
        <v>64</v>
      </c>
      <c r="E108" s="37" t="n">
        <f aca="false">C108+D108</f>
        <v>764</v>
      </c>
      <c r="F108" s="37" t="n">
        <f aca="false">D107</f>
        <v>140</v>
      </c>
      <c r="G108" s="45" t="n">
        <f aca="false">E108-F108</f>
        <v>624</v>
      </c>
    </row>
    <row r="109" customFormat="false" ht="15" hidden="false" customHeight="false" outlineLevel="0" collapsed="false">
      <c r="B109" s="38" t="s">
        <v>124</v>
      </c>
      <c r="C109" s="39" t="n">
        <f aca="false">SUM(C97:C108)</f>
        <v>5430</v>
      </c>
      <c r="D109" s="31"/>
      <c r="E109" s="31"/>
      <c r="F109" s="31"/>
      <c r="G109" s="39" t="n">
        <f aca="false">SUM(G97:G108)</f>
        <v>5434</v>
      </c>
    </row>
    <row r="110" customFormat="false" ht="15" hidden="false" customHeight="false" outlineLevel="0" collapsed="false">
      <c r="B110" s="10" t="s">
        <v>132</v>
      </c>
      <c r="C110" s="37" t="n">
        <f aca="false">C87</f>
        <v>320</v>
      </c>
      <c r="D110" s="37" t="n">
        <f aca="false">ROUND(C88*$C$92,0)</f>
        <v>60</v>
      </c>
      <c r="E110" s="37" t="n">
        <f aca="false">C110+D110</f>
        <v>380</v>
      </c>
      <c r="F110" s="37" t="n">
        <f aca="false">D108</f>
        <v>64</v>
      </c>
      <c r="G110" s="45" t="n">
        <f aca="false">E110-F110</f>
        <v>316</v>
      </c>
    </row>
    <row r="112" customFormat="false" ht="25.5" hidden="false" customHeight="true" outlineLevel="0" collapsed="false">
      <c r="B112" s="6" t="s">
        <v>204</v>
      </c>
      <c r="C112" s="34" t="n">
        <v>45</v>
      </c>
    </row>
    <row r="114" customFormat="false" ht="15" hidden="false" customHeight="false" outlineLevel="0" collapsed="false">
      <c r="B114" s="28" t="s">
        <v>205</v>
      </c>
    </row>
    <row r="115" customFormat="false" ht="31.5" hidden="false" customHeight="true" outlineLevel="0" collapsed="false">
      <c r="B115" s="5" t="s">
        <v>108</v>
      </c>
      <c r="C115" s="5" t="s">
        <v>201</v>
      </c>
      <c r="D115" s="5" t="s">
        <v>142</v>
      </c>
      <c r="E115" s="5" t="s">
        <v>202</v>
      </c>
      <c r="F115" s="5" t="s">
        <v>143</v>
      </c>
      <c r="G115" s="5" t="s">
        <v>203</v>
      </c>
    </row>
    <row r="116" customFormat="false" ht="15" hidden="false" customHeight="false" outlineLevel="0" collapsed="false">
      <c r="B116" s="10" t="s">
        <v>112</v>
      </c>
      <c r="C116" s="37" t="n">
        <f aca="false">D74</f>
        <v>220</v>
      </c>
      <c r="D116" s="37" t="n">
        <f aca="false">ROUND(D75*$C$92,0)</f>
        <v>40</v>
      </c>
      <c r="E116" s="37" t="n">
        <f aca="false">C116+D116</f>
        <v>260</v>
      </c>
      <c r="F116" s="37" t="n">
        <f aca="false">$C$112</f>
        <v>45</v>
      </c>
      <c r="G116" s="45" t="n">
        <f aca="false">E116-F116</f>
        <v>215</v>
      </c>
    </row>
    <row r="117" customFormat="false" ht="15" hidden="false" customHeight="false" outlineLevel="0" collapsed="false">
      <c r="B117" s="10" t="s">
        <v>113</v>
      </c>
      <c r="C117" s="37" t="n">
        <f aca="false">D75</f>
        <v>200</v>
      </c>
      <c r="D117" s="37" t="n">
        <f aca="false">ROUND(D76*$C$92,0)</f>
        <v>50</v>
      </c>
      <c r="E117" s="37" t="n">
        <f aca="false">C117+D117</f>
        <v>250</v>
      </c>
      <c r="F117" s="37" t="n">
        <f aca="false">D116</f>
        <v>40</v>
      </c>
      <c r="G117" s="45" t="n">
        <f aca="false">E117-F117</f>
        <v>210</v>
      </c>
    </row>
    <row r="118" customFormat="false" ht="15" hidden="false" customHeight="false" outlineLevel="0" collapsed="false">
      <c r="B118" s="10" t="s">
        <v>114</v>
      </c>
      <c r="C118" s="37" t="n">
        <f aca="false">D76</f>
        <v>250</v>
      </c>
      <c r="D118" s="37" t="n">
        <f aca="false">ROUND(D77*$C$92,0)</f>
        <v>60</v>
      </c>
      <c r="E118" s="37" t="n">
        <f aca="false">C118+D118</f>
        <v>310</v>
      </c>
      <c r="F118" s="37" t="n">
        <f aca="false">D117</f>
        <v>50</v>
      </c>
      <c r="G118" s="45" t="n">
        <f aca="false">E118-F118</f>
        <v>260</v>
      </c>
    </row>
    <row r="119" customFormat="false" ht="15" hidden="false" customHeight="false" outlineLevel="0" collapsed="false">
      <c r="B119" s="10" t="s">
        <v>115</v>
      </c>
      <c r="C119" s="37" t="n">
        <f aca="false">D77</f>
        <v>300</v>
      </c>
      <c r="D119" s="37" t="n">
        <f aca="false">ROUND(D78*$C$92,0)</f>
        <v>66</v>
      </c>
      <c r="E119" s="37" t="n">
        <f aca="false">C119+D119</f>
        <v>366</v>
      </c>
      <c r="F119" s="37" t="n">
        <f aca="false">D118</f>
        <v>60</v>
      </c>
      <c r="G119" s="45" t="n">
        <f aca="false">E119-F119</f>
        <v>306</v>
      </c>
    </row>
    <row r="120" customFormat="false" ht="15" hidden="false" customHeight="false" outlineLevel="0" collapsed="false">
      <c r="B120" s="10" t="s">
        <v>116</v>
      </c>
      <c r="C120" s="37" t="n">
        <f aca="false">D78</f>
        <v>330</v>
      </c>
      <c r="D120" s="37" t="n">
        <f aca="false">ROUND(D79*$C$92,0)</f>
        <v>92</v>
      </c>
      <c r="E120" s="37" t="n">
        <f aca="false">C120+D120</f>
        <v>422</v>
      </c>
      <c r="F120" s="37" t="n">
        <f aca="false">D119</f>
        <v>66</v>
      </c>
      <c r="G120" s="45" t="n">
        <f aca="false">E120-F120</f>
        <v>356</v>
      </c>
    </row>
    <row r="121" customFormat="false" ht="15" hidden="false" customHeight="false" outlineLevel="0" collapsed="false">
      <c r="B121" s="10" t="s">
        <v>117</v>
      </c>
      <c r="C121" s="37" t="n">
        <f aca="false">D79</f>
        <v>460</v>
      </c>
      <c r="D121" s="37" t="n">
        <f aca="false">ROUND(D80*$C$92,0)</f>
        <v>96</v>
      </c>
      <c r="E121" s="37" t="n">
        <f aca="false">C121+D121</f>
        <v>556</v>
      </c>
      <c r="F121" s="37" t="n">
        <f aca="false">D120</f>
        <v>92</v>
      </c>
      <c r="G121" s="45" t="n">
        <f aca="false">E121-F121</f>
        <v>464</v>
      </c>
    </row>
    <row r="122" customFormat="false" ht="15" hidden="false" customHeight="false" outlineLevel="0" collapsed="false">
      <c r="B122" s="10" t="s">
        <v>118</v>
      </c>
      <c r="C122" s="37" t="n">
        <f aca="false">D80</f>
        <v>480</v>
      </c>
      <c r="D122" s="37" t="n">
        <f aca="false">ROUND(D81*$C$92,0)</f>
        <v>66</v>
      </c>
      <c r="E122" s="37" t="n">
        <f aca="false">C122+D122</f>
        <v>546</v>
      </c>
      <c r="F122" s="37" t="n">
        <f aca="false">D121</f>
        <v>96</v>
      </c>
      <c r="G122" s="45" t="n">
        <f aca="false">E122-F122</f>
        <v>450</v>
      </c>
    </row>
    <row r="123" customFormat="false" ht="15" hidden="false" customHeight="false" outlineLevel="0" collapsed="false">
      <c r="B123" s="10" t="s">
        <v>119</v>
      </c>
      <c r="C123" s="37" t="n">
        <f aca="false">D81</f>
        <v>330</v>
      </c>
      <c r="D123" s="37" t="n">
        <f aca="false">ROUND(D82*$C$92,0)</f>
        <v>56</v>
      </c>
      <c r="E123" s="37" t="n">
        <f aca="false">C123+D123</f>
        <v>386</v>
      </c>
      <c r="F123" s="37" t="n">
        <f aca="false">D122</f>
        <v>66</v>
      </c>
      <c r="G123" s="45" t="n">
        <f aca="false">E123-F123</f>
        <v>320</v>
      </c>
    </row>
    <row r="124" customFormat="false" ht="15" hidden="false" customHeight="false" outlineLevel="0" collapsed="false">
      <c r="B124" s="10" t="s">
        <v>120</v>
      </c>
      <c r="C124" s="37" t="n">
        <f aca="false">D82</f>
        <v>280</v>
      </c>
      <c r="D124" s="37" t="n">
        <f aca="false">ROUND(D83*$C$92,0)</f>
        <v>60</v>
      </c>
      <c r="E124" s="37" t="n">
        <f aca="false">C124+D124</f>
        <v>340</v>
      </c>
      <c r="F124" s="37" t="n">
        <f aca="false">D123</f>
        <v>56</v>
      </c>
      <c r="G124" s="45" t="n">
        <f aca="false">E124-F124</f>
        <v>284</v>
      </c>
    </row>
    <row r="125" customFormat="false" ht="15" hidden="false" customHeight="false" outlineLevel="0" collapsed="false">
      <c r="B125" s="10" t="s">
        <v>121</v>
      </c>
      <c r="C125" s="37" t="n">
        <f aca="false">D83</f>
        <v>300</v>
      </c>
      <c r="D125" s="37" t="n">
        <f aca="false">ROUND(D84*$C$92,0)</f>
        <v>76</v>
      </c>
      <c r="E125" s="37" t="n">
        <f aca="false">C125+D125</f>
        <v>376</v>
      </c>
      <c r="F125" s="37" t="n">
        <f aca="false">D124</f>
        <v>60</v>
      </c>
      <c r="G125" s="45" t="n">
        <f aca="false">E125-F125</f>
        <v>316</v>
      </c>
    </row>
    <row r="126" customFormat="false" ht="15" hidden="false" customHeight="false" outlineLevel="0" collapsed="false">
      <c r="B126" s="10" t="s">
        <v>122</v>
      </c>
      <c r="C126" s="37" t="n">
        <f aca="false">D84</f>
        <v>380</v>
      </c>
      <c r="D126" s="37" t="n">
        <f aca="false">ROUND(D85*$C$92,0)</f>
        <v>112</v>
      </c>
      <c r="E126" s="37" t="n">
        <f aca="false">C126+D126</f>
        <v>492</v>
      </c>
      <c r="F126" s="37" t="n">
        <f aca="false">D125</f>
        <v>76</v>
      </c>
      <c r="G126" s="45" t="n">
        <f aca="false">E126-F126</f>
        <v>416</v>
      </c>
    </row>
    <row r="127" customFormat="false" ht="15" hidden="false" customHeight="false" outlineLevel="0" collapsed="false">
      <c r="B127" s="10" t="s">
        <v>123</v>
      </c>
      <c r="C127" s="37" t="n">
        <f aca="false">D85</f>
        <v>560</v>
      </c>
      <c r="D127" s="37" t="n">
        <f aca="false">ROUND(D87*$C$92,0)</f>
        <v>46</v>
      </c>
      <c r="E127" s="37" t="n">
        <f aca="false">C127+D127</f>
        <v>606</v>
      </c>
      <c r="F127" s="37" t="n">
        <f aca="false">D126</f>
        <v>112</v>
      </c>
      <c r="G127" s="45" t="n">
        <f aca="false">E127-F127</f>
        <v>494</v>
      </c>
    </row>
    <row r="128" customFormat="false" ht="15" hidden="false" customHeight="false" outlineLevel="0" collapsed="false">
      <c r="B128" s="38" t="s">
        <v>124</v>
      </c>
      <c r="C128" s="39" t="n">
        <f aca="false">SUM(C116:C127)</f>
        <v>4090</v>
      </c>
      <c r="D128" s="31"/>
      <c r="E128" s="31"/>
      <c r="F128" s="31"/>
      <c r="G128" s="39" t="n">
        <f aca="false">SUM(G116:G127)</f>
        <v>4091</v>
      </c>
    </row>
    <row r="129" customFormat="false" ht="15" hidden="false" customHeight="false" outlineLevel="0" collapsed="false">
      <c r="B129" s="10" t="s">
        <v>132</v>
      </c>
      <c r="C129" s="37" t="n">
        <f aca="false">D87</f>
        <v>230</v>
      </c>
      <c r="D129" s="37" t="n">
        <f aca="false">ROUND(D88*$C$92,0)</f>
        <v>42</v>
      </c>
      <c r="E129" s="37" t="n">
        <f aca="false">C129+D129</f>
        <v>272</v>
      </c>
      <c r="F129" s="37" t="n">
        <f aca="false">D127</f>
        <v>46</v>
      </c>
      <c r="G129" s="45" t="n">
        <f aca="false">E129-F129</f>
        <v>226</v>
      </c>
    </row>
    <row r="131" customFormat="false" ht="19.5" hidden="false" customHeight="true" outlineLevel="0" collapsed="false">
      <c r="A131" s="16" t="s">
        <v>133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customFormat="false" ht="15" hidden="false" customHeight="false" outlineLevel="0" collapsed="false">
      <c r="B132" s="17" t="s">
        <v>134</v>
      </c>
    </row>
    <row r="133" customFormat="false" ht="15" hidden="false" customHeight="false" outlineLevel="0" collapsed="false">
      <c r="B133" s="27" t="s">
        <v>135</v>
      </c>
    </row>
    <row r="135" customFormat="false" ht="15" hidden="false" customHeight="false" outlineLevel="0" collapsed="false">
      <c r="B135" s="18" t="s">
        <v>206</v>
      </c>
    </row>
    <row r="136" customFormat="false" ht="25.5" hidden="false" customHeight="true" outlineLevel="0" collapsed="false">
      <c r="B136" s="20" t="s">
        <v>137</v>
      </c>
      <c r="C136" s="29" t="n">
        <v>0.25</v>
      </c>
    </row>
    <row r="137" customFormat="false" ht="15" hidden="false" customHeight="false" outlineLevel="0" collapsed="false">
      <c r="B137" s="10" t="s">
        <v>207</v>
      </c>
      <c r="C137" s="21" t="n">
        <v>150</v>
      </c>
    </row>
    <row r="138" customFormat="false" ht="39.75" hidden="false" customHeight="true" outlineLevel="0" collapsed="false">
      <c r="B138" s="5" t="s">
        <v>108</v>
      </c>
      <c r="C138" s="5" t="s">
        <v>139</v>
      </c>
      <c r="D138" s="5" t="s">
        <v>140</v>
      </c>
      <c r="E138" s="5" t="s">
        <v>141</v>
      </c>
      <c r="F138" s="5" t="s">
        <v>142</v>
      </c>
      <c r="G138" s="5" t="s">
        <v>143</v>
      </c>
      <c r="H138" s="5" t="s">
        <v>144</v>
      </c>
      <c r="I138" s="5" t="s">
        <v>49</v>
      </c>
      <c r="J138" s="5" t="s">
        <v>145</v>
      </c>
      <c r="K138" s="5" t="s">
        <v>146</v>
      </c>
    </row>
    <row r="139" customFormat="false" ht="15" hidden="false" customHeight="false" outlineLevel="0" collapsed="false">
      <c r="B139" s="10" t="s">
        <v>112</v>
      </c>
      <c r="C139" s="40" t="n">
        <f aca="false">$G$97*$F$36</f>
        <v>700.215053763441</v>
      </c>
      <c r="D139" s="40" t="n">
        <f aca="false">$G$116*$F$47</f>
        <v>300.537634408602</v>
      </c>
      <c r="E139" s="40" t="n">
        <f aca="false">C139+D139</f>
        <v>1000.75268817204</v>
      </c>
      <c r="F139" s="40" t="n">
        <f aca="false">E140*$C$136</f>
        <v>243.709677419355</v>
      </c>
      <c r="G139" s="40" t="n">
        <f aca="false">$C$137</f>
        <v>150</v>
      </c>
      <c r="H139" s="42" t="n">
        <f aca="false">E139+F139-G139</f>
        <v>1094.4623655914</v>
      </c>
      <c r="I139" s="24" t="n">
        <f aca="false">H139*$I$18</f>
        <v>12799.6446145435</v>
      </c>
      <c r="J139" s="24" t="n">
        <f aca="false">I139*IF($G$18="Sí",$C$9,0)</f>
        <v>2303.93603061782</v>
      </c>
      <c r="K139" s="36" t="n">
        <f aca="false">I139+J139</f>
        <v>15103.5806451613</v>
      </c>
    </row>
    <row r="140" customFormat="false" ht="15" hidden="false" customHeight="false" outlineLevel="0" collapsed="false">
      <c r="B140" s="10" t="s">
        <v>113</v>
      </c>
      <c r="C140" s="40" t="n">
        <f aca="false">$G$98*$F$36</f>
        <v>681.290322580645</v>
      </c>
      <c r="D140" s="40" t="n">
        <f aca="false">$G$117*$F$47</f>
        <v>293.548387096774</v>
      </c>
      <c r="E140" s="40" t="n">
        <f aca="false">C140+D140</f>
        <v>974.83870967742</v>
      </c>
      <c r="F140" s="40" t="n">
        <f aca="false">E141*$C$136</f>
        <v>287.204301075269</v>
      </c>
      <c r="G140" s="40" t="n">
        <f aca="false">F139</f>
        <v>243.709677419355</v>
      </c>
      <c r="H140" s="42" t="n">
        <f aca="false">E140+F140-G140</f>
        <v>1018.33333333333</v>
      </c>
      <c r="I140" s="24" t="n">
        <f aca="false">H140*$I$18</f>
        <v>11909.3220338983</v>
      </c>
      <c r="J140" s="24" t="n">
        <f aca="false">I140*IF($G$18="Sí",$C$9,0)</f>
        <v>2143.6779661017</v>
      </c>
      <c r="K140" s="36" t="n">
        <f aca="false">I140+J140</f>
        <v>14053</v>
      </c>
    </row>
    <row r="141" customFormat="false" ht="15" hidden="false" customHeight="false" outlineLevel="0" collapsed="false">
      <c r="B141" s="10" t="s">
        <v>114</v>
      </c>
      <c r="C141" s="40" t="n">
        <f aca="false">$G$99*$F$36</f>
        <v>785.376344086022</v>
      </c>
      <c r="D141" s="40" t="n">
        <f aca="false">$G$118*$F$47</f>
        <v>363.440860215054</v>
      </c>
      <c r="E141" s="40" t="n">
        <f aca="false">C141+D141</f>
        <v>1148.81720430108</v>
      </c>
      <c r="F141" s="40" t="n">
        <f aca="false">E142*$C$136</f>
        <v>348.225806451613</v>
      </c>
      <c r="G141" s="40" t="n">
        <f aca="false">F140</f>
        <v>287.204301075269</v>
      </c>
      <c r="H141" s="42" t="n">
        <f aca="false">E141+F141-G141</f>
        <v>1209.83870967742</v>
      </c>
      <c r="I141" s="24" t="n">
        <f aca="false">H141*$I$18</f>
        <v>14148.9611809732</v>
      </c>
      <c r="J141" s="24" t="n">
        <f aca="false">I141*IF($G$18="Sí",$C$9,0)</f>
        <v>2546.81301257518</v>
      </c>
      <c r="K141" s="36" t="n">
        <f aca="false">I141+J141</f>
        <v>16695.7741935484</v>
      </c>
    </row>
    <row r="142" customFormat="false" ht="15" hidden="false" customHeight="false" outlineLevel="0" collapsed="false">
      <c r="B142" s="10" t="s">
        <v>115</v>
      </c>
      <c r="C142" s="40" t="n">
        <f aca="false">$G$100*$F$36</f>
        <v>965.161290322581</v>
      </c>
      <c r="D142" s="40" t="n">
        <f aca="false">$G$119*$F$47</f>
        <v>427.741935483871</v>
      </c>
      <c r="E142" s="40" t="n">
        <f aca="false">C142+D142</f>
        <v>1392.90322580645</v>
      </c>
      <c r="F142" s="40" t="n">
        <f aca="false">E143*$C$136</f>
        <v>441.397849462366</v>
      </c>
      <c r="G142" s="40" t="n">
        <f aca="false">F141</f>
        <v>348.225806451613</v>
      </c>
      <c r="H142" s="42" t="n">
        <f aca="false">E142+F142-G142</f>
        <v>1486.0752688172</v>
      </c>
      <c r="I142" s="24" t="n">
        <f aca="false">H142*$I$18</f>
        <v>17379.5243302351</v>
      </c>
      <c r="J142" s="24" t="n">
        <f aca="false">I142*IF($G$18="Sí",$C$9,0)</f>
        <v>3128.31437944232</v>
      </c>
      <c r="K142" s="36" t="n">
        <f aca="false">I142+J142</f>
        <v>20507.8387096774</v>
      </c>
    </row>
    <row r="143" customFormat="false" ht="15" hidden="false" customHeight="false" outlineLevel="0" collapsed="false">
      <c r="B143" s="10" t="s">
        <v>116</v>
      </c>
      <c r="C143" s="40" t="n">
        <f aca="false">$G$101*$F$36</f>
        <v>1267.95698924731</v>
      </c>
      <c r="D143" s="40" t="n">
        <f aca="false">$G$120*$F$47</f>
        <v>497.634408602151</v>
      </c>
      <c r="E143" s="40" t="n">
        <f aca="false">C143+D143</f>
        <v>1765.59139784946</v>
      </c>
      <c r="F143" s="40" t="n">
        <f aca="false">E144*$C$136</f>
        <v>519.354838709678</v>
      </c>
      <c r="G143" s="40" t="n">
        <f aca="false">F142</f>
        <v>441.397849462366</v>
      </c>
      <c r="H143" s="42" t="n">
        <f aca="false">E143+F143-G143</f>
        <v>1843.54838709677</v>
      </c>
      <c r="I143" s="24" t="n">
        <f aca="false">H143*$I$18</f>
        <v>21560.1421541826</v>
      </c>
      <c r="J143" s="24" t="n">
        <f aca="false">I143*IF($G$18="Sí",$C$9,0)</f>
        <v>3880.82558775287</v>
      </c>
      <c r="K143" s="36" t="n">
        <f aca="false">I143+J143</f>
        <v>25440.9677419355</v>
      </c>
    </row>
    <row r="144" customFormat="false" ht="15" hidden="false" customHeight="false" outlineLevel="0" collapsed="false">
      <c r="B144" s="10" t="s">
        <v>117</v>
      </c>
      <c r="C144" s="40" t="n">
        <f aca="false">$G$102*$F$36</f>
        <v>1428.81720430108</v>
      </c>
      <c r="D144" s="40" t="n">
        <f aca="false">$G$121*$F$47</f>
        <v>648.602150537634</v>
      </c>
      <c r="E144" s="40" t="n">
        <f aca="false">C144+D144</f>
        <v>2077.41935483871</v>
      </c>
      <c r="F144" s="40" t="n">
        <f aca="false">E145*$C$136</f>
        <v>503.817204301075</v>
      </c>
      <c r="G144" s="40" t="n">
        <f aca="false">F143</f>
        <v>519.354838709678</v>
      </c>
      <c r="H144" s="42" t="n">
        <f aca="false">E144+F144-G144</f>
        <v>2061.88172043011</v>
      </c>
      <c r="I144" s="24" t="n">
        <f aca="false">H144*$I$18</f>
        <v>24113.5319846911</v>
      </c>
      <c r="J144" s="24" t="n">
        <f aca="false">I144*IF($G$18="Sí",$C$9,0)</f>
        <v>4340.4357572444</v>
      </c>
      <c r="K144" s="36" t="n">
        <f aca="false">I144+J144</f>
        <v>28453.9677419355</v>
      </c>
    </row>
    <row r="145" customFormat="false" ht="15" hidden="false" customHeight="false" outlineLevel="0" collapsed="false">
      <c r="B145" s="10" t="s">
        <v>118</v>
      </c>
      <c r="C145" s="40" t="n">
        <f aca="false">$G$103*$F$36</f>
        <v>1386.23655913979</v>
      </c>
      <c r="D145" s="40" t="n">
        <f aca="false">$G$122*$F$47</f>
        <v>629.032258064516</v>
      </c>
      <c r="E145" s="40" t="n">
        <f aca="false">C145+D145</f>
        <v>2015.2688172043</v>
      </c>
      <c r="F145" s="40" t="n">
        <f aca="false">E146*$C$136</f>
        <v>369.677419354839</v>
      </c>
      <c r="G145" s="40" t="n">
        <f aca="false">F144</f>
        <v>503.817204301075</v>
      </c>
      <c r="H145" s="42" t="n">
        <f aca="false">E145+F145-G145</f>
        <v>1881.12903225806</v>
      </c>
      <c r="I145" s="24" t="n">
        <f aca="false">H145*$I$18</f>
        <v>21999.6446145435</v>
      </c>
      <c r="J145" s="24" t="n">
        <f aca="false">I145*IF($G$18="Sí",$C$9,0)</f>
        <v>3959.93603061782</v>
      </c>
      <c r="K145" s="36" t="n">
        <f aca="false">I145+J145</f>
        <v>25959.5806451613</v>
      </c>
    </row>
    <row r="146" customFormat="false" ht="15" hidden="false" customHeight="false" outlineLevel="0" collapsed="false">
      <c r="B146" s="10" t="s">
        <v>119</v>
      </c>
      <c r="C146" s="40" t="n">
        <f aca="false">$G$104*$F$36</f>
        <v>1031.39784946237</v>
      </c>
      <c r="D146" s="40" t="n">
        <f aca="false">$G$123*$F$47</f>
        <v>447.311827956989</v>
      </c>
      <c r="E146" s="40" t="n">
        <f aca="false">C146+D146</f>
        <v>1478.70967741936</v>
      </c>
      <c r="F146" s="40" t="n">
        <f aca="false">E147*$C$136</f>
        <v>326.344086021505</v>
      </c>
      <c r="G146" s="40" t="n">
        <f aca="false">F145</f>
        <v>369.677419354839</v>
      </c>
      <c r="H146" s="42" t="n">
        <f aca="false">E146+F146-G146</f>
        <v>1435.37634408602</v>
      </c>
      <c r="I146" s="24" t="n">
        <f aca="false">H146*$I$18</f>
        <v>16786.604702023</v>
      </c>
      <c r="J146" s="24" t="n">
        <f aca="false">I146*IF($G$18="Sí",$C$9,0)</f>
        <v>3021.58884636413</v>
      </c>
      <c r="K146" s="36" t="n">
        <f aca="false">I146+J146</f>
        <v>19808.1935483871</v>
      </c>
    </row>
    <row r="147" customFormat="false" ht="15" hidden="false" customHeight="false" outlineLevel="0" collapsed="false">
      <c r="B147" s="10" t="s">
        <v>120</v>
      </c>
      <c r="C147" s="40" t="n">
        <f aca="false">$G$105*$F$36</f>
        <v>908.387096774194</v>
      </c>
      <c r="D147" s="40" t="n">
        <f aca="false">$G$124*$F$47</f>
        <v>396.989247311828</v>
      </c>
      <c r="E147" s="40" t="n">
        <f aca="false">C147+D147</f>
        <v>1305.37634408602</v>
      </c>
      <c r="F147" s="40" t="n">
        <f aca="false">E148*$C$136</f>
        <v>356.451612903226</v>
      </c>
      <c r="G147" s="40" t="n">
        <f aca="false">F146</f>
        <v>326.344086021505</v>
      </c>
      <c r="H147" s="42" t="n">
        <f aca="false">E147+F147-G147</f>
        <v>1335.48387096774</v>
      </c>
      <c r="I147" s="24" t="n">
        <f aca="false">H147*$I$18</f>
        <v>15618.3706943685</v>
      </c>
      <c r="J147" s="24" t="n">
        <f aca="false">I147*IF($G$18="Sí",$C$9,0)</f>
        <v>2811.30672498633</v>
      </c>
      <c r="K147" s="36" t="n">
        <f aca="false">I147+J147</f>
        <v>18429.6774193548</v>
      </c>
    </row>
    <row r="148" customFormat="false" ht="15" hidden="false" customHeight="false" outlineLevel="0" collapsed="false">
      <c r="B148" s="10" t="s">
        <v>121</v>
      </c>
      <c r="C148" s="40" t="n">
        <f aca="false">$G$106*$F$36</f>
        <v>984.086021505377</v>
      </c>
      <c r="D148" s="40" t="n">
        <f aca="false">$G$125*$F$47</f>
        <v>441.720430107527</v>
      </c>
      <c r="E148" s="40" t="n">
        <f aca="false">C148+D148</f>
        <v>1425.8064516129</v>
      </c>
      <c r="F148" s="40" t="n">
        <f aca="false">E149*$C$136</f>
        <v>455.268817204301</v>
      </c>
      <c r="G148" s="40" t="n">
        <f aca="false">F147</f>
        <v>356.451612903226</v>
      </c>
      <c r="H148" s="42" t="n">
        <f aca="false">E148+F148-G148</f>
        <v>1524.62365591398</v>
      </c>
      <c r="I148" s="24" t="n">
        <f aca="false">H148*$I$18</f>
        <v>17830.3444505194</v>
      </c>
      <c r="J148" s="24" t="n">
        <f aca="false">I148*IF($G$18="Sí",$C$9,0)</f>
        <v>3209.4620010935</v>
      </c>
      <c r="K148" s="36" t="n">
        <f aca="false">I148+J148</f>
        <v>21039.8064516129</v>
      </c>
    </row>
    <row r="149" customFormat="false" ht="15" hidden="false" customHeight="false" outlineLevel="0" collapsed="false">
      <c r="B149" s="10" t="s">
        <v>122</v>
      </c>
      <c r="C149" s="40" t="n">
        <f aca="false">$G$107*$F$36</f>
        <v>1239.56989247312</v>
      </c>
      <c r="D149" s="40" t="n">
        <f aca="false">$G$126*$F$47</f>
        <v>581.505376344086</v>
      </c>
      <c r="E149" s="40" t="n">
        <f aca="false">C149+D149</f>
        <v>1821.0752688172</v>
      </c>
      <c r="F149" s="40" t="n">
        <f aca="false">E150*$C$136</f>
        <v>541.666666666667</v>
      </c>
      <c r="G149" s="40" t="n">
        <f aca="false">F148</f>
        <v>455.268817204301</v>
      </c>
      <c r="H149" s="42" t="n">
        <f aca="false">E149+F149-G149</f>
        <v>1907.47311827957</v>
      </c>
      <c r="I149" s="24" t="n">
        <f aca="false">H149*$I$18</f>
        <v>22307.7364680153</v>
      </c>
      <c r="J149" s="24" t="n">
        <f aca="false">I149*IF($G$18="Sí",$C$9,0)</f>
        <v>4015.39256424276</v>
      </c>
      <c r="K149" s="36" t="n">
        <f aca="false">I149+J149</f>
        <v>26323.1290322581</v>
      </c>
    </row>
    <row r="150" customFormat="false" ht="15" hidden="false" customHeight="false" outlineLevel="0" collapsed="false">
      <c r="B150" s="10" t="s">
        <v>123</v>
      </c>
      <c r="C150" s="40" t="n">
        <f aca="false">$G$108*$F$36</f>
        <v>1476.12903225806</v>
      </c>
      <c r="D150" s="40" t="n">
        <f aca="false">$G$127*$F$47</f>
        <v>690.537634408602</v>
      </c>
      <c r="E150" s="40" t="n">
        <f aca="false">C150+D150</f>
        <v>2166.66666666667</v>
      </c>
      <c r="F150" s="40" t="n">
        <f aca="false">E152*$C$136</f>
        <v>265.860215053764</v>
      </c>
      <c r="G150" s="40" t="n">
        <f aca="false">F149</f>
        <v>541.666666666667</v>
      </c>
      <c r="H150" s="42" t="n">
        <f aca="false">E150+F150-G150</f>
        <v>1890.86021505376</v>
      </c>
      <c r="I150" s="24" t="n">
        <f aca="false">H150*$I$18</f>
        <v>22113.4499726627</v>
      </c>
      <c r="J150" s="24" t="n">
        <f aca="false">I150*IF($G$18="Sí",$C$9,0)</f>
        <v>3980.42099507928</v>
      </c>
      <c r="K150" s="36" t="n">
        <f aca="false">I150+J150</f>
        <v>26093.8709677419</v>
      </c>
    </row>
    <row r="151" customFormat="false" ht="15" hidden="false" customHeight="false" outlineLevel="0" collapsed="false">
      <c r="B151" s="38" t="s">
        <v>124</v>
      </c>
      <c r="C151" s="31"/>
      <c r="D151" s="31"/>
      <c r="E151" s="43" t="n">
        <f aca="false">SUM(E139:E150)</f>
        <v>18573.2258064516</v>
      </c>
      <c r="F151" s="31"/>
      <c r="G151" s="31"/>
      <c r="H151" s="43" t="n">
        <f aca="false">SUM(H139:H150)</f>
        <v>18689.0860215054</v>
      </c>
      <c r="I151" s="44" t="n">
        <f aca="false">SUM(I139:I150)</f>
        <v>218567.277200656</v>
      </c>
      <c r="J151" s="44" t="n">
        <f aca="false">SUM(J139:J150)</f>
        <v>39342.1098961181</v>
      </c>
      <c r="K151" s="44" t="n">
        <f aca="false">SUM(K139:K150)</f>
        <v>257909.387096774</v>
      </c>
    </row>
    <row r="152" customFormat="false" ht="15" hidden="false" customHeight="false" outlineLevel="0" collapsed="false">
      <c r="B152" s="10" t="s">
        <v>147</v>
      </c>
      <c r="C152" s="40" t="n">
        <f aca="false">$G$110*$F$36</f>
        <v>747.52688172043</v>
      </c>
      <c r="D152" s="40" t="n">
        <f aca="false">$G$129*$F$47</f>
        <v>315.913978494624</v>
      </c>
      <c r="E152" s="40" t="n">
        <f aca="false">C152+D152</f>
        <v>1063.44086021505</v>
      </c>
      <c r="F152" s="19" t="s">
        <v>126</v>
      </c>
      <c r="G152" s="19" t="s">
        <v>126</v>
      </c>
      <c r="H152" s="19" t="s">
        <v>126</v>
      </c>
      <c r="I152" s="19" t="s">
        <v>126</v>
      </c>
      <c r="J152" s="19" t="s">
        <v>126</v>
      </c>
      <c r="K152" s="19" t="s">
        <v>126</v>
      </c>
    </row>
    <row r="154" customFormat="false" ht="15" hidden="false" customHeight="false" outlineLevel="0" collapsed="false">
      <c r="B154" s="18" t="s">
        <v>208</v>
      </c>
    </row>
    <row r="155" customFormat="false" ht="25.5" hidden="false" customHeight="true" outlineLevel="0" collapsed="false">
      <c r="B155" s="20" t="s">
        <v>137</v>
      </c>
      <c r="C155" s="29" t="n">
        <v>0.25</v>
      </c>
    </row>
    <row r="156" customFormat="false" ht="15" hidden="false" customHeight="false" outlineLevel="0" collapsed="false">
      <c r="B156" s="10" t="s">
        <v>209</v>
      </c>
      <c r="C156" s="21" t="n">
        <v>3</v>
      </c>
    </row>
    <row r="157" customFormat="false" ht="39.75" hidden="false" customHeight="true" outlineLevel="0" collapsed="false">
      <c r="B157" s="5" t="s">
        <v>108</v>
      </c>
      <c r="C157" s="5" t="s">
        <v>139</v>
      </c>
      <c r="D157" s="5" t="s">
        <v>140</v>
      </c>
      <c r="E157" s="5" t="s">
        <v>141</v>
      </c>
      <c r="F157" s="5" t="s">
        <v>142</v>
      </c>
      <c r="G157" s="5" t="s">
        <v>143</v>
      </c>
      <c r="H157" s="5" t="s">
        <v>144</v>
      </c>
      <c r="I157" s="5" t="s">
        <v>49</v>
      </c>
      <c r="J157" s="5" t="s">
        <v>145</v>
      </c>
      <c r="K157" s="5" t="s">
        <v>146</v>
      </c>
    </row>
    <row r="158" customFormat="false" ht="15" hidden="false" customHeight="false" outlineLevel="0" collapsed="false">
      <c r="B158" s="10" t="s">
        <v>112</v>
      </c>
      <c r="C158" s="40" t="n">
        <f aca="false">$G$97*$F$37</f>
        <v>18.6947368421053</v>
      </c>
      <c r="D158" s="40" t="n">
        <f aca="false">$G$116*$F$48</f>
        <v>9.05263157894737</v>
      </c>
      <c r="E158" s="40" t="n">
        <f aca="false">C158+D158</f>
        <v>27.7473684210526</v>
      </c>
      <c r="F158" s="40" t="n">
        <f aca="false">E159*$C$155</f>
        <v>6.75789473684211</v>
      </c>
      <c r="G158" s="40" t="n">
        <f aca="false">$C$156</f>
        <v>3</v>
      </c>
      <c r="H158" s="42" t="n">
        <f aca="false">E158+F158-G158</f>
        <v>31.5052631578947</v>
      </c>
      <c r="I158" s="24" t="n">
        <f aca="false">H158*$I$19</f>
        <v>934.478144513827</v>
      </c>
      <c r="J158" s="24" t="n">
        <f aca="false">I158*IF($G$19="Sí",$C$9,0)</f>
        <v>168.206066012489</v>
      </c>
      <c r="K158" s="36" t="n">
        <f aca="false">I158+J158</f>
        <v>1102.68421052632</v>
      </c>
    </row>
    <row r="159" customFormat="false" ht="15" hidden="false" customHeight="false" outlineLevel="0" collapsed="false">
      <c r="B159" s="10" t="s">
        <v>113</v>
      </c>
      <c r="C159" s="40" t="n">
        <f aca="false">$G$98*$F$37</f>
        <v>18.1894736842105</v>
      </c>
      <c r="D159" s="40" t="n">
        <f aca="false">$G$117*$F$48</f>
        <v>8.8421052631579</v>
      </c>
      <c r="E159" s="40" t="n">
        <f aca="false">C159+D159</f>
        <v>27.0315789473684</v>
      </c>
      <c r="F159" s="40" t="n">
        <f aca="false">E160*$C$155</f>
        <v>7.97894736842105</v>
      </c>
      <c r="G159" s="40" t="n">
        <f aca="false">F158</f>
        <v>6.75789473684211</v>
      </c>
      <c r="H159" s="42" t="n">
        <f aca="false">E159+F159-G159</f>
        <v>28.2526315789474</v>
      </c>
      <c r="I159" s="24" t="n">
        <f aca="false">H159*$I$19</f>
        <v>838.00178412132</v>
      </c>
      <c r="J159" s="24" t="n">
        <f aca="false">I159*IF($G$19="Sí",$C$9,0)</f>
        <v>150.840321141838</v>
      </c>
      <c r="K159" s="36" t="n">
        <f aca="false">I159+J159</f>
        <v>988.842105263158</v>
      </c>
    </row>
    <row r="160" customFormat="false" ht="15" hidden="false" customHeight="false" outlineLevel="0" collapsed="false">
      <c r="B160" s="10" t="s">
        <v>114</v>
      </c>
      <c r="C160" s="40" t="n">
        <f aca="false">$G$99*$F$37</f>
        <v>20.9684210526316</v>
      </c>
      <c r="D160" s="40" t="n">
        <f aca="false">$G$118*$F$48</f>
        <v>10.9473684210526</v>
      </c>
      <c r="E160" s="40" t="n">
        <f aca="false">C160+D160</f>
        <v>31.9157894736842</v>
      </c>
      <c r="F160" s="40" t="n">
        <f aca="false">E161*$C$155</f>
        <v>9.66315789473684</v>
      </c>
      <c r="G160" s="40" t="n">
        <f aca="false">F159</f>
        <v>7.97894736842105</v>
      </c>
      <c r="H160" s="42" t="n">
        <f aca="false">E160+F160-G160</f>
        <v>33.6</v>
      </c>
      <c r="I160" s="24" t="n">
        <f aca="false">H160*$I$19</f>
        <v>996.610169491526</v>
      </c>
      <c r="J160" s="24" t="n">
        <f aca="false">I160*IF($G$19="Sí",$C$9,0)</f>
        <v>179.389830508475</v>
      </c>
      <c r="K160" s="36" t="n">
        <f aca="false">I160+J160</f>
        <v>1176</v>
      </c>
    </row>
    <row r="161" customFormat="false" ht="15" hidden="false" customHeight="false" outlineLevel="0" collapsed="false">
      <c r="B161" s="10" t="s">
        <v>115</v>
      </c>
      <c r="C161" s="40" t="n">
        <f aca="false">$G$100*$F$37</f>
        <v>25.7684210526316</v>
      </c>
      <c r="D161" s="40" t="n">
        <f aca="false">$G$119*$F$48</f>
        <v>12.8842105263158</v>
      </c>
      <c r="E161" s="40" t="n">
        <f aca="false">C161+D161</f>
        <v>38.6526315789474</v>
      </c>
      <c r="F161" s="40" t="n">
        <f aca="false">E162*$C$155</f>
        <v>12.2105263157895</v>
      </c>
      <c r="G161" s="40" t="n">
        <f aca="false">F160</f>
        <v>9.66315789473684</v>
      </c>
      <c r="H161" s="42" t="n">
        <f aca="false">E161+F161-G161</f>
        <v>41.2</v>
      </c>
      <c r="I161" s="24" t="n">
        <f aca="false">H161*$I$19</f>
        <v>1222.03389830509</v>
      </c>
      <c r="J161" s="24" t="n">
        <f aca="false">I161*IF($G$19="Sí",$C$9,0)</f>
        <v>219.966101694915</v>
      </c>
      <c r="K161" s="36" t="n">
        <f aca="false">I161+J161</f>
        <v>1442</v>
      </c>
    </row>
    <row r="162" customFormat="false" ht="15" hidden="false" customHeight="false" outlineLevel="0" collapsed="false">
      <c r="B162" s="10" t="s">
        <v>116</v>
      </c>
      <c r="C162" s="40" t="n">
        <f aca="false">$G$101*$F$37</f>
        <v>33.8526315789474</v>
      </c>
      <c r="D162" s="40" t="n">
        <f aca="false">$G$120*$F$48</f>
        <v>14.9894736842105</v>
      </c>
      <c r="E162" s="40" t="n">
        <f aca="false">C162+D162</f>
        <v>48.8421052631579</v>
      </c>
      <c r="F162" s="40" t="n">
        <f aca="false">E163*$C$155</f>
        <v>14.4210526315789</v>
      </c>
      <c r="G162" s="40" t="n">
        <f aca="false">F161</f>
        <v>12.2105263157895</v>
      </c>
      <c r="H162" s="42" t="n">
        <f aca="false">E162+F162-G162</f>
        <v>51.0526315789474</v>
      </c>
      <c r="I162" s="24" t="n">
        <f aca="false">H162*$I$19</f>
        <v>1514.272970562</v>
      </c>
      <c r="J162" s="24" t="n">
        <f aca="false">I162*IF($G$19="Sí",$C$9,0)</f>
        <v>272.56913470116</v>
      </c>
      <c r="K162" s="36" t="n">
        <f aca="false">I162+J162</f>
        <v>1786.84210526316</v>
      </c>
    </row>
    <row r="163" customFormat="false" ht="15" hidden="false" customHeight="false" outlineLevel="0" collapsed="false">
      <c r="B163" s="10" t="s">
        <v>117</v>
      </c>
      <c r="C163" s="40" t="n">
        <f aca="false">$G$102*$F$37</f>
        <v>38.1473684210526</v>
      </c>
      <c r="D163" s="40" t="n">
        <f aca="false">$G$121*$F$48</f>
        <v>19.5368421052632</v>
      </c>
      <c r="E163" s="40" t="n">
        <f aca="false">C163+D163</f>
        <v>57.6842105263158</v>
      </c>
      <c r="F163" s="40" t="n">
        <f aca="false">E164*$C$155</f>
        <v>13.9894736842105</v>
      </c>
      <c r="G163" s="40" t="n">
        <f aca="false">F162</f>
        <v>14.4210526315789</v>
      </c>
      <c r="H163" s="42" t="n">
        <f aca="false">E163+F163-G163</f>
        <v>57.2526315789474</v>
      </c>
      <c r="I163" s="24" t="n">
        <f aca="false">H163*$I$19</f>
        <v>1698.17127564674</v>
      </c>
      <c r="J163" s="24" t="n">
        <f aca="false">I163*IF($G$19="Sí",$C$9,0)</f>
        <v>305.670829616414</v>
      </c>
      <c r="K163" s="36" t="n">
        <f aca="false">I163+J163</f>
        <v>2003.84210526316</v>
      </c>
    </row>
    <row r="164" customFormat="false" ht="15" hidden="false" customHeight="false" outlineLevel="0" collapsed="false">
      <c r="B164" s="10" t="s">
        <v>118</v>
      </c>
      <c r="C164" s="40" t="n">
        <f aca="false">$G$103*$F$37</f>
        <v>37.0105263157895</v>
      </c>
      <c r="D164" s="40" t="n">
        <f aca="false">$G$122*$F$48</f>
        <v>18.9473684210526</v>
      </c>
      <c r="E164" s="40" t="n">
        <f aca="false">C164+D164</f>
        <v>55.9578947368421</v>
      </c>
      <c r="F164" s="40" t="n">
        <f aca="false">E165*$C$155</f>
        <v>10.2526315789474</v>
      </c>
      <c r="G164" s="40" t="n">
        <f aca="false">F163</f>
        <v>13.9894736842105</v>
      </c>
      <c r="H164" s="42" t="n">
        <f aca="false">E164+F164-G164</f>
        <v>52.221052631579</v>
      </c>
      <c r="I164" s="24" t="n">
        <f aca="false">H164*$I$19</f>
        <v>1548.92952720785</v>
      </c>
      <c r="J164" s="24" t="n">
        <f aca="false">I164*IF($G$19="Sí",$C$9,0)</f>
        <v>278.807314897413</v>
      </c>
      <c r="K164" s="36" t="n">
        <f aca="false">I164+J164</f>
        <v>1827.73684210526</v>
      </c>
    </row>
    <row r="165" customFormat="false" ht="15" hidden="false" customHeight="false" outlineLevel="0" collapsed="false">
      <c r="B165" s="10" t="s">
        <v>119</v>
      </c>
      <c r="C165" s="40" t="n">
        <f aca="false">$G$104*$F$37</f>
        <v>27.5368421052632</v>
      </c>
      <c r="D165" s="40" t="n">
        <f aca="false">$G$123*$F$48</f>
        <v>13.4736842105263</v>
      </c>
      <c r="E165" s="40" t="n">
        <f aca="false">C165+D165</f>
        <v>41.0105263157895</v>
      </c>
      <c r="F165" s="40" t="n">
        <f aca="false">E166*$C$155</f>
        <v>9.05263157894737</v>
      </c>
      <c r="G165" s="40" t="n">
        <f aca="false">F164</f>
        <v>10.2526315789474</v>
      </c>
      <c r="H165" s="42" t="n">
        <f aca="false">E165+F165-G165</f>
        <v>39.8105263157895</v>
      </c>
      <c r="I165" s="24" t="n">
        <f aca="false">H165*$I$19</f>
        <v>1180.82069580732</v>
      </c>
      <c r="J165" s="24" t="n">
        <f aca="false">I165*IF($G$19="Sí",$C$9,0)</f>
        <v>212.547725245317</v>
      </c>
      <c r="K165" s="36" t="n">
        <f aca="false">I165+J165</f>
        <v>1393.36842105263</v>
      </c>
    </row>
    <row r="166" customFormat="false" ht="15" hidden="false" customHeight="false" outlineLevel="0" collapsed="false">
      <c r="B166" s="10" t="s">
        <v>120</v>
      </c>
      <c r="C166" s="40" t="n">
        <f aca="false">$G$105*$F$37</f>
        <v>24.2526315789474</v>
      </c>
      <c r="D166" s="40" t="n">
        <f aca="false">$G$124*$F$48</f>
        <v>11.9578947368421</v>
      </c>
      <c r="E166" s="40" t="n">
        <f aca="false">C166+D166</f>
        <v>36.2105263157895</v>
      </c>
      <c r="F166" s="40" t="n">
        <f aca="false">E167*$C$155</f>
        <v>9.89473684210526</v>
      </c>
      <c r="G166" s="40" t="n">
        <f aca="false">F165</f>
        <v>9.05263157894737</v>
      </c>
      <c r="H166" s="42" t="n">
        <f aca="false">E166+F166-G166</f>
        <v>37.0526315789474</v>
      </c>
      <c r="I166" s="24" t="n">
        <f aca="false">H166*$I$19</f>
        <v>1099.01873327386</v>
      </c>
      <c r="J166" s="24" t="n">
        <f aca="false">I166*IF($G$19="Sí",$C$9,0)</f>
        <v>197.823371989295</v>
      </c>
      <c r="K166" s="36" t="n">
        <f aca="false">I166+J166</f>
        <v>1296.84210526316</v>
      </c>
    </row>
    <row r="167" customFormat="false" ht="15" hidden="false" customHeight="false" outlineLevel="0" collapsed="false">
      <c r="B167" s="10" t="s">
        <v>121</v>
      </c>
      <c r="C167" s="40" t="n">
        <f aca="false">$G$106*$F$37</f>
        <v>26.2736842105263</v>
      </c>
      <c r="D167" s="40" t="n">
        <f aca="false">$G$125*$F$48</f>
        <v>13.3052631578947</v>
      </c>
      <c r="E167" s="40" t="n">
        <f aca="false">C167+D167</f>
        <v>39.5789473684211</v>
      </c>
      <c r="F167" s="40" t="n">
        <f aca="false">E168*$C$155</f>
        <v>12.6526315789474</v>
      </c>
      <c r="G167" s="40" t="n">
        <f aca="false">F166</f>
        <v>9.89473684210526</v>
      </c>
      <c r="H167" s="42" t="n">
        <f aca="false">E167+F167-G167</f>
        <v>42.3368421052632</v>
      </c>
      <c r="I167" s="24" t="n">
        <f aca="false">H167*$I$19</f>
        <v>1255.75379125781</v>
      </c>
      <c r="J167" s="24" t="n">
        <f aca="false">I167*IF($G$19="Sí",$C$9,0)</f>
        <v>226.035682426405</v>
      </c>
      <c r="K167" s="36" t="n">
        <f aca="false">I167+J167</f>
        <v>1481.78947368421</v>
      </c>
    </row>
    <row r="168" customFormat="false" ht="15" hidden="false" customHeight="false" outlineLevel="0" collapsed="false">
      <c r="B168" s="10" t="s">
        <v>122</v>
      </c>
      <c r="C168" s="40" t="n">
        <f aca="false">$G$107*$F$37</f>
        <v>33.0947368421053</v>
      </c>
      <c r="D168" s="40" t="n">
        <f aca="false">$G$126*$F$48</f>
        <v>17.5157894736842</v>
      </c>
      <c r="E168" s="40" t="n">
        <f aca="false">C168+D168</f>
        <v>50.6105263157895</v>
      </c>
      <c r="F168" s="40" t="n">
        <f aca="false">E169*$C$155</f>
        <v>15.0526315789474</v>
      </c>
      <c r="G168" s="40" t="n">
        <f aca="false">F167</f>
        <v>12.6526315789474</v>
      </c>
      <c r="H168" s="42" t="n">
        <f aca="false">E168+F168-G168</f>
        <v>53.0105263157895</v>
      </c>
      <c r="I168" s="24" t="n">
        <f aca="false">H168*$I$19</f>
        <v>1572.34611953613</v>
      </c>
      <c r="J168" s="24" t="n">
        <f aca="false">I168*IF($G$19="Sí",$C$9,0)</f>
        <v>283.022301516503</v>
      </c>
      <c r="K168" s="36" t="n">
        <f aca="false">I168+J168</f>
        <v>1855.36842105263</v>
      </c>
    </row>
    <row r="169" customFormat="false" ht="15" hidden="false" customHeight="false" outlineLevel="0" collapsed="false">
      <c r="B169" s="10" t="s">
        <v>123</v>
      </c>
      <c r="C169" s="40" t="n">
        <f aca="false">$G$108*$F$37</f>
        <v>39.4105263157895</v>
      </c>
      <c r="D169" s="40" t="n">
        <f aca="false">$G$127*$F$48</f>
        <v>20.8</v>
      </c>
      <c r="E169" s="40" t="n">
        <f aca="false">C169+D169</f>
        <v>60.2105263157895</v>
      </c>
      <c r="F169" s="40" t="n">
        <f aca="false">E171*$C$155</f>
        <v>7.36842105263158</v>
      </c>
      <c r="G169" s="40" t="n">
        <f aca="false">F168</f>
        <v>15.0526315789474</v>
      </c>
      <c r="H169" s="42" t="n">
        <f aca="false">E169+F169-G169</f>
        <v>52.5263157894737</v>
      </c>
      <c r="I169" s="24" t="n">
        <f aca="false">H169*$I$19</f>
        <v>1557.98394290812</v>
      </c>
      <c r="J169" s="24" t="n">
        <f aca="false">I169*IF($G$19="Sí",$C$9,0)</f>
        <v>280.437109723461</v>
      </c>
      <c r="K169" s="36" t="n">
        <f aca="false">I169+J169</f>
        <v>1838.42105263158</v>
      </c>
    </row>
    <row r="170" customFormat="false" ht="15" hidden="false" customHeight="false" outlineLevel="0" collapsed="false">
      <c r="B170" s="38" t="s">
        <v>124</v>
      </c>
      <c r="C170" s="31"/>
      <c r="D170" s="31"/>
      <c r="E170" s="43" t="n">
        <f aca="false">SUM(E158:E169)</f>
        <v>515.452631578947</v>
      </c>
      <c r="F170" s="31"/>
      <c r="G170" s="31"/>
      <c r="H170" s="43" t="n">
        <f aca="false">SUM(H158:H169)</f>
        <v>519.821052631579</v>
      </c>
      <c r="I170" s="44" t="n">
        <f aca="false">SUM(I158:I169)</f>
        <v>15418.4210526316</v>
      </c>
      <c r="J170" s="44" t="n">
        <f aca="false">SUM(J158:J169)</f>
        <v>2775.31578947368</v>
      </c>
      <c r="K170" s="44" t="n">
        <f aca="false">SUM(K158:K169)</f>
        <v>18193.7368421053</v>
      </c>
    </row>
    <row r="171" customFormat="false" ht="15" hidden="false" customHeight="false" outlineLevel="0" collapsed="false">
      <c r="B171" s="10" t="s">
        <v>147</v>
      </c>
      <c r="C171" s="40" t="n">
        <f aca="false">$G$110*$F$37</f>
        <v>19.9578947368421</v>
      </c>
      <c r="D171" s="40" t="n">
        <f aca="false">$G$129*$F$48</f>
        <v>9.51578947368421</v>
      </c>
      <c r="E171" s="40" t="n">
        <f aca="false">C171+D171</f>
        <v>29.4736842105263</v>
      </c>
      <c r="F171" s="19" t="s">
        <v>126</v>
      </c>
      <c r="G171" s="19" t="s">
        <v>126</v>
      </c>
      <c r="H171" s="19" t="s">
        <v>126</v>
      </c>
      <c r="I171" s="19" t="s">
        <v>126</v>
      </c>
      <c r="J171" s="19" t="s">
        <v>126</v>
      </c>
      <c r="K171" s="19" t="s">
        <v>126</v>
      </c>
    </row>
    <row r="173" customFormat="false" ht="15" hidden="false" customHeight="false" outlineLevel="0" collapsed="false">
      <c r="B173" s="18" t="s">
        <v>210</v>
      </c>
    </row>
    <row r="174" customFormat="false" ht="25.5" hidden="false" customHeight="true" outlineLevel="0" collapsed="false">
      <c r="B174" s="20" t="s">
        <v>137</v>
      </c>
      <c r="C174" s="29" t="n">
        <v>0.25</v>
      </c>
    </row>
    <row r="175" customFormat="false" ht="15" hidden="false" customHeight="false" outlineLevel="0" collapsed="false">
      <c r="B175" s="10" t="s">
        <v>207</v>
      </c>
      <c r="C175" s="21" t="n">
        <v>60</v>
      </c>
    </row>
    <row r="176" customFormat="false" ht="39.75" hidden="false" customHeight="true" outlineLevel="0" collapsed="false">
      <c r="B176" s="5" t="s">
        <v>108</v>
      </c>
      <c r="C176" s="5" t="s">
        <v>139</v>
      </c>
      <c r="D176" s="5" t="s">
        <v>140</v>
      </c>
      <c r="E176" s="5" t="s">
        <v>141</v>
      </c>
      <c r="F176" s="5" t="s">
        <v>142</v>
      </c>
      <c r="G176" s="5" t="s">
        <v>143</v>
      </c>
      <c r="H176" s="5" t="s">
        <v>144</v>
      </c>
      <c r="I176" s="5" t="s">
        <v>49</v>
      </c>
      <c r="J176" s="5" t="s">
        <v>145</v>
      </c>
      <c r="K176" s="5" t="s">
        <v>146</v>
      </c>
    </row>
    <row r="177" customFormat="false" ht="15" hidden="false" customHeight="false" outlineLevel="0" collapsed="false">
      <c r="B177" s="10" t="s">
        <v>112</v>
      </c>
      <c r="C177" s="40" t="n">
        <f aca="false">$G$97*$F$38</f>
        <v>274.639175257732</v>
      </c>
      <c r="D177" s="40" t="n">
        <f aca="false">$G$116*$F$49</f>
        <v>144.072164948454</v>
      </c>
      <c r="E177" s="40" t="n">
        <f aca="false">C177+D177</f>
        <v>418.711340206186</v>
      </c>
      <c r="F177" s="40" t="n">
        <f aca="false">E178*$C$174</f>
        <v>101.984536082474</v>
      </c>
      <c r="G177" s="40" t="n">
        <f aca="false">$C$175</f>
        <v>60</v>
      </c>
      <c r="H177" s="42" t="n">
        <f aca="false">E177+F177-G177</f>
        <v>460.69587628866</v>
      </c>
      <c r="I177" s="24" t="n">
        <f aca="false">H177*$I$20</f>
        <v>374.803424777215</v>
      </c>
      <c r="J177" s="24" t="n">
        <f aca="false">I177*IF($G$20="Sí",$C$9,0)</f>
        <v>67.4646164598987</v>
      </c>
      <c r="K177" s="36" t="n">
        <f aca="false">I177+J177</f>
        <v>442.268041237114</v>
      </c>
    </row>
    <row r="178" customFormat="false" ht="15" hidden="false" customHeight="false" outlineLevel="0" collapsed="false">
      <c r="B178" s="10" t="s">
        <v>113</v>
      </c>
      <c r="C178" s="40" t="n">
        <f aca="false">$G$98*$F$38</f>
        <v>267.216494845361</v>
      </c>
      <c r="D178" s="40" t="n">
        <f aca="false">$G$117*$F$49</f>
        <v>140.721649484536</v>
      </c>
      <c r="E178" s="40" t="n">
        <f aca="false">C178+D178</f>
        <v>407.938144329897</v>
      </c>
      <c r="F178" s="40" t="n">
        <f aca="false">E179*$C$174</f>
        <v>120.567010309278</v>
      </c>
      <c r="G178" s="40" t="n">
        <f aca="false">F177</f>
        <v>101.984536082474</v>
      </c>
      <c r="H178" s="42" t="n">
        <f aca="false">E178+F178-G178</f>
        <v>426.520618556701</v>
      </c>
      <c r="I178" s="24" t="n">
        <f aca="false">H178*$I$20</f>
        <v>346.999825266469</v>
      </c>
      <c r="J178" s="24" t="n">
        <f aca="false">I178*IF($G$20="Sí",$C$9,0)</f>
        <v>62.4599685479644</v>
      </c>
      <c r="K178" s="36" t="n">
        <f aca="false">I178+J178</f>
        <v>409.459793814433</v>
      </c>
    </row>
    <row r="179" customFormat="false" ht="15" hidden="false" customHeight="false" outlineLevel="0" collapsed="false">
      <c r="B179" s="10" t="s">
        <v>114</v>
      </c>
      <c r="C179" s="40" t="n">
        <f aca="false">$G$99*$F$38</f>
        <v>308.041237113402</v>
      </c>
      <c r="D179" s="40" t="n">
        <f aca="false">$G$118*$F$49</f>
        <v>174.226804123711</v>
      </c>
      <c r="E179" s="40" t="n">
        <f aca="false">C179+D179</f>
        <v>482.268041237113</v>
      </c>
      <c r="F179" s="40" t="n">
        <f aca="false">E180*$C$174</f>
        <v>145.90206185567</v>
      </c>
      <c r="G179" s="40" t="n">
        <f aca="false">F178</f>
        <v>120.567010309278</v>
      </c>
      <c r="H179" s="42" t="n">
        <f aca="false">E179+F179-G179</f>
        <v>507.603092783505</v>
      </c>
      <c r="I179" s="24" t="n">
        <f aca="false">H179*$I$20</f>
        <v>412.965228027259</v>
      </c>
      <c r="J179" s="24" t="n">
        <f aca="false">I179*IF($G$20="Sí",$C$9,0)</f>
        <v>74.3337410449065</v>
      </c>
      <c r="K179" s="36" t="n">
        <f aca="false">I179+J179</f>
        <v>487.298969072165</v>
      </c>
    </row>
    <row r="180" customFormat="false" ht="15" hidden="false" customHeight="false" outlineLevel="0" collapsed="false">
      <c r="B180" s="10" t="s">
        <v>115</v>
      </c>
      <c r="C180" s="40" t="n">
        <f aca="false">$G$100*$F$38</f>
        <v>378.556701030928</v>
      </c>
      <c r="D180" s="40" t="n">
        <f aca="false">$G$119*$F$49</f>
        <v>205.051546391753</v>
      </c>
      <c r="E180" s="40" t="n">
        <f aca="false">C180+D180</f>
        <v>583.608247422681</v>
      </c>
      <c r="F180" s="40" t="n">
        <f aca="false">E181*$C$174</f>
        <v>183.969072164948</v>
      </c>
      <c r="G180" s="40" t="n">
        <f aca="false">F179</f>
        <v>145.90206185567</v>
      </c>
      <c r="H180" s="42" t="n">
        <f aca="false">E180+F180-G180</f>
        <v>621.675257731959</v>
      </c>
      <c r="I180" s="24" t="n">
        <f aca="false">H180*$I$20</f>
        <v>505.769701205661</v>
      </c>
      <c r="J180" s="24" t="n">
        <f aca="false">I180*IF($G$20="Sí",$C$9,0)</f>
        <v>91.0385462170191</v>
      </c>
      <c r="K180" s="36" t="n">
        <f aca="false">I180+J180</f>
        <v>596.80824742268</v>
      </c>
    </row>
    <row r="181" customFormat="false" ht="15" hidden="false" customHeight="false" outlineLevel="0" collapsed="false">
      <c r="B181" s="10" t="s">
        <v>116</v>
      </c>
      <c r="C181" s="40" t="n">
        <f aca="false">$G$101*$F$38</f>
        <v>497.319587628866</v>
      </c>
      <c r="D181" s="40" t="n">
        <f aca="false">$G$120*$F$49</f>
        <v>238.556701030928</v>
      </c>
      <c r="E181" s="40" t="n">
        <f aca="false">C181+D181</f>
        <v>735.876288659794</v>
      </c>
      <c r="F181" s="40" t="n">
        <f aca="false">E182*$C$174</f>
        <v>217.835051546392</v>
      </c>
      <c r="G181" s="40" t="n">
        <f aca="false">F180</f>
        <v>183.969072164948</v>
      </c>
      <c r="H181" s="42" t="n">
        <f aca="false">E181+F181-G181</f>
        <v>769.742268041237</v>
      </c>
      <c r="I181" s="24" t="n">
        <f aca="false">H181*$I$20</f>
        <v>626.230997728464</v>
      </c>
      <c r="J181" s="24" t="n">
        <f aca="false">I181*IF($G$20="Sí",$C$9,0)</f>
        <v>112.721579591124</v>
      </c>
      <c r="K181" s="36" t="n">
        <f aca="false">I181+J181</f>
        <v>738.952577319588</v>
      </c>
    </row>
    <row r="182" customFormat="false" ht="15" hidden="false" customHeight="false" outlineLevel="0" collapsed="false">
      <c r="B182" s="10" t="s">
        <v>117</v>
      </c>
      <c r="C182" s="40" t="n">
        <f aca="false">$G$102*$F$38</f>
        <v>560.412371134021</v>
      </c>
      <c r="D182" s="40" t="n">
        <f aca="false">$G$121*$F$49</f>
        <v>310.927835051546</v>
      </c>
      <c r="E182" s="40" t="n">
        <f aca="false">C182+D182</f>
        <v>871.340206185567</v>
      </c>
      <c r="F182" s="40" t="n">
        <f aca="false">E183*$C$174</f>
        <v>211.314432989691</v>
      </c>
      <c r="G182" s="40" t="n">
        <f aca="false">F181</f>
        <v>217.835051546392</v>
      </c>
      <c r="H182" s="42" t="n">
        <f aca="false">E182+F182-G182</f>
        <v>864.819587628866</v>
      </c>
      <c r="I182" s="24" t="n">
        <f aca="false">H182*$I$20</f>
        <v>703.582037392976</v>
      </c>
      <c r="J182" s="24" t="n">
        <f aca="false">I182*IF($G$20="Sí",$C$9,0)</f>
        <v>126.644766730736</v>
      </c>
      <c r="K182" s="36" t="n">
        <f aca="false">I182+J182</f>
        <v>830.226804123711</v>
      </c>
    </row>
    <row r="183" customFormat="false" ht="15" hidden="false" customHeight="false" outlineLevel="0" collapsed="false">
      <c r="B183" s="10" t="s">
        <v>118</v>
      </c>
      <c r="C183" s="40" t="n">
        <f aca="false">$G$103*$F$38</f>
        <v>543.711340206186</v>
      </c>
      <c r="D183" s="40" t="n">
        <f aca="false">$G$122*$F$49</f>
        <v>301.546391752577</v>
      </c>
      <c r="E183" s="40" t="n">
        <f aca="false">C183+D183</f>
        <v>845.257731958763</v>
      </c>
      <c r="F183" s="40" t="n">
        <f aca="false">E184*$C$174</f>
        <v>154.742268041237</v>
      </c>
      <c r="G183" s="40" t="n">
        <f aca="false">F182</f>
        <v>211.314432989691</v>
      </c>
      <c r="H183" s="42" t="n">
        <f aca="false">E183+F183-G183</f>
        <v>788.685567010309</v>
      </c>
      <c r="I183" s="24" t="n">
        <f aca="false">H183*$I$20</f>
        <v>641.642495194828</v>
      </c>
      <c r="J183" s="24" t="n">
        <f aca="false">I183*IF($G$20="Sí",$C$9,0)</f>
        <v>115.495649135069</v>
      </c>
      <c r="K183" s="36" t="n">
        <f aca="false">I183+J183</f>
        <v>757.138144329897</v>
      </c>
    </row>
    <row r="184" customFormat="false" ht="15" hidden="false" customHeight="false" outlineLevel="0" collapsed="false">
      <c r="B184" s="10" t="s">
        <v>119</v>
      </c>
      <c r="C184" s="40" t="n">
        <f aca="false">$G$104*$F$38</f>
        <v>404.536082474227</v>
      </c>
      <c r="D184" s="40" t="n">
        <f aca="false">$G$123*$F$49</f>
        <v>214.432989690722</v>
      </c>
      <c r="E184" s="40" t="n">
        <f aca="false">C184+D184</f>
        <v>618.969072164949</v>
      </c>
      <c r="F184" s="40" t="n">
        <f aca="false">E185*$C$174</f>
        <v>136.649484536082</v>
      </c>
      <c r="G184" s="40" t="n">
        <f aca="false">F183</f>
        <v>154.742268041237</v>
      </c>
      <c r="H184" s="42" t="n">
        <f aca="false">E184+F184-G184</f>
        <v>600.876288659794</v>
      </c>
      <c r="I184" s="24" t="n">
        <f aca="false">H184*$I$20</f>
        <v>488.848506028307</v>
      </c>
      <c r="J184" s="24" t="n">
        <f aca="false">I184*IF($G$20="Sí",$C$9,0)</f>
        <v>87.9927310850952</v>
      </c>
      <c r="K184" s="36" t="n">
        <f aca="false">I184+J184</f>
        <v>576.841237113402</v>
      </c>
    </row>
    <row r="185" customFormat="false" ht="15" hidden="false" customHeight="false" outlineLevel="0" collapsed="false">
      <c r="B185" s="10" t="s">
        <v>120</v>
      </c>
      <c r="C185" s="40" t="n">
        <f aca="false">$G$105*$F$38</f>
        <v>356.288659793814</v>
      </c>
      <c r="D185" s="40" t="n">
        <f aca="false">$G$124*$F$49</f>
        <v>190.309278350515</v>
      </c>
      <c r="E185" s="40" t="n">
        <f aca="false">C185+D185</f>
        <v>546.59793814433</v>
      </c>
      <c r="F185" s="40" t="n">
        <f aca="false">E186*$C$174</f>
        <v>149.432989690722</v>
      </c>
      <c r="G185" s="40" t="n">
        <f aca="false">F184</f>
        <v>136.649484536082</v>
      </c>
      <c r="H185" s="42" t="n">
        <f aca="false">E185+F185-G185</f>
        <v>559.381443298969</v>
      </c>
      <c r="I185" s="24" t="n">
        <f aca="false">H185*$I$20</f>
        <v>455.089987768653</v>
      </c>
      <c r="J185" s="24" t="n">
        <f aca="false">I185*IF($G$20="Sí",$C$9,0)</f>
        <v>81.9161977983575</v>
      </c>
      <c r="K185" s="36" t="n">
        <f aca="false">I185+J185</f>
        <v>537.00618556701</v>
      </c>
    </row>
    <row r="186" customFormat="false" ht="15" hidden="false" customHeight="false" outlineLevel="0" collapsed="false">
      <c r="B186" s="10" t="s">
        <v>121</v>
      </c>
      <c r="C186" s="40" t="n">
        <f aca="false">$G$106*$F$38</f>
        <v>385.979381443299</v>
      </c>
      <c r="D186" s="40" t="n">
        <f aca="false">$G$125*$F$49</f>
        <v>211.752577319588</v>
      </c>
      <c r="E186" s="40" t="n">
        <f aca="false">C186+D186</f>
        <v>597.731958762887</v>
      </c>
      <c r="F186" s="40" t="n">
        <f aca="false">E187*$C$174</f>
        <v>191.237113402062</v>
      </c>
      <c r="G186" s="40" t="n">
        <f aca="false">F185</f>
        <v>149.432989690722</v>
      </c>
      <c r="H186" s="42" t="n">
        <f aca="false">E186+F186-G186</f>
        <v>639.536082474227</v>
      </c>
      <c r="I186" s="24" t="n">
        <f aca="false">H186*$I$20</f>
        <v>520.300541673947</v>
      </c>
      <c r="J186" s="24" t="n">
        <f aca="false">I186*IF($G$20="Sí",$C$9,0)</f>
        <v>93.6540975013105</v>
      </c>
      <c r="K186" s="36" t="n">
        <f aca="false">I186+J186</f>
        <v>613.954639175258</v>
      </c>
    </row>
    <row r="187" customFormat="false" ht="15" hidden="false" customHeight="false" outlineLevel="0" collapsed="false">
      <c r="B187" s="10" t="s">
        <v>122</v>
      </c>
      <c r="C187" s="40" t="n">
        <f aca="false">$G$107*$F$38</f>
        <v>486.185567010309</v>
      </c>
      <c r="D187" s="40" t="n">
        <f aca="false">$G$126*$F$49</f>
        <v>278.762886597938</v>
      </c>
      <c r="E187" s="40" t="n">
        <f aca="false">C187+D187</f>
        <v>764.948453608248</v>
      </c>
      <c r="F187" s="40" t="n">
        <f aca="false">E188*$C$174</f>
        <v>227.5</v>
      </c>
      <c r="G187" s="40" t="n">
        <f aca="false">F186</f>
        <v>191.237113402062</v>
      </c>
      <c r="H187" s="42" t="n">
        <f aca="false">E187+F187-G187</f>
        <v>801.211340206186</v>
      </c>
      <c r="I187" s="24" t="n">
        <f aca="false">H187*$I$20</f>
        <v>651.832954744016</v>
      </c>
      <c r="J187" s="24" t="n">
        <f aca="false">I187*IF($G$20="Sí",$C$9,0)</f>
        <v>117.329931853923</v>
      </c>
      <c r="K187" s="36" t="n">
        <f aca="false">I187+J187</f>
        <v>769.162886597938</v>
      </c>
    </row>
    <row r="188" customFormat="false" ht="15" hidden="false" customHeight="false" outlineLevel="0" collapsed="false">
      <c r="B188" s="10" t="s">
        <v>123</v>
      </c>
      <c r="C188" s="40" t="n">
        <f aca="false">$G$108*$F$38</f>
        <v>578.969072164948</v>
      </c>
      <c r="D188" s="40" t="n">
        <f aca="false">$G$127*$F$49</f>
        <v>331.030927835052</v>
      </c>
      <c r="E188" s="40" t="n">
        <f aca="false">C188+D188</f>
        <v>910</v>
      </c>
      <c r="F188" s="40" t="n">
        <f aca="false">E190*$C$174</f>
        <v>111.159793814433</v>
      </c>
      <c r="G188" s="40" t="n">
        <f aca="false">F187</f>
        <v>227.5</v>
      </c>
      <c r="H188" s="42" t="n">
        <f aca="false">E188+F188-G188</f>
        <v>793.659793814433</v>
      </c>
      <c r="I188" s="24" t="n">
        <f aca="false">H188*$I$20</f>
        <v>645.689323781234</v>
      </c>
      <c r="J188" s="24" t="n">
        <f aca="false">I188*IF($G$20="Sí",$C$9,0)</f>
        <v>116.224078280622</v>
      </c>
      <c r="K188" s="36" t="n">
        <f aca="false">I188+J188</f>
        <v>761.913402061856</v>
      </c>
    </row>
    <row r="189" customFormat="false" ht="15" hidden="false" customHeight="false" outlineLevel="0" collapsed="false">
      <c r="B189" s="38" t="s">
        <v>124</v>
      </c>
      <c r="C189" s="31"/>
      <c r="D189" s="31"/>
      <c r="E189" s="43" t="n">
        <f aca="false">SUM(E177:E188)</f>
        <v>7783.24742268041</v>
      </c>
      <c r="F189" s="31"/>
      <c r="G189" s="31"/>
      <c r="H189" s="43" t="n">
        <f aca="false">SUM(H177:H188)</f>
        <v>7834.40721649485</v>
      </c>
      <c r="I189" s="44" t="n">
        <f aca="false">SUM(I177:I188)</f>
        <v>6373.75502358903</v>
      </c>
      <c r="J189" s="44" t="n">
        <f aca="false">SUM(J177:J188)</f>
        <v>1147.27590424603</v>
      </c>
      <c r="K189" s="44" t="n">
        <f aca="false">SUM(K177:K188)</f>
        <v>7521.03092783505</v>
      </c>
    </row>
    <row r="190" customFormat="false" ht="15" hidden="false" customHeight="false" outlineLevel="0" collapsed="false">
      <c r="B190" s="10" t="s">
        <v>147</v>
      </c>
      <c r="C190" s="40" t="n">
        <f aca="false">$G$110*$F$38</f>
        <v>293.19587628866</v>
      </c>
      <c r="D190" s="40" t="n">
        <f aca="false">$G$129*$F$49</f>
        <v>151.443298969072</v>
      </c>
      <c r="E190" s="40" t="n">
        <f aca="false">C190+D190</f>
        <v>444.639175257732</v>
      </c>
      <c r="F190" s="19" t="s">
        <v>126</v>
      </c>
      <c r="G190" s="19" t="s">
        <v>126</v>
      </c>
      <c r="H190" s="19" t="s">
        <v>126</v>
      </c>
      <c r="I190" s="19" t="s">
        <v>126</v>
      </c>
      <c r="J190" s="19" t="s">
        <v>126</v>
      </c>
      <c r="K190" s="19" t="s">
        <v>126</v>
      </c>
    </row>
    <row r="192" customFormat="false" ht="15" hidden="false" customHeight="false" outlineLevel="0" collapsed="false">
      <c r="B192" s="18" t="s">
        <v>211</v>
      </c>
    </row>
    <row r="193" customFormat="false" ht="25.5" hidden="false" customHeight="true" outlineLevel="0" collapsed="false">
      <c r="B193" s="20" t="s">
        <v>137</v>
      </c>
      <c r="C193" s="29" t="n">
        <v>0.25</v>
      </c>
    </row>
    <row r="194" customFormat="false" ht="15" hidden="false" customHeight="false" outlineLevel="0" collapsed="false">
      <c r="B194" s="10" t="s">
        <v>212</v>
      </c>
      <c r="C194" s="21" t="n">
        <v>500</v>
      </c>
    </row>
    <row r="195" customFormat="false" ht="39.75" hidden="false" customHeight="true" outlineLevel="0" collapsed="false">
      <c r="B195" s="5" t="s">
        <v>108</v>
      </c>
      <c r="C195" s="5" t="s">
        <v>139</v>
      </c>
      <c r="D195" s="5" t="s">
        <v>140</v>
      </c>
      <c r="E195" s="5" t="s">
        <v>141</v>
      </c>
      <c r="F195" s="5" t="s">
        <v>142</v>
      </c>
      <c r="G195" s="5" t="s">
        <v>143</v>
      </c>
      <c r="H195" s="5" t="s">
        <v>144</v>
      </c>
      <c r="I195" s="5" t="s">
        <v>49</v>
      </c>
      <c r="J195" s="5" t="s">
        <v>145</v>
      </c>
      <c r="K195" s="5" t="s">
        <v>146</v>
      </c>
    </row>
    <row r="196" customFormat="false" ht="15" hidden="false" customHeight="false" outlineLevel="0" collapsed="false">
      <c r="B196" s="10" t="s">
        <v>112</v>
      </c>
      <c r="C196" s="40" t="n">
        <f aca="false">$G$97*$F$39</f>
        <v>1510.20408163265</v>
      </c>
      <c r="D196" s="40" t="n">
        <f aca="false">$G$116*$F$50</f>
        <v>877.551020408163</v>
      </c>
      <c r="E196" s="40" t="n">
        <f aca="false">C196+D196</f>
        <v>2387.75510204082</v>
      </c>
      <c r="F196" s="40" t="n">
        <f aca="false">E197*$C$193</f>
        <v>581.632653061225</v>
      </c>
      <c r="G196" s="40" t="n">
        <f aca="false">$C$194</f>
        <v>500</v>
      </c>
      <c r="H196" s="42" t="n">
        <f aca="false">E196+F196-G196</f>
        <v>2469.38775510204</v>
      </c>
      <c r="I196" s="24" t="n">
        <f aca="false">H196*$I$21</f>
        <v>203.457089050309</v>
      </c>
      <c r="J196" s="24" t="n">
        <f aca="false">I196*IF($G$21="Sí",$C$9,0)</f>
        <v>36.6222760290557</v>
      </c>
      <c r="K196" s="36" t="n">
        <f aca="false">I196+J196</f>
        <v>240.079365079365</v>
      </c>
    </row>
    <row r="197" customFormat="false" ht="15" hidden="false" customHeight="false" outlineLevel="0" collapsed="false">
      <c r="B197" s="10" t="s">
        <v>113</v>
      </c>
      <c r="C197" s="40" t="n">
        <f aca="false">$G$98*$F$39</f>
        <v>1469.38775510204</v>
      </c>
      <c r="D197" s="40" t="n">
        <f aca="false">$G$117*$F$50</f>
        <v>857.142857142857</v>
      </c>
      <c r="E197" s="40" t="n">
        <f aca="false">C197+D197</f>
        <v>2326.5306122449</v>
      </c>
      <c r="F197" s="40" t="n">
        <f aca="false">E198*$C$193</f>
        <v>688.775510204082</v>
      </c>
      <c r="G197" s="40" t="n">
        <f aca="false">F196</f>
        <v>581.632653061225</v>
      </c>
      <c r="H197" s="42" t="n">
        <f aca="false">E197+F197-G197</f>
        <v>2433.67346938775</v>
      </c>
      <c r="I197" s="24" t="n">
        <f aca="false">H197*$I$21</f>
        <v>200.514527845036</v>
      </c>
      <c r="J197" s="24" t="n">
        <f aca="false">I197*IF($G$21="Sí",$C$9,0)</f>
        <v>36.0926150121065</v>
      </c>
      <c r="K197" s="36" t="n">
        <f aca="false">I197+J197</f>
        <v>236.607142857143</v>
      </c>
    </row>
    <row r="198" customFormat="false" ht="15" hidden="false" customHeight="false" outlineLevel="0" collapsed="false">
      <c r="B198" s="10" t="s">
        <v>114</v>
      </c>
      <c r="C198" s="40" t="n">
        <f aca="false">$G$99*$F$39</f>
        <v>1693.87755102041</v>
      </c>
      <c r="D198" s="40" t="n">
        <f aca="false">$G$118*$F$50</f>
        <v>1061.22448979592</v>
      </c>
      <c r="E198" s="40" t="n">
        <f aca="false">C198+D198</f>
        <v>2755.10204081633</v>
      </c>
      <c r="F198" s="40" t="n">
        <f aca="false">E199*$C$193</f>
        <v>832.65306122449</v>
      </c>
      <c r="G198" s="40" t="n">
        <f aca="false">F197</f>
        <v>688.775510204082</v>
      </c>
      <c r="H198" s="42" t="n">
        <f aca="false">E198+F198-G198</f>
        <v>2898.97959183673</v>
      </c>
      <c r="I198" s="24" t="n">
        <f aca="false">H198*$I$21</f>
        <v>238.85189669088</v>
      </c>
      <c r="J198" s="24" t="n">
        <f aca="false">I198*IF($G$21="Sí",$C$9,0)</f>
        <v>42.9933414043584</v>
      </c>
      <c r="K198" s="36" t="n">
        <f aca="false">I198+J198</f>
        <v>281.845238095238</v>
      </c>
    </row>
    <row r="199" customFormat="false" ht="15" hidden="false" customHeight="false" outlineLevel="0" collapsed="false">
      <c r="B199" s="10" t="s">
        <v>115</v>
      </c>
      <c r="C199" s="40" t="n">
        <f aca="false">$G$100*$F$39</f>
        <v>2081.63265306122</v>
      </c>
      <c r="D199" s="40" t="n">
        <f aca="false">$G$119*$F$50</f>
        <v>1248.97959183673</v>
      </c>
      <c r="E199" s="40" t="n">
        <f aca="false">C199+D199</f>
        <v>3330.61224489796</v>
      </c>
      <c r="F199" s="40" t="n">
        <f aca="false">E200*$C$193</f>
        <v>1046.9387755102</v>
      </c>
      <c r="G199" s="40" t="n">
        <f aca="false">F198</f>
        <v>832.65306122449</v>
      </c>
      <c r="H199" s="42" t="n">
        <f aca="false">E199+F199-G199</f>
        <v>3544.89795918367</v>
      </c>
      <c r="I199" s="24" t="n">
        <f aca="false">H199*$I$21</f>
        <v>292.070217917676</v>
      </c>
      <c r="J199" s="24" t="n">
        <f aca="false">I199*IF($G$21="Sí",$C$9,0)</f>
        <v>52.5726392251816</v>
      </c>
      <c r="K199" s="36" t="n">
        <f aca="false">I199+J199</f>
        <v>344.642857142857</v>
      </c>
    </row>
    <row r="200" customFormat="false" ht="15" hidden="false" customHeight="false" outlineLevel="0" collapsed="false">
      <c r="B200" s="10" t="s">
        <v>116</v>
      </c>
      <c r="C200" s="40" t="n">
        <f aca="false">$G$101*$F$39</f>
        <v>2734.69387755102</v>
      </c>
      <c r="D200" s="40" t="n">
        <f aca="false">$G$120*$F$50</f>
        <v>1453.0612244898</v>
      </c>
      <c r="E200" s="40" t="n">
        <f aca="false">C200+D200</f>
        <v>4187.75510204082</v>
      </c>
      <c r="F200" s="40" t="n">
        <f aca="false">E201*$C$193</f>
        <v>1243.87755102041</v>
      </c>
      <c r="G200" s="40" t="n">
        <f aca="false">F199</f>
        <v>1046.9387755102</v>
      </c>
      <c r="H200" s="42" t="n">
        <f aca="false">E200+F200-G200</f>
        <v>4384.69387755102</v>
      </c>
      <c r="I200" s="24" t="n">
        <f aca="false">H200*$I$21</f>
        <v>361.262442830239</v>
      </c>
      <c r="J200" s="24" t="n">
        <f aca="false">I200*IF($G$21="Sí",$C$9,0)</f>
        <v>65.0272397094431</v>
      </c>
      <c r="K200" s="36" t="n">
        <f aca="false">I200+J200</f>
        <v>426.289682539682</v>
      </c>
    </row>
    <row r="201" customFormat="false" ht="15" hidden="false" customHeight="false" outlineLevel="0" collapsed="false">
      <c r="B201" s="10" t="s">
        <v>117</v>
      </c>
      <c r="C201" s="40" t="n">
        <f aca="false">$G$102*$F$39</f>
        <v>3081.63265306122</v>
      </c>
      <c r="D201" s="40" t="n">
        <f aca="false">$G$121*$F$50</f>
        <v>1893.87755102041</v>
      </c>
      <c r="E201" s="40" t="n">
        <f aca="false">C201+D201</f>
        <v>4975.51020408163</v>
      </c>
      <c r="F201" s="40" t="n">
        <f aca="false">E202*$C$193</f>
        <v>1206.63265306122</v>
      </c>
      <c r="G201" s="40" t="n">
        <f aca="false">F200</f>
        <v>1243.87755102041</v>
      </c>
      <c r="H201" s="42" t="n">
        <f aca="false">E201+F201-G201</f>
        <v>4938.26530612245</v>
      </c>
      <c r="I201" s="24" t="n">
        <f aca="false">H201*$I$21</f>
        <v>406.872141511972</v>
      </c>
      <c r="J201" s="24" t="n">
        <f aca="false">I201*IF($G$21="Sí",$C$9,0)</f>
        <v>73.236985472155</v>
      </c>
      <c r="K201" s="36" t="n">
        <f aca="false">I201+J201</f>
        <v>480.109126984127</v>
      </c>
    </row>
    <row r="202" customFormat="false" ht="15" hidden="false" customHeight="false" outlineLevel="0" collapsed="false">
      <c r="B202" s="10" t="s">
        <v>118</v>
      </c>
      <c r="C202" s="40" t="n">
        <f aca="false">$G$103*$F$39</f>
        <v>2989.79591836735</v>
      </c>
      <c r="D202" s="40" t="n">
        <f aca="false">$G$122*$F$50</f>
        <v>1836.73469387755</v>
      </c>
      <c r="E202" s="40" t="n">
        <f aca="false">C202+D202</f>
        <v>4826.5306122449</v>
      </c>
      <c r="F202" s="40" t="n">
        <f aca="false">E203*$C$193</f>
        <v>882.65306122449</v>
      </c>
      <c r="G202" s="40" t="n">
        <f aca="false">F201</f>
        <v>1206.63265306122</v>
      </c>
      <c r="H202" s="42" t="n">
        <f aca="false">E202+F202-G202</f>
        <v>4502.55102040816</v>
      </c>
      <c r="I202" s="24" t="n">
        <f aca="false">H202*$I$21</f>
        <v>370.972894807641</v>
      </c>
      <c r="J202" s="24" t="n">
        <f aca="false">I202*IF($G$21="Sí",$C$9,0)</f>
        <v>66.7751210653753</v>
      </c>
      <c r="K202" s="36" t="n">
        <f aca="false">I202+J202</f>
        <v>437.748015873016</v>
      </c>
    </row>
    <row r="203" customFormat="false" ht="15" hidden="false" customHeight="false" outlineLevel="0" collapsed="false">
      <c r="B203" s="10" t="s">
        <v>119</v>
      </c>
      <c r="C203" s="40" t="n">
        <f aca="false">$G$104*$F$39</f>
        <v>2224.48979591837</v>
      </c>
      <c r="D203" s="40" t="n">
        <f aca="false">$G$123*$F$50</f>
        <v>1306.12244897959</v>
      </c>
      <c r="E203" s="40" t="n">
        <f aca="false">C203+D203</f>
        <v>3530.61224489796</v>
      </c>
      <c r="F203" s="40" t="n">
        <f aca="false">E204*$C$193</f>
        <v>779.591836734694</v>
      </c>
      <c r="G203" s="40" t="n">
        <f aca="false">F202</f>
        <v>882.65306122449</v>
      </c>
      <c r="H203" s="42" t="n">
        <f aca="false">E203+F203-G203</f>
        <v>3427.55102040816</v>
      </c>
      <c r="I203" s="24" t="n">
        <f aca="false">H203*$I$21</f>
        <v>282.401802528921</v>
      </c>
      <c r="J203" s="24" t="n">
        <f aca="false">I203*IF($G$21="Sí",$C$9,0)</f>
        <v>50.8323244552058</v>
      </c>
      <c r="K203" s="36" t="n">
        <f aca="false">I203+J203</f>
        <v>333.234126984127</v>
      </c>
    </row>
    <row r="204" customFormat="false" ht="15" hidden="false" customHeight="false" outlineLevel="0" collapsed="false">
      <c r="B204" s="10" t="s">
        <v>120</v>
      </c>
      <c r="C204" s="40" t="n">
        <f aca="false">$G$105*$F$39</f>
        <v>1959.18367346939</v>
      </c>
      <c r="D204" s="40" t="n">
        <f aca="false">$G$124*$F$50</f>
        <v>1159.18367346939</v>
      </c>
      <c r="E204" s="40" t="n">
        <f aca="false">C204+D204</f>
        <v>3118.36734693878</v>
      </c>
      <c r="F204" s="40" t="n">
        <f aca="false">E205*$C$193</f>
        <v>853.061224489796</v>
      </c>
      <c r="G204" s="40" t="n">
        <f aca="false">F203</f>
        <v>779.591836734694</v>
      </c>
      <c r="H204" s="42" t="n">
        <f aca="false">E204+F204-G204</f>
        <v>3191.83673469388</v>
      </c>
      <c r="I204" s="24" t="n">
        <f aca="false">H204*$I$21</f>
        <v>262.980898574119</v>
      </c>
      <c r="J204" s="24" t="n">
        <f aca="false">I204*IF($G$21="Sí",$C$9,0)</f>
        <v>47.3365617433414</v>
      </c>
      <c r="K204" s="36" t="n">
        <f aca="false">I204+J204</f>
        <v>310.31746031746</v>
      </c>
    </row>
    <row r="205" customFormat="false" ht="15" hidden="false" customHeight="false" outlineLevel="0" collapsed="false">
      <c r="B205" s="10" t="s">
        <v>121</v>
      </c>
      <c r="C205" s="40" t="n">
        <f aca="false">$G$106*$F$39</f>
        <v>2122.44897959184</v>
      </c>
      <c r="D205" s="40" t="n">
        <f aca="false">$G$125*$F$50</f>
        <v>1289.79591836735</v>
      </c>
      <c r="E205" s="40" t="n">
        <f aca="false">C205+D205</f>
        <v>3412.24489795918</v>
      </c>
      <c r="F205" s="40" t="n">
        <f aca="false">E206*$C$193</f>
        <v>1092.85714285714</v>
      </c>
      <c r="G205" s="40" t="n">
        <f aca="false">F204</f>
        <v>853.061224489796</v>
      </c>
      <c r="H205" s="42" t="n">
        <f aca="false">E205+F205-G205</f>
        <v>3652.04081632653</v>
      </c>
      <c r="I205" s="24" t="n">
        <f aca="false">H205*$I$21</f>
        <v>300.897901533495</v>
      </c>
      <c r="J205" s="24" t="n">
        <f aca="false">I205*IF($G$21="Sí",$C$9,0)</f>
        <v>54.1616222760291</v>
      </c>
      <c r="K205" s="36" t="n">
        <f aca="false">I205+J205</f>
        <v>355.059523809524</v>
      </c>
    </row>
    <row r="206" customFormat="false" ht="15" hidden="false" customHeight="false" outlineLevel="0" collapsed="false">
      <c r="B206" s="10" t="s">
        <v>122</v>
      </c>
      <c r="C206" s="40" t="n">
        <f aca="false">$G$107*$F$39</f>
        <v>2673.4693877551</v>
      </c>
      <c r="D206" s="40" t="n">
        <f aca="false">$G$126*$F$50</f>
        <v>1697.95918367347</v>
      </c>
      <c r="E206" s="40" t="n">
        <f aca="false">C206+D206</f>
        <v>4371.42857142857</v>
      </c>
      <c r="F206" s="40" t="n">
        <f aca="false">E207*$C$193</f>
        <v>1300</v>
      </c>
      <c r="G206" s="40" t="n">
        <f aca="false">F205</f>
        <v>1092.85714285714</v>
      </c>
      <c r="H206" s="42" t="n">
        <f aca="false">E206+F206-G206</f>
        <v>4578.57142857143</v>
      </c>
      <c r="I206" s="24" t="n">
        <f aca="false">H206*$I$21</f>
        <v>377.236346516008</v>
      </c>
      <c r="J206" s="24" t="n">
        <f aca="false">I206*IF($G$21="Sí",$C$9,0)</f>
        <v>67.9025423728814</v>
      </c>
      <c r="K206" s="36" t="n">
        <f aca="false">I206+J206</f>
        <v>445.138888888889</v>
      </c>
    </row>
    <row r="207" customFormat="false" ht="15" hidden="false" customHeight="false" outlineLevel="0" collapsed="false">
      <c r="B207" s="10" t="s">
        <v>123</v>
      </c>
      <c r="C207" s="40" t="n">
        <f aca="false">$G$108*$F$39</f>
        <v>3183.67346938776</v>
      </c>
      <c r="D207" s="40" t="n">
        <f aca="false">$G$127*$F$50</f>
        <v>2016.32653061225</v>
      </c>
      <c r="E207" s="40" t="n">
        <f aca="false">C207+D207</f>
        <v>5200</v>
      </c>
      <c r="F207" s="40" t="n">
        <f aca="false">E209*$C$193</f>
        <v>633.673469387755</v>
      </c>
      <c r="G207" s="40" t="n">
        <f aca="false">F206</f>
        <v>1300</v>
      </c>
      <c r="H207" s="42" t="n">
        <f aca="false">E207+F207-G207</f>
        <v>4533.67346938776</v>
      </c>
      <c r="I207" s="24" t="n">
        <f aca="false">H207*$I$21</f>
        <v>373.537126715093</v>
      </c>
      <c r="J207" s="24" t="n">
        <f aca="false">I207*IF($G$21="Sí",$C$9,0)</f>
        <v>67.2366828087167</v>
      </c>
      <c r="K207" s="36" t="n">
        <f aca="false">I207+J207</f>
        <v>440.77380952381</v>
      </c>
    </row>
    <row r="208" customFormat="false" ht="15" hidden="false" customHeight="false" outlineLevel="0" collapsed="false">
      <c r="B208" s="38" t="s">
        <v>124</v>
      </c>
      <c r="C208" s="31"/>
      <c r="D208" s="31"/>
      <c r="E208" s="43" t="n">
        <f aca="false">SUM(E196:E207)</f>
        <v>44422.4489795918</v>
      </c>
      <c r="F208" s="31"/>
      <c r="G208" s="31"/>
      <c r="H208" s="43" t="n">
        <f aca="false">SUM(H196:H207)</f>
        <v>44556.1224489796</v>
      </c>
      <c r="I208" s="44" t="n">
        <f aca="false">SUM(I196:I207)</f>
        <v>3671.05528652139</v>
      </c>
      <c r="J208" s="44" t="n">
        <f aca="false">SUM(J196:J207)</f>
        <v>660.78995157385</v>
      </c>
      <c r="K208" s="44" t="n">
        <f aca="false">SUM(K196:K207)</f>
        <v>4331.84523809524</v>
      </c>
    </row>
    <row r="209" customFormat="false" ht="15" hidden="false" customHeight="false" outlineLevel="0" collapsed="false">
      <c r="B209" s="10" t="s">
        <v>147</v>
      </c>
      <c r="C209" s="40" t="n">
        <f aca="false">$G$110*$F$39</f>
        <v>1612.24489795918</v>
      </c>
      <c r="D209" s="40" t="n">
        <f aca="false">$G$129*$F$50</f>
        <v>922.448979591837</v>
      </c>
      <c r="E209" s="40" t="n">
        <f aca="false">C209+D209</f>
        <v>2534.69387755102</v>
      </c>
      <c r="F209" s="19" t="s">
        <v>126</v>
      </c>
      <c r="G209" s="19" t="s">
        <v>126</v>
      </c>
      <c r="H209" s="19" t="s">
        <v>126</v>
      </c>
      <c r="I209" s="19" t="s">
        <v>126</v>
      </c>
      <c r="J209" s="19" t="s">
        <v>126</v>
      </c>
      <c r="K209" s="19" t="s">
        <v>126</v>
      </c>
    </row>
    <row r="211" customFormat="false" ht="15" hidden="false" customHeight="false" outlineLevel="0" collapsed="false">
      <c r="B211" s="18" t="s">
        <v>213</v>
      </c>
    </row>
    <row r="212" customFormat="false" ht="25.5" hidden="false" customHeight="true" outlineLevel="0" collapsed="false">
      <c r="B212" s="20" t="s">
        <v>137</v>
      </c>
      <c r="C212" s="29" t="n">
        <v>0.25</v>
      </c>
    </row>
    <row r="213" customFormat="false" ht="15" hidden="false" customHeight="false" outlineLevel="0" collapsed="false">
      <c r="B213" s="10" t="s">
        <v>212</v>
      </c>
      <c r="C213" s="21" t="n">
        <v>200</v>
      </c>
    </row>
    <row r="214" customFormat="false" ht="39.75" hidden="false" customHeight="true" outlineLevel="0" collapsed="false">
      <c r="B214" s="5" t="s">
        <v>108</v>
      </c>
      <c r="C214" s="5" t="s">
        <v>139</v>
      </c>
      <c r="D214" s="5" t="s">
        <v>140</v>
      </c>
      <c r="E214" s="5" t="s">
        <v>141</v>
      </c>
      <c r="F214" s="5" t="s">
        <v>142</v>
      </c>
      <c r="G214" s="5" t="s">
        <v>143</v>
      </c>
      <c r="H214" s="5" t="s">
        <v>144</v>
      </c>
      <c r="I214" s="5" t="s">
        <v>49</v>
      </c>
      <c r="J214" s="5" t="s">
        <v>145</v>
      </c>
      <c r="K214" s="5" t="s">
        <v>146</v>
      </c>
    </row>
    <row r="215" customFormat="false" ht="15" hidden="false" customHeight="false" outlineLevel="0" collapsed="false">
      <c r="B215" s="10" t="s">
        <v>112</v>
      </c>
      <c r="C215" s="40" t="n">
        <f aca="false">$G$97*$F$40</f>
        <v>302.040816326531</v>
      </c>
      <c r="D215" s="40" t="n">
        <f aca="false">$G$116*$F$51</f>
        <v>219.387755102041</v>
      </c>
      <c r="E215" s="40" t="n">
        <f aca="false">C215+D215</f>
        <v>521.428571428571</v>
      </c>
      <c r="F215" s="40" t="n">
        <f aca="false">E216*$C$212</f>
        <v>127.040816326531</v>
      </c>
      <c r="G215" s="40" t="n">
        <f aca="false">$C$213</f>
        <v>200</v>
      </c>
      <c r="H215" s="42" t="n">
        <f aca="false">E215+F215-G215</f>
        <v>448.469387755102</v>
      </c>
      <c r="I215" s="24" t="n">
        <f aca="false">H215*$I$22</f>
        <v>72.2111726046351</v>
      </c>
      <c r="J215" s="24" t="n">
        <f aca="false">I215*IF($G$22="Sí",$C$9,0)</f>
        <v>12.9980110688343</v>
      </c>
      <c r="K215" s="36" t="n">
        <f aca="false">I215+J215</f>
        <v>85.2091836734694</v>
      </c>
    </row>
    <row r="216" customFormat="false" ht="15" hidden="false" customHeight="false" outlineLevel="0" collapsed="false">
      <c r="B216" s="10" t="s">
        <v>113</v>
      </c>
      <c r="C216" s="40" t="n">
        <f aca="false">$G$98*$F$40</f>
        <v>293.877551020408</v>
      </c>
      <c r="D216" s="40" t="n">
        <f aca="false">$G$117*$F$51</f>
        <v>214.285714285714</v>
      </c>
      <c r="E216" s="40" t="n">
        <f aca="false">C216+D216</f>
        <v>508.163265306122</v>
      </c>
      <c r="F216" s="40" t="n">
        <f aca="false">E217*$C$212</f>
        <v>151.020408163265</v>
      </c>
      <c r="G216" s="40" t="n">
        <f aca="false">F215</f>
        <v>127.040816326531</v>
      </c>
      <c r="H216" s="42" t="n">
        <f aca="false">E216+F216-G216</f>
        <v>532.142857142857</v>
      </c>
      <c r="I216" s="24" t="n">
        <f aca="false">H216*$I$22</f>
        <v>85.6840193704601</v>
      </c>
      <c r="J216" s="24" t="n">
        <f aca="false">I216*IF($G$22="Sí",$C$9,0)</f>
        <v>15.4231234866828</v>
      </c>
      <c r="K216" s="36" t="n">
        <f aca="false">I216+J216</f>
        <v>101.107142857143</v>
      </c>
    </row>
    <row r="217" customFormat="false" ht="15" hidden="false" customHeight="false" outlineLevel="0" collapsed="false">
      <c r="B217" s="10" t="s">
        <v>114</v>
      </c>
      <c r="C217" s="40" t="n">
        <f aca="false">$G$99*$F$40</f>
        <v>338.775510204082</v>
      </c>
      <c r="D217" s="40" t="n">
        <f aca="false">$G$118*$F$51</f>
        <v>265.30612244898</v>
      </c>
      <c r="E217" s="40" t="n">
        <f aca="false">C217+D217</f>
        <v>604.081632653061</v>
      </c>
      <c r="F217" s="40" t="n">
        <f aca="false">E218*$C$212</f>
        <v>182.142857142857</v>
      </c>
      <c r="G217" s="40" t="n">
        <f aca="false">F216</f>
        <v>151.020408163265</v>
      </c>
      <c r="H217" s="42" t="n">
        <f aca="false">E217+F217-G217</f>
        <v>635.204081632653</v>
      </c>
      <c r="I217" s="24" t="n">
        <f aca="false">H217*$I$22</f>
        <v>102.278623313732</v>
      </c>
      <c r="J217" s="24" t="n">
        <f aca="false">I217*IF($G$22="Sí",$C$9,0)</f>
        <v>18.4101521964718</v>
      </c>
      <c r="K217" s="36" t="n">
        <f aca="false">I217+J217</f>
        <v>120.688775510204</v>
      </c>
    </row>
    <row r="218" customFormat="false" ht="15" hidden="false" customHeight="false" outlineLevel="0" collapsed="false">
      <c r="B218" s="10" t="s">
        <v>115</v>
      </c>
      <c r="C218" s="40" t="n">
        <f aca="false">$G$100*$F$40</f>
        <v>416.326530612245</v>
      </c>
      <c r="D218" s="40" t="n">
        <f aca="false">$G$119*$F$51</f>
        <v>312.244897959184</v>
      </c>
      <c r="E218" s="40" t="n">
        <f aca="false">C218+D218</f>
        <v>728.571428571429</v>
      </c>
      <c r="F218" s="40" t="n">
        <f aca="false">E219*$C$212</f>
        <v>227.551020408163</v>
      </c>
      <c r="G218" s="40" t="n">
        <f aca="false">F217</f>
        <v>182.142857142857</v>
      </c>
      <c r="H218" s="42" t="n">
        <f aca="false">E218+F218-G218</f>
        <v>773.979591836735</v>
      </c>
      <c r="I218" s="24" t="n">
        <f aca="false">H218*$I$22</f>
        <v>124.623832583881</v>
      </c>
      <c r="J218" s="24" t="n">
        <f aca="false">I218*IF($G$22="Sí",$C$9,0)</f>
        <v>22.4322898650986</v>
      </c>
      <c r="K218" s="36" t="n">
        <f aca="false">I218+J218</f>
        <v>147.05612244898</v>
      </c>
    </row>
    <row r="219" customFormat="false" ht="15" hidden="false" customHeight="false" outlineLevel="0" collapsed="false">
      <c r="B219" s="10" t="s">
        <v>116</v>
      </c>
      <c r="C219" s="40" t="n">
        <f aca="false">$G$101*$F$40</f>
        <v>546.938775510204</v>
      </c>
      <c r="D219" s="40" t="n">
        <f aca="false">$G$120*$F$51</f>
        <v>363.265306122449</v>
      </c>
      <c r="E219" s="40" t="n">
        <f aca="false">C219+D219</f>
        <v>910.204081632653</v>
      </c>
      <c r="F219" s="40" t="n">
        <f aca="false">E220*$C$212</f>
        <v>272.448979591837</v>
      </c>
      <c r="G219" s="40" t="n">
        <f aca="false">F218</f>
        <v>227.551020408163</v>
      </c>
      <c r="H219" s="42" t="n">
        <f aca="false">E219+F219-G219</f>
        <v>955.102040816326</v>
      </c>
      <c r="I219" s="24" t="n">
        <f aca="false">H219*$I$22</f>
        <v>153.787616741612</v>
      </c>
      <c r="J219" s="24" t="n">
        <f aca="false">I219*IF($G$22="Sí",$C$9,0)</f>
        <v>27.6817710134901</v>
      </c>
      <c r="K219" s="36" t="n">
        <f aca="false">I219+J219</f>
        <v>181.469387755102</v>
      </c>
    </row>
    <row r="220" customFormat="false" ht="15" hidden="false" customHeight="false" outlineLevel="0" collapsed="false">
      <c r="B220" s="10" t="s">
        <v>117</v>
      </c>
      <c r="C220" s="40" t="n">
        <f aca="false">$G$102*$F$40</f>
        <v>616.326530612245</v>
      </c>
      <c r="D220" s="40" t="n">
        <f aca="false">$G$121*$F$51</f>
        <v>473.469387755102</v>
      </c>
      <c r="E220" s="40" t="n">
        <f aca="false">C220+D220</f>
        <v>1089.79591836735</v>
      </c>
      <c r="F220" s="40" t="n">
        <f aca="false">E221*$C$212</f>
        <v>264.285714285714</v>
      </c>
      <c r="G220" s="40" t="n">
        <f aca="false">F219</f>
        <v>272.448979591837</v>
      </c>
      <c r="H220" s="42" t="n">
        <f aca="false">E220+F220-G220</f>
        <v>1081.63265306122</v>
      </c>
      <c r="I220" s="24" t="n">
        <f aca="false">H220*$I$22</f>
        <v>174.161189899689</v>
      </c>
      <c r="J220" s="24" t="n">
        <f aca="false">I220*IF($G$22="Sí",$C$9,0)</f>
        <v>31.349014181944</v>
      </c>
      <c r="K220" s="36" t="n">
        <f aca="false">I220+J220</f>
        <v>205.510204081633</v>
      </c>
    </row>
    <row r="221" customFormat="false" ht="15" hidden="false" customHeight="false" outlineLevel="0" collapsed="false">
      <c r="B221" s="10" t="s">
        <v>118</v>
      </c>
      <c r="C221" s="40" t="n">
        <f aca="false">$G$103*$F$40</f>
        <v>597.959183673469</v>
      </c>
      <c r="D221" s="40" t="n">
        <f aca="false">$G$122*$F$51</f>
        <v>459.183673469388</v>
      </c>
      <c r="E221" s="40" t="n">
        <f aca="false">C221+D221</f>
        <v>1057.14285714286</v>
      </c>
      <c r="F221" s="40" t="n">
        <f aca="false">E222*$C$212</f>
        <v>192.857142857143</v>
      </c>
      <c r="G221" s="40" t="n">
        <f aca="false">F220</f>
        <v>264.285714285714</v>
      </c>
      <c r="H221" s="42" t="n">
        <f aca="false">E221+F221-G221</f>
        <v>985.714285714286</v>
      </c>
      <c r="I221" s="24" t="n">
        <f aca="false">H221*$I$22</f>
        <v>158.716707021792</v>
      </c>
      <c r="J221" s="24" t="n">
        <f aca="false">I221*IF($G$22="Sí",$C$9,0)</f>
        <v>28.5690072639225</v>
      </c>
      <c r="K221" s="36" t="n">
        <f aca="false">I221+J221</f>
        <v>187.285714285714</v>
      </c>
    </row>
    <row r="222" customFormat="false" ht="15" hidden="false" customHeight="false" outlineLevel="0" collapsed="false">
      <c r="B222" s="10" t="s">
        <v>119</v>
      </c>
      <c r="C222" s="40" t="n">
        <f aca="false">$G$104*$F$40</f>
        <v>444.897959183674</v>
      </c>
      <c r="D222" s="40" t="n">
        <f aca="false">$G$123*$F$51</f>
        <v>326.530612244898</v>
      </c>
      <c r="E222" s="40" t="n">
        <f aca="false">C222+D222</f>
        <v>771.428571428571</v>
      </c>
      <c r="F222" s="40" t="n">
        <f aca="false">E223*$C$212</f>
        <v>170.408163265306</v>
      </c>
      <c r="G222" s="40" t="n">
        <f aca="false">F221</f>
        <v>192.857142857143</v>
      </c>
      <c r="H222" s="42" t="n">
        <f aca="false">E222+F222-G222</f>
        <v>748.979591836735</v>
      </c>
      <c r="I222" s="24" t="n">
        <f aca="false">H222*$I$22</f>
        <v>120.598408855067</v>
      </c>
      <c r="J222" s="24" t="n">
        <f aca="false">I222*IF($G$22="Sí",$C$9,0)</f>
        <v>21.7077135939121</v>
      </c>
      <c r="K222" s="36" t="n">
        <f aca="false">I222+J222</f>
        <v>142.30612244898</v>
      </c>
    </row>
    <row r="223" customFormat="false" ht="15" hidden="false" customHeight="false" outlineLevel="0" collapsed="false">
      <c r="B223" s="10" t="s">
        <v>120</v>
      </c>
      <c r="C223" s="40" t="n">
        <f aca="false">$G$105*$F$40</f>
        <v>391.836734693878</v>
      </c>
      <c r="D223" s="40" t="n">
        <f aca="false">$G$124*$F$51</f>
        <v>289.795918367347</v>
      </c>
      <c r="E223" s="40" t="n">
        <f aca="false">C223+D223</f>
        <v>681.632653061225</v>
      </c>
      <c r="F223" s="40" t="n">
        <f aca="false">E224*$C$212</f>
        <v>186.734693877551</v>
      </c>
      <c r="G223" s="40" t="n">
        <f aca="false">F222</f>
        <v>170.408163265306</v>
      </c>
      <c r="H223" s="42" t="n">
        <f aca="false">E223+F223-G223</f>
        <v>697.95918367347</v>
      </c>
      <c r="I223" s="24" t="n">
        <f aca="false">H223*$I$22</f>
        <v>112.383258388101</v>
      </c>
      <c r="J223" s="24" t="n">
        <f aca="false">I223*IF($G$22="Sí",$C$9,0)</f>
        <v>20.2289865098582</v>
      </c>
      <c r="K223" s="36" t="n">
        <f aca="false">I223+J223</f>
        <v>132.612244897959</v>
      </c>
    </row>
    <row r="224" customFormat="false" ht="15" hidden="false" customHeight="false" outlineLevel="0" collapsed="false">
      <c r="B224" s="10" t="s">
        <v>121</v>
      </c>
      <c r="C224" s="40" t="n">
        <f aca="false">$G$106*$F$40</f>
        <v>424.489795918367</v>
      </c>
      <c r="D224" s="40" t="n">
        <f aca="false">$G$125*$F$51</f>
        <v>322.448979591837</v>
      </c>
      <c r="E224" s="40" t="n">
        <f aca="false">C224+D224</f>
        <v>746.938775510204</v>
      </c>
      <c r="F224" s="40" t="n">
        <f aca="false">E225*$C$212</f>
        <v>239.795918367347</v>
      </c>
      <c r="G224" s="40" t="n">
        <f aca="false">F223</f>
        <v>186.734693877551</v>
      </c>
      <c r="H224" s="42" t="n">
        <f aca="false">E224+F224-G224</f>
        <v>800</v>
      </c>
      <c r="I224" s="24" t="n">
        <f aca="false">H224*$I$22</f>
        <v>128.813559322034</v>
      </c>
      <c r="J224" s="24" t="n">
        <f aca="false">I224*IF($G$22="Sí",$C$9,0)</f>
        <v>23.1864406779661</v>
      </c>
      <c r="K224" s="36" t="n">
        <f aca="false">I224+J224</f>
        <v>152</v>
      </c>
    </row>
    <row r="225" customFormat="false" ht="15" hidden="false" customHeight="false" outlineLevel="0" collapsed="false">
      <c r="B225" s="10" t="s">
        <v>122</v>
      </c>
      <c r="C225" s="40" t="n">
        <f aca="false">$G$107*$F$40</f>
        <v>534.69387755102</v>
      </c>
      <c r="D225" s="40" t="n">
        <f aca="false">$G$126*$F$51</f>
        <v>424.489795918367</v>
      </c>
      <c r="E225" s="40" t="n">
        <f aca="false">C225+D225</f>
        <v>959.183673469388</v>
      </c>
      <c r="F225" s="40" t="n">
        <f aca="false">E226*$C$212</f>
        <v>285.204081632653</v>
      </c>
      <c r="G225" s="40" t="n">
        <f aca="false">F224</f>
        <v>239.795918367347</v>
      </c>
      <c r="H225" s="42" t="n">
        <f aca="false">E225+F225-G225</f>
        <v>1004.59183673469</v>
      </c>
      <c r="I225" s="24" t="n">
        <f aca="false">H225*$I$22</f>
        <v>161.756312694569</v>
      </c>
      <c r="J225" s="24" t="n">
        <f aca="false">I225*IF($G$22="Sí",$C$9,0)</f>
        <v>29.1161362850225</v>
      </c>
      <c r="K225" s="36" t="n">
        <f aca="false">I225+J225</f>
        <v>190.872448979592</v>
      </c>
    </row>
    <row r="226" customFormat="false" ht="15" hidden="false" customHeight="false" outlineLevel="0" collapsed="false">
      <c r="B226" s="10" t="s">
        <v>123</v>
      </c>
      <c r="C226" s="40" t="n">
        <f aca="false">$G$108*$F$40</f>
        <v>636.734693877551</v>
      </c>
      <c r="D226" s="40" t="n">
        <f aca="false">$G$127*$F$51</f>
        <v>504.081632653061</v>
      </c>
      <c r="E226" s="40" t="n">
        <f aca="false">C226+D226</f>
        <v>1140.81632653061</v>
      </c>
      <c r="F226" s="40" t="n">
        <f aca="false">E228*$C$212</f>
        <v>138.265306122449</v>
      </c>
      <c r="G226" s="40" t="n">
        <f aca="false">F225</f>
        <v>285.204081632653</v>
      </c>
      <c r="H226" s="42" t="n">
        <f aca="false">E226+F226-G226</f>
        <v>993.877551020408</v>
      </c>
      <c r="I226" s="24" t="n">
        <f aca="false">H226*$I$22</f>
        <v>160.031131096506</v>
      </c>
      <c r="J226" s="24" t="n">
        <f aca="false">I226*IF($G$22="Sí",$C$9,0)</f>
        <v>28.8056035973712</v>
      </c>
      <c r="K226" s="36" t="n">
        <f aca="false">I226+J226</f>
        <v>188.836734693878</v>
      </c>
    </row>
    <row r="227" customFormat="false" ht="15" hidden="false" customHeight="false" outlineLevel="0" collapsed="false">
      <c r="B227" s="38" t="s">
        <v>124</v>
      </c>
      <c r="C227" s="31"/>
      <c r="D227" s="31"/>
      <c r="E227" s="43" t="n">
        <f aca="false">SUM(E215:E226)</f>
        <v>9719.38775510204</v>
      </c>
      <c r="F227" s="31"/>
      <c r="G227" s="31"/>
      <c r="H227" s="43" t="n">
        <f aca="false">SUM(H215:H226)</f>
        <v>9657.65306122449</v>
      </c>
      <c r="I227" s="44" t="n">
        <f aca="false">SUM(I215:I226)</f>
        <v>1555.04583189208</v>
      </c>
      <c r="J227" s="44" t="n">
        <f aca="false">SUM(J215:J226)</f>
        <v>279.908249740574</v>
      </c>
      <c r="K227" s="44" t="n">
        <f aca="false">SUM(K215:K226)</f>
        <v>1834.95408163265</v>
      </c>
    </row>
    <row r="228" customFormat="false" ht="15" hidden="false" customHeight="false" outlineLevel="0" collapsed="false">
      <c r="B228" s="10" t="s">
        <v>147</v>
      </c>
      <c r="C228" s="40" t="n">
        <f aca="false">$G$110*$F$40</f>
        <v>322.448979591837</v>
      </c>
      <c r="D228" s="40" t="n">
        <f aca="false">$G$129*$F$51</f>
        <v>230.612244897959</v>
      </c>
      <c r="E228" s="40" t="n">
        <f aca="false">C228+D228</f>
        <v>553.061224489796</v>
      </c>
      <c r="F228" s="19" t="s">
        <v>126</v>
      </c>
      <c r="G228" s="19" t="s">
        <v>126</v>
      </c>
      <c r="H228" s="19" t="s">
        <v>126</v>
      </c>
      <c r="I228" s="19" t="s">
        <v>126</v>
      </c>
      <c r="J228" s="19" t="s">
        <v>126</v>
      </c>
      <c r="K228" s="19" t="s">
        <v>126</v>
      </c>
    </row>
    <row r="230" customFormat="false" ht="15" hidden="false" customHeight="false" outlineLevel="0" collapsed="false">
      <c r="B230" s="18" t="s">
        <v>214</v>
      </c>
    </row>
    <row r="231" customFormat="false" ht="25.5" hidden="false" customHeight="true" outlineLevel="0" collapsed="false">
      <c r="B231" s="20" t="s">
        <v>137</v>
      </c>
      <c r="C231" s="29" t="n">
        <v>0.25</v>
      </c>
    </row>
    <row r="232" customFormat="false" ht="15" hidden="false" customHeight="false" outlineLevel="0" collapsed="false">
      <c r="B232" s="10" t="s">
        <v>212</v>
      </c>
      <c r="C232" s="21" t="n">
        <v>200</v>
      </c>
    </row>
    <row r="233" customFormat="false" ht="39.75" hidden="false" customHeight="true" outlineLevel="0" collapsed="false">
      <c r="B233" s="5" t="s">
        <v>108</v>
      </c>
      <c r="C233" s="5" t="s">
        <v>139</v>
      </c>
      <c r="D233" s="5" t="s">
        <v>140</v>
      </c>
      <c r="E233" s="5" t="s">
        <v>141</v>
      </c>
      <c r="F233" s="5" t="s">
        <v>142</v>
      </c>
      <c r="G233" s="5" t="s">
        <v>143</v>
      </c>
      <c r="H233" s="5" t="s">
        <v>144</v>
      </c>
      <c r="I233" s="5" t="s">
        <v>49</v>
      </c>
      <c r="J233" s="5" t="s">
        <v>145</v>
      </c>
      <c r="K233" s="5" t="s">
        <v>146</v>
      </c>
    </row>
    <row r="234" customFormat="false" ht="15" hidden="false" customHeight="false" outlineLevel="0" collapsed="false">
      <c r="B234" s="10" t="s">
        <v>112</v>
      </c>
      <c r="C234" s="40" t="n">
        <f aca="false">$G$97*$F$41</f>
        <v>302.040816326531</v>
      </c>
      <c r="D234" s="40" t="n">
        <f aca="false">$G$116*$F$52</f>
        <v>219.387755102041</v>
      </c>
      <c r="E234" s="40" t="n">
        <f aca="false">C234+D234</f>
        <v>521.428571428571</v>
      </c>
      <c r="F234" s="40" t="n">
        <f aca="false">E235*$C$231</f>
        <v>127.040816326531</v>
      </c>
      <c r="G234" s="40" t="n">
        <f aca="false">$C$232</f>
        <v>200</v>
      </c>
      <c r="H234" s="42" t="n">
        <f aca="false">E234+F234-G234</f>
        <v>448.469387755102</v>
      </c>
      <c r="I234" s="24" t="n">
        <f aca="false">H234*$I$23</f>
        <v>24.7038222068488</v>
      </c>
      <c r="J234" s="24" t="n">
        <f aca="false">I234*IF($G$23="Sí",$C$9,0)</f>
        <v>4.44668799723279</v>
      </c>
      <c r="K234" s="36" t="n">
        <f aca="false">I234+J234</f>
        <v>29.1505102040816</v>
      </c>
    </row>
    <row r="235" customFormat="false" ht="15" hidden="false" customHeight="false" outlineLevel="0" collapsed="false">
      <c r="B235" s="10" t="s">
        <v>113</v>
      </c>
      <c r="C235" s="40" t="n">
        <f aca="false">$G$98*$F$41</f>
        <v>293.877551020408</v>
      </c>
      <c r="D235" s="40" t="n">
        <f aca="false">$G$117*$F$52</f>
        <v>214.285714285714</v>
      </c>
      <c r="E235" s="40" t="n">
        <f aca="false">C235+D235</f>
        <v>508.163265306122</v>
      </c>
      <c r="F235" s="40" t="n">
        <f aca="false">E236*$C$231</f>
        <v>151.020408163265</v>
      </c>
      <c r="G235" s="40" t="n">
        <f aca="false">F234</f>
        <v>127.040816326531</v>
      </c>
      <c r="H235" s="42" t="n">
        <f aca="false">E235+F235-G235</f>
        <v>532.142857142857</v>
      </c>
      <c r="I235" s="24" t="n">
        <f aca="false">H235*$I$23</f>
        <v>29.3129539951574</v>
      </c>
      <c r="J235" s="24" t="n">
        <f aca="false">I235*IF($G$23="Sí",$C$9,0)</f>
        <v>5.27633171912833</v>
      </c>
      <c r="K235" s="36" t="n">
        <f aca="false">I235+J235</f>
        <v>34.5892857142857</v>
      </c>
    </row>
    <row r="236" customFormat="false" ht="15" hidden="false" customHeight="false" outlineLevel="0" collapsed="false">
      <c r="B236" s="10" t="s">
        <v>114</v>
      </c>
      <c r="C236" s="40" t="n">
        <f aca="false">$G$99*$F$41</f>
        <v>338.775510204082</v>
      </c>
      <c r="D236" s="40" t="n">
        <f aca="false">$G$118*$F$52</f>
        <v>265.30612244898</v>
      </c>
      <c r="E236" s="40" t="n">
        <f aca="false">C236+D236</f>
        <v>604.081632653061</v>
      </c>
      <c r="F236" s="40" t="n">
        <f aca="false">E237*$C$231</f>
        <v>182.142857142857</v>
      </c>
      <c r="G236" s="40" t="n">
        <f aca="false">F235</f>
        <v>151.020408163265</v>
      </c>
      <c r="H236" s="42" t="n">
        <f aca="false">E236+F236-G236</f>
        <v>635.204081632653</v>
      </c>
      <c r="I236" s="24" t="n">
        <f aca="false">H236*$I$23</f>
        <v>34.9900553441716</v>
      </c>
      <c r="J236" s="24" t="n">
        <f aca="false">I236*IF($G$23="Sí",$C$9,0)</f>
        <v>6.29820996195088</v>
      </c>
      <c r="K236" s="36" t="n">
        <f aca="false">I236+J236</f>
        <v>41.2882653061225</v>
      </c>
    </row>
    <row r="237" customFormat="false" ht="15" hidden="false" customHeight="false" outlineLevel="0" collapsed="false">
      <c r="B237" s="10" t="s">
        <v>115</v>
      </c>
      <c r="C237" s="40" t="n">
        <f aca="false">$G$100*$F$41</f>
        <v>416.326530612245</v>
      </c>
      <c r="D237" s="40" t="n">
        <f aca="false">$G$119*$F$52</f>
        <v>312.244897959184</v>
      </c>
      <c r="E237" s="40" t="n">
        <f aca="false">C237+D237</f>
        <v>728.571428571429</v>
      </c>
      <c r="F237" s="40" t="n">
        <f aca="false">E238*$C$231</f>
        <v>227.551020408163</v>
      </c>
      <c r="G237" s="40" t="n">
        <f aca="false">F236</f>
        <v>182.142857142857</v>
      </c>
      <c r="H237" s="42" t="n">
        <f aca="false">E237+F237-G237</f>
        <v>773.979591836735</v>
      </c>
      <c r="I237" s="24" t="n">
        <f aca="false">H237*$I$23</f>
        <v>42.634469041854</v>
      </c>
      <c r="J237" s="24" t="n">
        <f aca="false">I237*IF($G$23="Sí",$C$9,0)</f>
        <v>7.67420442753373</v>
      </c>
      <c r="K237" s="36" t="n">
        <f aca="false">I237+J237</f>
        <v>50.3086734693878</v>
      </c>
    </row>
    <row r="238" customFormat="false" ht="15" hidden="false" customHeight="false" outlineLevel="0" collapsed="false">
      <c r="B238" s="10" t="s">
        <v>116</v>
      </c>
      <c r="C238" s="40" t="n">
        <f aca="false">$G$101*$F$41</f>
        <v>546.938775510204</v>
      </c>
      <c r="D238" s="40" t="n">
        <f aca="false">$G$120*$F$52</f>
        <v>363.265306122449</v>
      </c>
      <c r="E238" s="40" t="n">
        <f aca="false">C238+D238</f>
        <v>910.204081632653</v>
      </c>
      <c r="F238" s="40" t="n">
        <f aca="false">E239*$C$231</f>
        <v>272.448979591837</v>
      </c>
      <c r="G238" s="40" t="n">
        <f aca="false">F237</f>
        <v>227.551020408163</v>
      </c>
      <c r="H238" s="42" t="n">
        <f aca="false">E238+F238-G238</f>
        <v>955.102040816326</v>
      </c>
      <c r="I238" s="24" t="n">
        <f aca="false">H238*$I$23</f>
        <v>52.6115530958146</v>
      </c>
      <c r="J238" s="24" t="n">
        <f aca="false">I238*IF($G$23="Sí",$C$9,0)</f>
        <v>9.47007955724663</v>
      </c>
      <c r="K238" s="36" t="n">
        <f aca="false">I238+J238</f>
        <v>62.0816326530612</v>
      </c>
    </row>
    <row r="239" customFormat="false" ht="15" hidden="false" customHeight="false" outlineLevel="0" collapsed="false">
      <c r="B239" s="10" t="s">
        <v>117</v>
      </c>
      <c r="C239" s="40" t="n">
        <f aca="false">$G$102*$F$41</f>
        <v>616.326530612245</v>
      </c>
      <c r="D239" s="40" t="n">
        <f aca="false">$G$121*$F$52</f>
        <v>473.469387755102</v>
      </c>
      <c r="E239" s="40" t="n">
        <f aca="false">C239+D239</f>
        <v>1089.79591836735</v>
      </c>
      <c r="F239" s="40" t="n">
        <f aca="false">E240*$C$231</f>
        <v>264.285714285714</v>
      </c>
      <c r="G239" s="40" t="n">
        <f aca="false">F238</f>
        <v>272.448979591837</v>
      </c>
      <c r="H239" s="42" t="n">
        <f aca="false">E239+F239-G239</f>
        <v>1081.63265306122</v>
      </c>
      <c r="I239" s="24" t="n">
        <f aca="false">H239*$I$23</f>
        <v>59.5814597025251</v>
      </c>
      <c r="J239" s="24" t="n">
        <f aca="false">I239*IF($G$23="Sí",$C$9,0)</f>
        <v>10.7246627464545</v>
      </c>
      <c r="K239" s="36" t="n">
        <f aca="false">I239+J239</f>
        <v>70.3061224489796</v>
      </c>
    </row>
    <row r="240" customFormat="false" ht="15" hidden="false" customHeight="false" outlineLevel="0" collapsed="false">
      <c r="B240" s="10" t="s">
        <v>118</v>
      </c>
      <c r="C240" s="40" t="n">
        <f aca="false">$G$103*$F$41</f>
        <v>597.959183673469</v>
      </c>
      <c r="D240" s="40" t="n">
        <f aca="false">$G$122*$F$52</f>
        <v>459.183673469388</v>
      </c>
      <c r="E240" s="40" t="n">
        <f aca="false">C240+D240</f>
        <v>1057.14285714286</v>
      </c>
      <c r="F240" s="40" t="n">
        <f aca="false">E241*$C$231</f>
        <v>192.857142857143</v>
      </c>
      <c r="G240" s="40" t="n">
        <f aca="false">F239</f>
        <v>264.285714285714</v>
      </c>
      <c r="H240" s="42" t="n">
        <f aca="false">E240+F240-G240</f>
        <v>985.714285714286</v>
      </c>
      <c r="I240" s="24" t="n">
        <f aca="false">H240*$I$23</f>
        <v>54.2978208232446</v>
      </c>
      <c r="J240" s="24" t="n">
        <f aca="false">I240*IF($G$23="Sí",$C$9,0)</f>
        <v>9.77360774818402</v>
      </c>
      <c r="K240" s="36" t="n">
        <f aca="false">I240+J240</f>
        <v>64.0714285714286</v>
      </c>
    </row>
    <row r="241" customFormat="false" ht="15" hidden="false" customHeight="false" outlineLevel="0" collapsed="false">
      <c r="B241" s="10" t="s">
        <v>119</v>
      </c>
      <c r="C241" s="40" t="n">
        <f aca="false">$G$104*$F$41</f>
        <v>444.897959183674</v>
      </c>
      <c r="D241" s="40" t="n">
        <f aca="false">$G$123*$F$52</f>
        <v>326.530612244898</v>
      </c>
      <c r="E241" s="40" t="n">
        <f aca="false">C241+D241</f>
        <v>771.428571428571</v>
      </c>
      <c r="F241" s="40" t="n">
        <f aca="false">E242*$C$231</f>
        <v>170.408163265306</v>
      </c>
      <c r="G241" s="40" t="n">
        <f aca="false">F240</f>
        <v>192.857142857143</v>
      </c>
      <c r="H241" s="42" t="n">
        <f aca="false">E241+F241-G241</f>
        <v>748.979591836735</v>
      </c>
      <c r="I241" s="24" t="n">
        <f aca="false">H241*$I$23</f>
        <v>41.2573503977862</v>
      </c>
      <c r="J241" s="24" t="n">
        <f aca="false">I241*IF($G$23="Sí",$C$9,0)</f>
        <v>7.42632307160152</v>
      </c>
      <c r="K241" s="36" t="n">
        <f aca="false">I241+J241</f>
        <v>48.6836734693878</v>
      </c>
    </row>
    <row r="242" customFormat="false" ht="15" hidden="false" customHeight="false" outlineLevel="0" collapsed="false">
      <c r="B242" s="10" t="s">
        <v>120</v>
      </c>
      <c r="C242" s="40" t="n">
        <f aca="false">$G$105*$F$41</f>
        <v>391.836734693878</v>
      </c>
      <c r="D242" s="40" t="n">
        <f aca="false">$G$124*$F$52</f>
        <v>289.795918367347</v>
      </c>
      <c r="E242" s="40" t="n">
        <f aca="false">C242+D242</f>
        <v>681.632653061225</v>
      </c>
      <c r="F242" s="40" t="n">
        <f aca="false">E243*$C$231</f>
        <v>186.734693877551</v>
      </c>
      <c r="G242" s="40" t="n">
        <f aca="false">F241</f>
        <v>170.408163265306</v>
      </c>
      <c r="H242" s="42" t="n">
        <f aca="false">E242+F242-G242</f>
        <v>697.95918367347</v>
      </c>
      <c r="I242" s="24" t="n">
        <f aca="false">H242*$I$23</f>
        <v>38.446904185403</v>
      </c>
      <c r="J242" s="24" t="n">
        <f aca="false">I242*IF($G$23="Sí",$C$9,0)</f>
        <v>6.92044275337254</v>
      </c>
      <c r="K242" s="36" t="n">
        <f aca="false">I242+J242</f>
        <v>45.3673469387755</v>
      </c>
    </row>
    <row r="243" customFormat="false" ht="15" hidden="false" customHeight="false" outlineLevel="0" collapsed="false">
      <c r="B243" s="10" t="s">
        <v>121</v>
      </c>
      <c r="C243" s="40" t="n">
        <f aca="false">$G$106*$F$41</f>
        <v>424.489795918367</v>
      </c>
      <c r="D243" s="40" t="n">
        <f aca="false">$G$125*$F$52</f>
        <v>322.448979591837</v>
      </c>
      <c r="E243" s="40" t="n">
        <f aca="false">C243+D243</f>
        <v>746.938775510204</v>
      </c>
      <c r="F243" s="40" t="n">
        <f aca="false">E244*$C$231</f>
        <v>239.795918367347</v>
      </c>
      <c r="G243" s="40" t="n">
        <f aca="false">F242</f>
        <v>186.734693877551</v>
      </c>
      <c r="H243" s="42" t="n">
        <f aca="false">E243+F243-G243</f>
        <v>800</v>
      </c>
      <c r="I243" s="24" t="n">
        <f aca="false">H243*$I$23</f>
        <v>44.0677966101695</v>
      </c>
      <c r="J243" s="24" t="n">
        <f aca="false">I243*IF($G$23="Sí",$C$9,0)</f>
        <v>7.93220338983051</v>
      </c>
      <c r="K243" s="36" t="n">
        <f aca="false">I243+J243</f>
        <v>52</v>
      </c>
    </row>
    <row r="244" customFormat="false" ht="15" hidden="false" customHeight="false" outlineLevel="0" collapsed="false">
      <c r="B244" s="10" t="s">
        <v>122</v>
      </c>
      <c r="C244" s="40" t="n">
        <f aca="false">$G$107*$F$41</f>
        <v>534.69387755102</v>
      </c>
      <c r="D244" s="40" t="n">
        <f aca="false">$G$126*$F$52</f>
        <v>424.489795918367</v>
      </c>
      <c r="E244" s="40" t="n">
        <f aca="false">C244+D244</f>
        <v>959.183673469388</v>
      </c>
      <c r="F244" s="40" t="n">
        <f aca="false">E245*$C$231</f>
        <v>285.204081632653</v>
      </c>
      <c r="G244" s="40" t="n">
        <f aca="false">F243</f>
        <v>239.795918367347</v>
      </c>
      <c r="H244" s="42" t="n">
        <f aca="false">E244+F244-G244</f>
        <v>1004.59183673469</v>
      </c>
      <c r="I244" s="24" t="n">
        <f aca="false">H244*$I$23</f>
        <v>55.3376859218264</v>
      </c>
      <c r="J244" s="24" t="n">
        <f aca="false">I244*IF($G$23="Sí",$C$9,0)</f>
        <v>9.96078346592874</v>
      </c>
      <c r="K244" s="36" t="n">
        <f aca="false">I244+J244</f>
        <v>65.2984693877551</v>
      </c>
    </row>
    <row r="245" customFormat="false" ht="15" hidden="false" customHeight="false" outlineLevel="0" collapsed="false">
      <c r="B245" s="10" t="s">
        <v>123</v>
      </c>
      <c r="C245" s="40" t="n">
        <f aca="false">$G$108*$F$41</f>
        <v>636.734693877551</v>
      </c>
      <c r="D245" s="40" t="n">
        <f aca="false">$G$127*$F$52</f>
        <v>504.081632653061</v>
      </c>
      <c r="E245" s="40" t="n">
        <f aca="false">C245+D245</f>
        <v>1140.81632653061</v>
      </c>
      <c r="F245" s="40" t="n">
        <f aca="false">E247*$C$231</f>
        <v>138.265306122449</v>
      </c>
      <c r="G245" s="40" t="n">
        <f aca="false">F244</f>
        <v>285.204081632653</v>
      </c>
      <c r="H245" s="42" t="n">
        <f aca="false">E245+F245-G245</f>
        <v>993.877551020408</v>
      </c>
      <c r="I245" s="24" t="n">
        <f aca="false">H245*$I$23</f>
        <v>54.7474922172259</v>
      </c>
      <c r="J245" s="24" t="n">
        <f aca="false">I245*IF($G$23="Sí",$C$9,0)</f>
        <v>9.85454859910066</v>
      </c>
      <c r="K245" s="36" t="n">
        <f aca="false">I245+J245</f>
        <v>64.6020408163265</v>
      </c>
    </row>
    <row r="246" customFormat="false" ht="15" hidden="false" customHeight="false" outlineLevel="0" collapsed="false">
      <c r="B246" s="38" t="s">
        <v>124</v>
      </c>
      <c r="C246" s="31"/>
      <c r="D246" s="31"/>
      <c r="E246" s="43" t="n">
        <f aca="false">SUM(E234:E245)</f>
        <v>9719.38775510204</v>
      </c>
      <c r="F246" s="31"/>
      <c r="G246" s="31"/>
      <c r="H246" s="43" t="n">
        <f aca="false">SUM(H234:H245)</f>
        <v>9657.65306122449</v>
      </c>
      <c r="I246" s="44" t="n">
        <f aca="false">SUM(I234:I245)</f>
        <v>531.989363542027</v>
      </c>
      <c r="J246" s="44" t="n">
        <f aca="false">SUM(J234:J245)</f>
        <v>95.7580854375649</v>
      </c>
      <c r="K246" s="44" t="n">
        <f aca="false">SUM(K234:K245)</f>
        <v>627.747448979592</v>
      </c>
    </row>
    <row r="247" customFormat="false" ht="15" hidden="false" customHeight="false" outlineLevel="0" collapsed="false">
      <c r="B247" s="10" t="s">
        <v>147</v>
      </c>
      <c r="C247" s="40" t="n">
        <f aca="false">$G$110*$F$41</f>
        <v>322.448979591837</v>
      </c>
      <c r="D247" s="40" t="n">
        <f aca="false">$G$129*$F$52</f>
        <v>230.612244897959</v>
      </c>
      <c r="E247" s="40" t="n">
        <f aca="false">C247+D247</f>
        <v>553.061224489796</v>
      </c>
      <c r="F247" s="19" t="s">
        <v>126</v>
      </c>
      <c r="G247" s="19" t="s">
        <v>126</v>
      </c>
      <c r="H247" s="19" t="s">
        <v>126</v>
      </c>
      <c r="I247" s="19" t="s">
        <v>126</v>
      </c>
      <c r="J247" s="19" t="s">
        <v>126</v>
      </c>
      <c r="K247" s="19" t="s">
        <v>126</v>
      </c>
    </row>
    <row r="249" customFormat="false" ht="15" hidden="false" customHeight="false" outlineLevel="0" collapsed="false">
      <c r="B249" s="18" t="s">
        <v>215</v>
      </c>
    </row>
    <row r="250" customFormat="false" ht="25.5" hidden="false" customHeight="true" outlineLevel="0" collapsed="false">
      <c r="B250" s="20" t="s">
        <v>137</v>
      </c>
      <c r="C250" s="29" t="n">
        <v>0.25</v>
      </c>
    </row>
    <row r="251" customFormat="false" ht="15" hidden="false" customHeight="false" outlineLevel="0" collapsed="false">
      <c r="B251" s="10" t="s">
        <v>212</v>
      </c>
      <c r="C251" s="21" t="n">
        <v>150</v>
      </c>
    </row>
    <row r="252" customFormat="false" ht="39.75" hidden="false" customHeight="true" outlineLevel="0" collapsed="false">
      <c r="B252" s="5" t="s">
        <v>108</v>
      </c>
      <c r="C252" s="5" t="s">
        <v>139</v>
      </c>
      <c r="D252" s="5" t="s">
        <v>140</v>
      </c>
      <c r="E252" s="5" t="s">
        <v>141</v>
      </c>
      <c r="F252" s="5" t="s">
        <v>142</v>
      </c>
      <c r="G252" s="5" t="s">
        <v>143</v>
      </c>
      <c r="H252" s="5" t="s">
        <v>144</v>
      </c>
      <c r="I252" s="5" t="s">
        <v>49</v>
      </c>
      <c r="J252" s="5" t="s">
        <v>145</v>
      </c>
      <c r="K252" s="5" t="s">
        <v>146</v>
      </c>
    </row>
    <row r="253" customFormat="false" ht="15" hidden="false" customHeight="false" outlineLevel="0" collapsed="false">
      <c r="B253" s="10" t="s">
        <v>112</v>
      </c>
      <c r="C253" s="40" t="n">
        <f aca="false">$G$97*$F$42</f>
        <v>296</v>
      </c>
      <c r="D253" s="40" t="n">
        <f aca="false">$G$116*$F$53</f>
        <v>215</v>
      </c>
      <c r="E253" s="40" t="n">
        <f aca="false">C253+D253</f>
        <v>511</v>
      </c>
      <c r="F253" s="40" t="n">
        <f aca="false">E254*$C$250</f>
        <v>124.5</v>
      </c>
      <c r="G253" s="40" t="n">
        <f aca="false">$C$251</f>
        <v>150</v>
      </c>
      <c r="H253" s="42" t="n">
        <f aca="false">E253+F253-G253</f>
        <v>485.5</v>
      </c>
      <c r="I253" s="24" t="n">
        <f aca="false">H253*$I$24</f>
        <v>57.6016949152542</v>
      </c>
      <c r="J253" s="24" t="n">
        <f aca="false">I253*IF($G$24="Sí",$C$9,0)</f>
        <v>10.3683050847458</v>
      </c>
      <c r="K253" s="36" t="n">
        <f aca="false">I253+J253</f>
        <v>67.97</v>
      </c>
    </row>
    <row r="254" customFormat="false" ht="15" hidden="false" customHeight="false" outlineLevel="0" collapsed="false">
      <c r="B254" s="10" t="s">
        <v>113</v>
      </c>
      <c r="C254" s="40" t="n">
        <f aca="false">$G$98*$F$42</f>
        <v>288</v>
      </c>
      <c r="D254" s="40" t="n">
        <f aca="false">$G$117*$F$53</f>
        <v>210</v>
      </c>
      <c r="E254" s="40" t="n">
        <f aca="false">C254+D254</f>
        <v>498</v>
      </c>
      <c r="F254" s="40" t="n">
        <f aca="false">E255*$C$250</f>
        <v>148</v>
      </c>
      <c r="G254" s="40" t="n">
        <f aca="false">F253</f>
        <v>124.5</v>
      </c>
      <c r="H254" s="42" t="n">
        <f aca="false">E254+F254-G254</f>
        <v>521.5</v>
      </c>
      <c r="I254" s="24" t="n">
        <f aca="false">H254*$I$24</f>
        <v>61.8728813559322</v>
      </c>
      <c r="J254" s="24" t="n">
        <f aca="false">I254*IF($G$24="Sí",$C$9,0)</f>
        <v>11.1371186440678</v>
      </c>
      <c r="K254" s="36" t="n">
        <f aca="false">I254+J254</f>
        <v>73.01</v>
      </c>
    </row>
    <row r="255" customFormat="false" ht="15" hidden="false" customHeight="false" outlineLevel="0" collapsed="false">
      <c r="B255" s="10" t="s">
        <v>114</v>
      </c>
      <c r="C255" s="40" t="n">
        <f aca="false">$G$99*$F$42</f>
        <v>332</v>
      </c>
      <c r="D255" s="40" t="n">
        <f aca="false">$G$118*$F$53</f>
        <v>260</v>
      </c>
      <c r="E255" s="40" t="n">
        <f aca="false">C255+D255</f>
        <v>592</v>
      </c>
      <c r="F255" s="40" t="n">
        <f aca="false">E256*$C$250</f>
        <v>178.5</v>
      </c>
      <c r="G255" s="40" t="n">
        <f aca="false">F254</f>
        <v>148</v>
      </c>
      <c r="H255" s="42" t="n">
        <f aca="false">E255+F255-G255</f>
        <v>622.5</v>
      </c>
      <c r="I255" s="24" t="n">
        <f aca="false">H255*$I$24</f>
        <v>73.8559322033898</v>
      </c>
      <c r="J255" s="24" t="n">
        <f aca="false">I255*IF($G$24="Sí",$C$9,0)</f>
        <v>13.2940677966102</v>
      </c>
      <c r="K255" s="36" t="n">
        <f aca="false">I255+J255</f>
        <v>87.15</v>
      </c>
    </row>
    <row r="256" customFormat="false" ht="15" hidden="false" customHeight="false" outlineLevel="0" collapsed="false">
      <c r="B256" s="10" t="s">
        <v>115</v>
      </c>
      <c r="C256" s="40" t="n">
        <f aca="false">$G$100*$F$42</f>
        <v>408</v>
      </c>
      <c r="D256" s="40" t="n">
        <f aca="false">$G$119*$F$53</f>
        <v>306</v>
      </c>
      <c r="E256" s="40" t="n">
        <f aca="false">C256+D256</f>
        <v>714</v>
      </c>
      <c r="F256" s="40" t="n">
        <f aca="false">E257*$C$250</f>
        <v>223</v>
      </c>
      <c r="G256" s="40" t="n">
        <f aca="false">F255</f>
        <v>178.5</v>
      </c>
      <c r="H256" s="42" t="n">
        <f aca="false">E256+F256-G256</f>
        <v>758.5</v>
      </c>
      <c r="I256" s="24" t="n">
        <f aca="false">H256*$I$24</f>
        <v>89.9915254237288</v>
      </c>
      <c r="J256" s="24" t="n">
        <f aca="false">I256*IF($G$24="Sí",$C$9,0)</f>
        <v>16.1984745762712</v>
      </c>
      <c r="K256" s="36" t="n">
        <f aca="false">I256+J256</f>
        <v>106.19</v>
      </c>
    </row>
    <row r="257" customFormat="false" ht="15" hidden="false" customHeight="false" outlineLevel="0" collapsed="false">
      <c r="B257" s="10" t="s">
        <v>116</v>
      </c>
      <c r="C257" s="40" t="n">
        <f aca="false">$G$101*$F$42</f>
        <v>536</v>
      </c>
      <c r="D257" s="40" t="n">
        <f aca="false">$G$120*$F$53</f>
        <v>356</v>
      </c>
      <c r="E257" s="40" t="n">
        <f aca="false">C257+D257</f>
        <v>892</v>
      </c>
      <c r="F257" s="40" t="n">
        <f aca="false">E258*$C$250</f>
        <v>267</v>
      </c>
      <c r="G257" s="40" t="n">
        <f aca="false">F256</f>
        <v>223</v>
      </c>
      <c r="H257" s="42" t="n">
        <f aca="false">E257+F257-G257</f>
        <v>936</v>
      </c>
      <c r="I257" s="24" t="n">
        <f aca="false">H257*$I$24</f>
        <v>111.050847457627</v>
      </c>
      <c r="J257" s="24" t="n">
        <f aca="false">I257*IF($G$24="Sí",$C$9,0)</f>
        <v>19.9891525423729</v>
      </c>
      <c r="K257" s="36" t="n">
        <f aca="false">I257+J257</f>
        <v>131.04</v>
      </c>
    </row>
    <row r="258" customFormat="false" ht="15" hidden="false" customHeight="false" outlineLevel="0" collapsed="false">
      <c r="B258" s="10" t="s">
        <v>117</v>
      </c>
      <c r="C258" s="40" t="n">
        <f aca="false">$G$102*$F$42</f>
        <v>604</v>
      </c>
      <c r="D258" s="40" t="n">
        <f aca="false">$G$121*$F$53</f>
        <v>464</v>
      </c>
      <c r="E258" s="40" t="n">
        <f aca="false">C258+D258</f>
        <v>1068</v>
      </c>
      <c r="F258" s="40" t="n">
        <f aca="false">E259*$C$250</f>
        <v>259</v>
      </c>
      <c r="G258" s="40" t="n">
        <f aca="false">F257</f>
        <v>267</v>
      </c>
      <c r="H258" s="42" t="n">
        <f aca="false">E258+F258-G258</f>
        <v>1060</v>
      </c>
      <c r="I258" s="24" t="n">
        <f aca="false">H258*$I$24</f>
        <v>125.762711864407</v>
      </c>
      <c r="J258" s="24" t="n">
        <f aca="false">I258*IF($G$24="Sí",$C$9,0)</f>
        <v>22.6372881355932</v>
      </c>
      <c r="K258" s="36" t="n">
        <f aca="false">I258+J258</f>
        <v>148.4</v>
      </c>
    </row>
    <row r="259" customFormat="false" ht="15" hidden="false" customHeight="false" outlineLevel="0" collapsed="false">
      <c r="B259" s="10" t="s">
        <v>118</v>
      </c>
      <c r="C259" s="40" t="n">
        <f aca="false">$G$103*$F$42</f>
        <v>586</v>
      </c>
      <c r="D259" s="40" t="n">
        <f aca="false">$G$122*$F$53</f>
        <v>450</v>
      </c>
      <c r="E259" s="40" t="n">
        <f aca="false">C259+D259</f>
        <v>1036</v>
      </c>
      <c r="F259" s="40" t="n">
        <f aca="false">E260*$C$250</f>
        <v>189</v>
      </c>
      <c r="G259" s="40" t="n">
        <f aca="false">F258</f>
        <v>259</v>
      </c>
      <c r="H259" s="42" t="n">
        <f aca="false">E259+F259-G259</f>
        <v>966</v>
      </c>
      <c r="I259" s="24" t="n">
        <f aca="false">H259*$I$24</f>
        <v>114.610169491525</v>
      </c>
      <c r="J259" s="24" t="n">
        <f aca="false">I259*IF($G$24="Sí",$C$9,0)</f>
        <v>20.6298305084746</v>
      </c>
      <c r="K259" s="36" t="n">
        <f aca="false">I259+J259</f>
        <v>135.24</v>
      </c>
    </row>
    <row r="260" customFormat="false" ht="15" hidden="false" customHeight="false" outlineLevel="0" collapsed="false">
      <c r="B260" s="10" t="s">
        <v>119</v>
      </c>
      <c r="C260" s="40" t="n">
        <f aca="false">$G$104*$F$42</f>
        <v>436</v>
      </c>
      <c r="D260" s="40" t="n">
        <f aca="false">$G$123*$F$53</f>
        <v>320</v>
      </c>
      <c r="E260" s="40" t="n">
        <f aca="false">C260+D260</f>
        <v>756</v>
      </c>
      <c r="F260" s="40" t="n">
        <f aca="false">E261*$C$250</f>
        <v>167</v>
      </c>
      <c r="G260" s="40" t="n">
        <f aca="false">F259</f>
        <v>189</v>
      </c>
      <c r="H260" s="42" t="n">
        <f aca="false">E260+F260-G260</f>
        <v>734</v>
      </c>
      <c r="I260" s="24" t="n">
        <f aca="false">H260*$I$24</f>
        <v>87.0847457627119</v>
      </c>
      <c r="J260" s="24" t="n">
        <f aca="false">I260*IF($G$24="Sí",$C$9,0)</f>
        <v>15.6752542372881</v>
      </c>
      <c r="K260" s="36" t="n">
        <f aca="false">I260+J260</f>
        <v>102.76</v>
      </c>
    </row>
    <row r="261" customFormat="false" ht="15" hidden="false" customHeight="false" outlineLevel="0" collapsed="false">
      <c r="B261" s="10" t="s">
        <v>120</v>
      </c>
      <c r="C261" s="40" t="n">
        <f aca="false">$G$105*$F$42</f>
        <v>384</v>
      </c>
      <c r="D261" s="40" t="n">
        <f aca="false">$G$124*$F$53</f>
        <v>284</v>
      </c>
      <c r="E261" s="40" t="n">
        <f aca="false">C261+D261</f>
        <v>668</v>
      </c>
      <c r="F261" s="40" t="n">
        <f aca="false">E262*$C$250</f>
        <v>183</v>
      </c>
      <c r="G261" s="40" t="n">
        <f aca="false">F260</f>
        <v>167</v>
      </c>
      <c r="H261" s="42" t="n">
        <f aca="false">E261+F261-G261</f>
        <v>684</v>
      </c>
      <c r="I261" s="24" t="n">
        <f aca="false">H261*$I$24</f>
        <v>81.1525423728814</v>
      </c>
      <c r="J261" s="24" t="n">
        <f aca="false">I261*IF($G$24="Sí",$C$9,0)</f>
        <v>14.6074576271186</v>
      </c>
      <c r="K261" s="36" t="n">
        <f aca="false">I261+J261</f>
        <v>95.76</v>
      </c>
    </row>
    <row r="262" customFormat="false" ht="15" hidden="false" customHeight="false" outlineLevel="0" collapsed="false">
      <c r="B262" s="10" t="s">
        <v>121</v>
      </c>
      <c r="C262" s="40" t="n">
        <f aca="false">$G$106*$F$42</f>
        <v>416</v>
      </c>
      <c r="D262" s="40" t="n">
        <f aca="false">$G$125*$F$53</f>
        <v>316</v>
      </c>
      <c r="E262" s="40" t="n">
        <f aca="false">C262+D262</f>
        <v>732</v>
      </c>
      <c r="F262" s="40" t="n">
        <f aca="false">E263*$C$250</f>
        <v>235</v>
      </c>
      <c r="G262" s="40" t="n">
        <f aca="false">F261</f>
        <v>183</v>
      </c>
      <c r="H262" s="42" t="n">
        <f aca="false">E262+F262-G262</f>
        <v>784</v>
      </c>
      <c r="I262" s="24" t="n">
        <f aca="false">H262*$I$24</f>
        <v>93.0169491525424</v>
      </c>
      <c r="J262" s="24" t="n">
        <f aca="false">I262*IF($G$24="Sí",$C$9,0)</f>
        <v>16.7430508474576</v>
      </c>
      <c r="K262" s="36" t="n">
        <f aca="false">I262+J262</f>
        <v>109.76</v>
      </c>
    </row>
    <row r="263" customFormat="false" ht="15" hidden="false" customHeight="false" outlineLevel="0" collapsed="false">
      <c r="B263" s="10" t="s">
        <v>122</v>
      </c>
      <c r="C263" s="40" t="n">
        <f aca="false">$G$107*$F$42</f>
        <v>524</v>
      </c>
      <c r="D263" s="40" t="n">
        <f aca="false">$G$126*$F$53</f>
        <v>416</v>
      </c>
      <c r="E263" s="40" t="n">
        <f aca="false">C263+D263</f>
        <v>940</v>
      </c>
      <c r="F263" s="40" t="n">
        <f aca="false">E264*$C$250</f>
        <v>279.5</v>
      </c>
      <c r="G263" s="40" t="n">
        <f aca="false">F262</f>
        <v>235</v>
      </c>
      <c r="H263" s="42" t="n">
        <f aca="false">E263+F263-G263</f>
        <v>984.5</v>
      </c>
      <c r="I263" s="24" t="n">
        <f aca="false">H263*$I$24</f>
        <v>116.805084745763</v>
      </c>
      <c r="J263" s="24" t="n">
        <f aca="false">I263*IF($G$24="Sí",$C$9,0)</f>
        <v>21.0249152542373</v>
      </c>
      <c r="K263" s="36" t="n">
        <f aca="false">I263+J263</f>
        <v>137.83</v>
      </c>
    </row>
    <row r="264" customFormat="false" ht="15" hidden="false" customHeight="false" outlineLevel="0" collapsed="false">
      <c r="B264" s="10" t="s">
        <v>123</v>
      </c>
      <c r="C264" s="40" t="n">
        <f aca="false">$G$108*$F$42</f>
        <v>624</v>
      </c>
      <c r="D264" s="40" t="n">
        <f aca="false">$G$127*$F$53</f>
        <v>494</v>
      </c>
      <c r="E264" s="40" t="n">
        <f aca="false">C264+D264</f>
        <v>1118</v>
      </c>
      <c r="F264" s="40" t="n">
        <f aca="false">E266*$C$250</f>
        <v>135.5</v>
      </c>
      <c r="G264" s="40" t="n">
        <f aca="false">F263</f>
        <v>279.5</v>
      </c>
      <c r="H264" s="42" t="n">
        <f aca="false">E264+F264-G264</f>
        <v>974</v>
      </c>
      <c r="I264" s="24" t="n">
        <f aca="false">H264*$I$24</f>
        <v>115.559322033898</v>
      </c>
      <c r="J264" s="24" t="n">
        <f aca="false">I264*IF($G$24="Sí",$C$9,0)</f>
        <v>20.8006779661017</v>
      </c>
      <c r="K264" s="36" t="n">
        <f aca="false">I264+J264</f>
        <v>136.36</v>
      </c>
    </row>
    <row r="265" customFormat="false" ht="15" hidden="false" customHeight="false" outlineLevel="0" collapsed="false">
      <c r="B265" s="38" t="s">
        <v>124</v>
      </c>
      <c r="C265" s="31"/>
      <c r="D265" s="31"/>
      <c r="E265" s="43" t="n">
        <f aca="false">SUM(E253:E264)</f>
        <v>9525</v>
      </c>
      <c r="F265" s="31"/>
      <c r="G265" s="31"/>
      <c r="H265" s="43" t="n">
        <f aca="false">SUM(H253:H264)</f>
        <v>9510.5</v>
      </c>
      <c r="I265" s="44" t="n">
        <f aca="false">SUM(I253:I264)</f>
        <v>1128.36440677966</v>
      </c>
      <c r="J265" s="44" t="n">
        <f aca="false">SUM(J253:J264)</f>
        <v>203.105593220339</v>
      </c>
      <c r="K265" s="44" t="n">
        <f aca="false">SUM(K253:K264)</f>
        <v>1331.47</v>
      </c>
    </row>
    <row r="266" customFormat="false" ht="15" hidden="false" customHeight="false" outlineLevel="0" collapsed="false">
      <c r="B266" s="10" t="s">
        <v>147</v>
      </c>
      <c r="C266" s="40" t="n">
        <f aca="false">$G$110*$F$42</f>
        <v>316</v>
      </c>
      <c r="D266" s="40" t="n">
        <f aca="false">$G$129*$F$53</f>
        <v>226</v>
      </c>
      <c r="E266" s="40" t="n">
        <f aca="false">C266+D266</f>
        <v>542</v>
      </c>
      <c r="F266" s="19" t="s">
        <v>126</v>
      </c>
      <c r="G266" s="19" t="s">
        <v>126</v>
      </c>
      <c r="H266" s="19" t="s">
        <v>126</v>
      </c>
      <c r="I266" s="19" t="s">
        <v>126</v>
      </c>
      <c r="J266" s="19" t="s">
        <v>126</v>
      </c>
      <c r="K266" s="19" t="s">
        <v>126</v>
      </c>
    </row>
    <row r="268" customFormat="false" ht="15" hidden="false" customHeight="false" outlineLevel="0" collapsed="false">
      <c r="B268" s="28" t="s">
        <v>151</v>
      </c>
    </row>
    <row r="269" customFormat="false" ht="30" hidden="false" customHeight="true" outlineLevel="0" collapsed="false">
      <c r="B269" s="5" t="s">
        <v>108</v>
      </c>
      <c r="C269" s="5" t="s">
        <v>49</v>
      </c>
      <c r="D269" s="5" t="s">
        <v>145</v>
      </c>
      <c r="E269" s="5" t="s">
        <v>146</v>
      </c>
    </row>
    <row r="270" customFormat="false" ht="15" hidden="false" customHeight="false" outlineLevel="0" collapsed="false">
      <c r="B270" s="10" t="s">
        <v>112</v>
      </c>
      <c r="C270" s="24" t="n">
        <f aca="false">I139+I158+I177+I196+I215+I234+I253</f>
        <v>14466.8999626116</v>
      </c>
      <c r="D270" s="24" t="n">
        <f aca="false">J139+J158+J177+J196+J215+J234+J253</f>
        <v>2604.04199327008</v>
      </c>
      <c r="E270" s="24" t="n">
        <f aca="false">K139+K158+K177+K196+K215+K234+K253</f>
        <v>17070.9419558816</v>
      </c>
    </row>
    <row r="271" customFormat="false" ht="15" hidden="false" customHeight="false" outlineLevel="0" collapsed="false">
      <c r="B271" s="10" t="s">
        <v>113</v>
      </c>
      <c r="C271" s="24" t="n">
        <f aca="false">I140+I159+I178+I197+I216+I235+I254</f>
        <v>13471.7080258527</v>
      </c>
      <c r="D271" s="24" t="n">
        <f aca="false">J140+J159+J178+J197+J216+J235+J254</f>
        <v>2424.90744465348</v>
      </c>
      <c r="E271" s="24" t="n">
        <f aca="false">K140+K159+K178+K197+K216+K235+K254</f>
        <v>15896.6154705062</v>
      </c>
    </row>
    <row r="272" customFormat="false" ht="15" hidden="false" customHeight="false" outlineLevel="0" collapsed="false">
      <c r="B272" s="10" t="s">
        <v>114</v>
      </c>
      <c r="C272" s="24" t="n">
        <f aca="false">I141+I160+I179+I198+I217+I236+I255</f>
        <v>16008.5130860442</v>
      </c>
      <c r="D272" s="24" t="n">
        <f aca="false">J141+J160+J179+J198+J217+J236+J255</f>
        <v>2881.53235548795</v>
      </c>
      <c r="E272" s="24" t="n">
        <f aca="false">K141+K160+K179+K198+K217+K236+K255</f>
        <v>18890.0454415321</v>
      </c>
    </row>
    <row r="273" customFormat="false" ht="15" hidden="false" customHeight="false" outlineLevel="0" collapsed="false">
      <c r="B273" s="10" t="s">
        <v>115</v>
      </c>
      <c r="C273" s="24" t="n">
        <f aca="false">I142+I161+I180+I199+I218+I237+I256</f>
        <v>19656.647974713</v>
      </c>
      <c r="D273" s="24" t="n">
        <f aca="false">J142+J161+J180+J199+J218+J237+J256</f>
        <v>3538.19663544834</v>
      </c>
      <c r="E273" s="24" t="n">
        <f aca="false">K142+K161+K180+K199+K218+K237+K256</f>
        <v>23194.8446101613</v>
      </c>
    </row>
    <row r="274" customFormat="false" ht="15" hidden="false" customHeight="false" outlineLevel="0" collapsed="false">
      <c r="B274" s="10" t="s">
        <v>116</v>
      </c>
      <c r="C274" s="24" t="n">
        <f aca="false">I143+I162+I181+I200+I219+I238+I257</f>
        <v>24379.3585825984</v>
      </c>
      <c r="D274" s="24" t="n">
        <f aca="false">J143+J162+J181+J200+J219+J238+J257</f>
        <v>4388.28454486771</v>
      </c>
      <c r="E274" s="24" t="n">
        <f aca="false">K143+K162+K181+K200+K219+K238+K257</f>
        <v>28767.6431274661</v>
      </c>
    </row>
    <row r="275" customFormat="false" ht="15" hidden="false" customHeight="false" outlineLevel="0" collapsed="false">
      <c r="B275" s="10" t="s">
        <v>117</v>
      </c>
      <c r="C275" s="24" t="n">
        <f aca="false">I144+I163+I182+I201+I220+I239+I258</f>
        <v>27281.6628007094</v>
      </c>
      <c r="D275" s="24" t="n">
        <f aca="false">J144+J163+J182+J201+J220+J239+J258</f>
        <v>4910.69930412769</v>
      </c>
      <c r="E275" s="24" t="n">
        <f aca="false">K144+K163+K182+K201+K220+K239+K258</f>
        <v>32192.3621048371</v>
      </c>
    </row>
    <row r="276" customFormat="false" ht="15" hidden="false" customHeight="false" outlineLevel="0" collapsed="false">
      <c r="B276" s="10" t="s">
        <v>118</v>
      </c>
      <c r="C276" s="24" t="n">
        <f aca="false">I145+I164+I183+I202+I221+I240+I259</f>
        <v>24888.8142290904</v>
      </c>
      <c r="D276" s="24" t="n">
        <f aca="false">J145+J164+J183+J202+J221+J240+J259</f>
        <v>4479.98656123626</v>
      </c>
      <c r="E276" s="24" t="n">
        <f aca="false">K145+K164+K183+K202+K221+K240+K259</f>
        <v>29368.8007903266</v>
      </c>
    </row>
    <row r="277" customFormat="false" ht="15" hidden="false" customHeight="false" outlineLevel="0" collapsed="false">
      <c r="B277" s="10" t="s">
        <v>119</v>
      </c>
      <c r="C277" s="24" t="n">
        <f aca="false">I146+I165+I184+I203+I222+I241+I260</f>
        <v>18987.6162114031</v>
      </c>
      <c r="D277" s="24" t="n">
        <f aca="false">J146+J165+J184+J203+J222+J241+J260</f>
        <v>3417.77091805255</v>
      </c>
      <c r="E277" s="24" t="n">
        <f aca="false">K146+K165+K184+K203+K222+K241+K260</f>
        <v>22405.3871294556</v>
      </c>
    </row>
    <row r="278" customFormat="false" ht="15" hidden="false" customHeight="false" outlineLevel="0" collapsed="false">
      <c r="B278" s="10" t="s">
        <v>120</v>
      </c>
      <c r="C278" s="24" t="n">
        <f aca="false">I147+I166+I185+I204+I223+I242+I261</f>
        <v>17667.4430189315</v>
      </c>
      <c r="D278" s="24" t="n">
        <f aca="false">J147+J166+J185+J204+J223+J242+J261</f>
        <v>3180.13974340768</v>
      </c>
      <c r="E278" s="24" t="n">
        <f aca="false">K147+K166+K185+K204+K223+K242+K261</f>
        <v>20847.5827623392</v>
      </c>
    </row>
    <row r="279" customFormat="false" ht="15" hidden="false" customHeight="false" outlineLevel="0" collapsed="false">
      <c r="B279" s="10" t="s">
        <v>121</v>
      </c>
      <c r="C279" s="24" t="n">
        <f aca="false">I148+I167+I186+I205+I224+I243+I262</f>
        <v>20173.1949900694</v>
      </c>
      <c r="D279" s="24" t="n">
        <f aca="false">J148+J167+J186+J205+J224+J243+J262</f>
        <v>3631.17509821249</v>
      </c>
      <c r="E279" s="24" t="n">
        <f aca="false">K148+K167+K186+K205+K224+K243+K262</f>
        <v>23804.3700882819</v>
      </c>
    </row>
    <row r="280" customFormat="false" ht="15" hidden="false" customHeight="false" outlineLevel="0" collapsed="false">
      <c r="B280" s="10" t="s">
        <v>122</v>
      </c>
      <c r="C280" s="24" t="n">
        <f aca="false">I149+I168+I187+I206+I225+I244+I263</f>
        <v>25243.0509721736</v>
      </c>
      <c r="D280" s="24" t="n">
        <f aca="false">J149+J168+J187+J206+J225+J244+J263</f>
        <v>4543.74917499125</v>
      </c>
      <c r="E280" s="24" t="n">
        <f aca="false">K149+K168+K187+K206+K225+K244+K263</f>
        <v>29786.8001471649</v>
      </c>
    </row>
    <row r="281" customFormat="false" ht="15" hidden="false" customHeight="false" outlineLevel="0" collapsed="false">
      <c r="B281" s="10" t="s">
        <v>123</v>
      </c>
      <c r="C281" s="24" t="n">
        <f aca="false">I150+I169+I188+I207+I226+I245+I264</f>
        <v>25020.9983114147</v>
      </c>
      <c r="D281" s="24" t="n">
        <f aca="false">J150+J169+J188+J207+J226+J245+J264</f>
        <v>4503.77969605465</v>
      </c>
      <c r="E281" s="24" t="n">
        <f aca="false">K150+K169+K188+K207+K226+K245+K264</f>
        <v>29524.7780074694</v>
      </c>
    </row>
    <row r="282" customFormat="false" ht="15" hidden="false" customHeight="false" outlineLevel="0" collapsed="false">
      <c r="B282" s="38" t="s">
        <v>124</v>
      </c>
      <c r="C282" s="44" t="n">
        <f aca="false">SUM(C270:C281)</f>
        <v>247245.908165612</v>
      </c>
      <c r="D282" s="44" t="n">
        <f aca="false">SUM(D270:D281)</f>
        <v>44504.2634698102</v>
      </c>
      <c r="E282" s="44" t="n">
        <f aca="false">SUM(E270:E281)</f>
        <v>291750.171635422</v>
      </c>
    </row>
  </sheetData>
  <mergeCells count="38">
    <mergeCell ref="A1:K1"/>
    <mergeCell ref="A2:K2"/>
    <mergeCell ref="C10:G10"/>
    <mergeCell ref="C11:G11"/>
    <mergeCell ref="A13:K13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I35:K35"/>
    <mergeCell ref="I36:K36"/>
    <mergeCell ref="I37:K37"/>
    <mergeCell ref="I38:K38"/>
    <mergeCell ref="I39:K39"/>
    <mergeCell ref="I40:K40"/>
    <mergeCell ref="I41:K41"/>
    <mergeCell ref="I42:K42"/>
    <mergeCell ref="I46:K46"/>
    <mergeCell ref="I47:K47"/>
    <mergeCell ref="I48:K48"/>
    <mergeCell ref="I49:K49"/>
    <mergeCell ref="I50:K50"/>
    <mergeCell ref="I51:K51"/>
    <mergeCell ref="I52:K52"/>
    <mergeCell ref="I53:K53"/>
    <mergeCell ref="A70:K70"/>
    <mergeCell ref="A90:K90"/>
    <mergeCell ref="A131:K131"/>
  </mergeCells>
  <dataValidations count="2">
    <dataValidation allowBlank="true" errorStyle="stop" operator="between" showDropDown="false" showErrorMessage="false" showInputMessage="false" sqref="E58:E63" type="list">
      <formula1>"MPI,No es materia prima"</formula1>
      <formula2>0</formula2>
    </dataValidation>
    <dataValidation allowBlank="true" errorStyle="stop" operator="between" showDropDown="false" showErrorMessage="false" showInputMessage="false" sqref="F58:F63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217</v>
      </c>
    </row>
    <row r="6" customFormat="false" ht="15" hidden="false" customHeight="false" outlineLevel="0" collapsed="false">
      <c r="B6" s="14" t="s">
        <v>218</v>
      </c>
    </row>
    <row r="7" customFormat="false" ht="15" hidden="false" customHeight="false" outlineLevel="0" collapsed="false">
      <c r="B7" s="14" t="s">
        <v>219</v>
      </c>
    </row>
    <row r="9" customFormat="false" ht="15" hidden="false" customHeight="false" outlineLevel="0" collapsed="false">
      <c r="B9" s="11" t="s">
        <v>34</v>
      </c>
      <c r="C9" s="15" t="n">
        <v>0.18</v>
      </c>
    </row>
    <row r="10" customFormat="false" ht="15" hidden="false" customHeight="false" outlineLevel="0" collapsed="false">
      <c r="B10" s="11" t="s">
        <v>35</v>
      </c>
      <c r="C10" s="10" t="s">
        <v>220</v>
      </c>
      <c r="D10" s="10"/>
      <c r="E10" s="10"/>
      <c r="F10" s="10"/>
      <c r="G10" s="10"/>
    </row>
    <row r="11" customFormat="false" ht="15" hidden="false" customHeight="false" outlineLevel="0" collapsed="false">
      <c r="B11" s="11" t="s">
        <v>37</v>
      </c>
      <c r="C11" s="10" t="s">
        <v>221</v>
      </c>
      <c r="D11" s="10"/>
      <c r="E11" s="10"/>
      <c r="F11" s="10"/>
      <c r="G11" s="10"/>
    </row>
    <row r="13" customFormat="false" ht="19.5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B14" s="17" t="s">
        <v>40</v>
      </c>
    </row>
    <row r="16" customFormat="false" ht="15" hidden="false" customHeight="false" outlineLevel="0" collapsed="false">
      <c r="B16" s="18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</row>
    <row r="18" customFormat="false" ht="30" hidden="false" customHeight="true" outlineLevel="0" collapsed="false">
      <c r="A18" s="19" t="n">
        <v>1</v>
      </c>
      <c r="B18" s="20" t="s">
        <v>222</v>
      </c>
      <c r="C18" s="20" t="s">
        <v>71</v>
      </c>
      <c r="D18" s="21" t="n">
        <v>1000</v>
      </c>
      <c r="E18" s="19" t="s">
        <v>72</v>
      </c>
      <c r="F18" s="22" t="n">
        <v>236</v>
      </c>
      <c r="G18" s="23" t="s">
        <v>55</v>
      </c>
      <c r="H18" s="24" t="n">
        <f aca="false">IF(G18="Sí",F18/(1+$C$9),F18)</f>
        <v>200</v>
      </c>
      <c r="I18" s="25" t="n">
        <f aca="false">H18/D18</f>
        <v>0.2</v>
      </c>
      <c r="J18" s="26" t="s">
        <v>73</v>
      </c>
      <c r="K18" s="26"/>
    </row>
    <row r="19" customFormat="false" ht="30" hidden="false" customHeight="true" outlineLevel="0" collapsed="false">
      <c r="A19" s="19" t="n">
        <v>2</v>
      </c>
      <c r="B19" s="20" t="s">
        <v>223</v>
      </c>
      <c r="C19" s="20" t="s">
        <v>68</v>
      </c>
      <c r="D19" s="21" t="n">
        <v>1</v>
      </c>
      <c r="E19" s="19" t="s">
        <v>69</v>
      </c>
      <c r="F19" s="22" t="n">
        <v>88.5</v>
      </c>
      <c r="G19" s="23" t="s">
        <v>55</v>
      </c>
      <c r="H19" s="24" t="n">
        <f aca="false">IF(G19="Sí",F19/(1+$C$9),F19)</f>
        <v>75</v>
      </c>
      <c r="I19" s="25" t="n">
        <f aca="false">H19/D19</f>
        <v>75</v>
      </c>
      <c r="J19" s="26" t="s">
        <v>224</v>
      </c>
      <c r="K19" s="26"/>
    </row>
    <row r="20" customFormat="false" ht="15" hidden="false" customHeight="false" outlineLevel="0" collapsed="false">
      <c r="B20" s="27" t="s">
        <v>76</v>
      </c>
    </row>
    <row r="21" customFormat="false" ht="15" hidden="false" customHeight="false" outlineLevel="0" collapsed="false">
      <c r="B21" s="27" t="s">
        <v>77</v>
      </c>
    </row>
    <row r="23" customFormat="false" ht="15" hidden="false" customHeight="false" outlineLevel="0" collapsed="false">
      <c r="B23" s="18" t="s">
        <v>225</v>
      </c>
    </row>
    <row r="24" customFormat="false" ht="39.75" hidden="false" customHeight="true" outlineLevel="0" collapsed="false">
      <c r="B24" s="46" t="s">
        <v>226</v>
      </c>
      <c r="C24" s="46"/>
      <c r="D24" s="46"/>
      <c r="E24" s="46"/>
      <c r="F24" s="46"/>
      <c r="G24" s="46"/>
      <c r="H24" s="46"/>
      <c r="I24" s="46"/>
      <c r="J24" s="46"/>
      <c r="K24" s="46"/>
    </row>
    <row r="26" customFormat="false" ht="15" hidden="false" customHeight="false" outlineLevel="0" collapsed="false">
      <c r="B26" s="28" t="s">
        <v>91</v>
      </c>
    </row>
    <row r="27" customFormat="false" ht="31.5" hidden="false" customHeight="true" outlineLevel="0" collapsed="false">
      <c r="A27" s="5" t="s">
        <v>42</v>
      </c>
      <c r="B27" s="5" t="s">
        <v>43</v>
      </c>
      <c r="C27" s="5" t="s">
        <v>92</v>
      </c>
      <c r="D27" s="5" t="s">
        <v>46</v>
      </c>
      <c r="E27" s="5" t="s">
        <v>93</v>
      </c>
      <c r="F27" s="5" t="s">
        <v>94</v>
      </c>
      <c r="G27" s="5" t="s">
        <v>95</v>
      </c>
    </row>
    <row r="28" customFormat="false" ht="25.5" hidden="false" customHeight="true" outlineLevel="0" collapsed="false">
      <c r="A28" s="19" t="n">
        <v>1</v>
      </c>
      <c r="B28" s="20" t="s">
        <v>222</v>
      </c>
      <c r="C28" s="34" t="n">
        <v>300</v>
      </c>
      <c r="D28" s="19" t="s">
        <v>72</v>
      </c>
      <c r="E28" s="35" t="s">
        <v>98</v>
      </c>
      <c r="F28" s="35" t="s">
        <v>99</v>
      </c>
      <c r="G28" s="24" t="n">
        <f aca="false">C28*I18</f>
        <v>60</v>
      </c>
    </row>
    <row r="29" customFormat="false" ht="25.5" hidden="false" customHeight="true" outlineLevel="0" collapsed="false">
      <c r="A29" s="19" t="n">
        <v>2</v>
      </c>
      <c r="B29" s="20" t="s">
        <v>223</v>
      </c>
      <c r="C29" s="34" t="n">
        <v>1</v>
      </c>
      <c r="D29" s="19" t="s">
        <v>69</v>
      </c>
      <c r="E29" s="35" t="s">
        <v>98</v>
      </c>
      <c r="F29" s="35" t="s">
        <v>100</v>
      </c>
      <c r="G29" s="24" t="n">
        <f aca="false">C29*I19</f>
        <v>75</v>
      </c>
    </row>
    <row r="31" customFormat="false" ht="25.5" hidden="false" customHeight="true" outlineLevel="0" collapsed="false">
      <c r="B31" s="6" t="s">
        <v>101</v>
      </c>
      <c r="C31" s="36" t="n">
        <f aca="false">SUMIF(F28:F29,"CIF",G28:G29)</f>
        <v>0</v>
      </c>
    </row>
    <row r="32" customFormat="false" ht="25.5" hidden="false" customHeight="true" outlineLevel="0" collapsed="false">
      <c r="B32" s="6" t="s">
        <v>102</v>
      </c>
      <c r="C32" s="36" t="n">
        <f aca="false">SUMIF(F28:F29,"Gasto administrativo",G28:G29)</f>
        <v>75</v>
      </c>
    </row>
    <row r="33" customFormat="false" ht="25.5" hidden="false" customHeight="true" outlineLevel="0" collapsed="false">
      <c r="B33" s="6" t="s">
        <v>103</v>
      </c>
      <c r="C33" s="36" t="n">
        <f aca="false">SUMIF(F28:F29,"Gasto de ventas",G28:G29)</f>
        <v>60</v>
      </c>
    </row>
    <row r="34" customFormat="false" ht="15" hidden="false" customHeight="false" outlineLevel="0" collapsed="false">
      <c r="B34" s="27" t="s">
        <v>104</v>
      </c>
    </row>
    <row r="36" customFormat="false" ht="19.5" hidden="false" customHeight="true" outlineLevel="0" collapsed="false">
      <c r="A36" s="16" t="s">
        <v>105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customFormat="false" ht="15" hidden="false" customHeight="false" outlineLevel="0" collapsed="false">
      <c r="B37" s="17" t="s">
        <v>106</v>
      </c>
    </row>
    <row r="38" customFormat="false" ht="15" hidden="false" customHeight="false" outlineLevel="0" collapsed="false">
      <c r="B38" s="28" t="s">
        <v>107</v>
      </c>
    </row>
    <row r="39" customFormat="false" ht="30" hidden="false" customHeight="true" outlineLevel="0" collapsed="false">
      <c r="B39" s="5" t="s">
        <v>108</v>
      </c>
      <c r="C39" s="5" t="s">
        <v>227</v>
      </c>
      <c r="D39" s="5" t="s">
        <v>228</v>
      </c>
      <c r="E39" s="5" t="s">
        <v>111</v>
      </c>
    </row>
    <row r="40" customFormat="false" ht="15" hidden="false" customHeight="false" outlineLevel="0" collapsed="false">
      <c r="B40" s="10" t="s">
        <v>112</v>
      </c>
      <c r="C40" s="34" t="n">
        <v>40</v>
      </c>
      <c r="D40" s="34" t="n">
        <v>20</v>
      </c>
      <c r="E40" s="37" t="n">
        <f aca="false">C40+D40</f>
        <v>60</v>
      </c>
    </row>
    <row r="41" customFormat="false" ht="15" hidden="false" customHeight="false" outlineLevel="0" collapsed="false">
      <c r="B41" s="10" t="s">
        <v>113</v>
      </c>
      <c r="C41" s="34" t="n">
        <v>40</v>
      </c>
      <c r="D41" s="34" t="n">
        <v>20</v>
      </c>
      <c r="E41" s="37" t="n">
        <f aca="false">C41+D41</f>
        <v>60</v>
      </c>
    </row>
    <row r="42" customFormat="false" ht="15" hidden="false" customHeight="false" outlineLevel="0" collapsed="false">
      <c r="B42" s="10" t="s">
        <v>114</v>
      </c>
      <c r="C42" s="34" t="n">
        <v>20</v>
      </c>
      <c r="D42" s="34" t="n">
        <v>20</v>
      </c>
      <c r="E42" s="37" t="n">
        <f aca="false">C42+D42</f>
        <v>40</v>
      </c>
    </row>
    <row r="43" customFormat="false" ht="15" hidden="false" customHeight="false" outlineLevel="0" collapsed="false">
      <c r="B43" s="10" t="s">
        <v>115</v>
      </c>
      <c r="C43" s="34" t="n">
        <v>40</v>
      </c>
      <c r="D43" s="34" t="n">
        <v>40</v>
      </c>
      <c r="E43" s="37" t="n">
        <f aca="false">C43+D43</f>
        <v>80</v>
      </c>
    </row>
    <row r="44" customFormat="false" ht="15" hidden="false" customHeight="false" outlineLevel="0" collapsed="false">
      <c r="B44" s="10" t="s">
        <v>116</v>
      </c>
      <c r="C44" s="34" t="n">
        <v>40</v>
      </c>
      <c r="D44" s="34" t="n">
        <v>20</v>
      </c>
      <c r="E44" s="37" t="n">
        <f aca="false">C44+D44</f>
        <v>60</v>
      </c>
    </row>
    <row r="45" customFormat="false" ht="15" hidden="false" customHeight="false" outlineLevel="0" collapsed="false">
      <c r="B45" s="10" t="s">
        <v>117</v>
      </c>
      <c r="C45" s="34" t="n">
        <v>40</v>
      </c>
      <c r="D45" s="34" t="n">
        <v>20</v>
      </c>
      <c r="E45" s="37" t="n">
        <f aca="false">C45+D45</f>
        <v>60</v>
      </c>
    </row>
    <row r="46" customFormat="false" ht="15" hidden="false" customHeight="false" outlineLevel="0" collapsed="false">
      <c r="B46" s="10" t="s">
        <v>118</v>
      </c>
      <c r="C46" s="34" t="n">
        <v>60</v>
      </c>
      <c r="D46" s="34" t="n">
        <v>40</v>
      </c>
      <c r="E46" s="37" t="n">
        <f aca="false">C46+D46</f>
        <v>100</v>
      </c>
    </row>
    <row r="47" customFormat="false" ht="15" hidden="false" customHeight="false" outlineLevel="0" collapsed="false">
      <c r="B47" s="10" t="s">
        <v>119</v>
      </c>
      <c r="C47" s="34" t="n">
        <v>40</v>
      </c>
      <c r="D47" s="34" t="n">
        <v>20</v>
      </c>
      <c r="E47" s="37" t="n">
        <f aca="false">C47+D47</f>
        <v>60</v>
      </c>
    </row>
    <row r="48" customFormat="false" ht="15" hidden="false" customHeight="false" outlineLevel="0" collapsed="false">
      <c r="B48" s="10" t="s">
        <v>120</v>
      </c>
      <c r="C48" s="34" t="n">
        <v>40</v>
      </c>
      <c r="D48" s="34" t="n">
        <v>20</v>
      </c>
      <c r="E48" s="37" t="n">
        <f aca="false">C48+D48</f>
        <v>60</v>
      </c>
    </row>
    <row r="49" customFormat="false" ht="15" hidden="false" customHeight="false" outlineLevel="0" collapsed="false">
      <c r="B49" s="10" t="s">
        <v>121</v>
      </c>
      <c r="C49" s="34" t="n">
        <v>40</v>
      </c>
      <c r="D49" s="34" t="n">
        <v>40</v>
      </c>
      <c r="E49" s="37" t="n">
        <f aca="false">C49+D49</f>
        <v>80</v>
      </c>
    </row>
    <row r="50" customFormat="false" ht="15" hidden="false" customHeight="false" outlineLevel="0" collapsed="false">
      <c r="B50" s="10" t="s">
        <v>122</v>
      </c>
      <c r="C50" s="34" t="n">
        <v>40</v>
      </c>
      <c r="D50" s="34" t="n">
        <v>20</v>
      </c>
      <c r="E50" s="37" t="n">
        <f aca="false">C50+D50</f>
        <v>60</v>
      </c>
    </row>
    <row r="51" customFormat="false" ht="15" hidden="false" customHeight="false" outlineLevel="0" collapsed="false">
      <c r="B51" s="10" t="s">
        <v>123</v>
      </c>
      <c r="C51" s="34" t="n">
        <v>20</v>
      </c>
      <c r="D51" s="34" t="n">
        <v>20</v>
      </c>
      <c r="E51" s="37" t="n">
        <f aca="false">C51+D51</f>
        <v>40</v>
      </c>
    </row>
    <row r="52" customFormat="false" ht="15" hidden="false" customHeight="false" outlineLevel="0" collapsed="false">
      <c r="B52" s="38" t="s">
        <v>124</v>
      </c>
      <c r="C52" s="39" t="n">
        <f aca="false">SUM(C40:C51)</f>
        <v>460</v>
      </c>
      <c r="D52" s="39" t="n">
        <f aca="false">SUM(D40:D51)</f>
        <v>300</v>
      </c>
      <c r="E52" s="39" t="n">
        <f aca="false">SUM(E40:E51)</f>
        <v>760</v>
      </c>
    </row>
    <row r="53" customFormat="false" ht="15" hidden="false" customHeight="false" outlineLevel="0" collapsed="false">
      <c r="B53" s="10" t="s">
        <v>125</v>
      </c>
      <c r="C53" s="34" t="n">
        <v>40</v>
      </c>
      <c r="D53" s="34" t="n">
        <v>20</v>
      </c>
      <c r="E53" s="19" t="s">
        <v>126</v>
      </c>
    </row>
    <row r="54" customFormat="false" ht="15" hidden="false" customHeight="false" outlineLevel="0" collapsed="false">
      <c r="B54" s="10" t="s">
        <v>127</v>
      </c>
      <c r="C54" s="34" t="n">
        <v>40</v>
      </c>
      <c r="D54" s="34" t="n">
        <v>20</v>
      </c>
      <c r="E54" s="19" t="s">
        <v>126</v>
      </c>
    </row>
    <row r="56" customFormat="false" ht="19.5" hidden="false" customHeight="true" outlineLevel="0" collapsed="false">
      <c r="A56" s="16" t="s">
        <v>128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customFormat="false" ht="15" hidden="false" customHeight="false" outlineLevel="0" collapsed="false">
      <c r="B57" s="17" t="s">
        <v>129</v>
      </c>
    </row>
    <row r="58" customFormat="false" ht="15" hidden="false" customHeight="false" outlineLevel="0" collapsed="false">
      <c r="B58" s="11" t="s">
        <v>229</v>
      </c>
      <c r="C58" s="34" t="n">
        <v>20</v>
      </c>
    </row>
    <row r="59" customFormat="false" ht="15" hidden="false" customHeight="false" outlineLevel="0" collapsed="false">
      <c r="B59" s="11" t="s">
        <v>230</v>
      </c>
      <c r="C59" s="47" t="n">
        <v>4.5</v>
      </c>
    </row>
    <row r="60" customFormat="false" ht="15" hidden="false" customHeight="false" outlineLevel="0" collapsed="false">
      <c r="B60" s="11" t="s">
        <v>231</v>
      </c>
      <c r="C60" s="47" t="n">
        <v>9</v>
      </c>
    </row>
    <row r="61" customFormat="false" ht="15" hidden="false" customHeight="false" outlineLevel="0" collapsed="false">
      <c r="B61" s="27" t="s">
        <v>232</v>
      </c>
    </row>
    <row r="62" customFormat="false" ht="15" hidden="false" customHeight="false" outlineLevel="0" collapsed="false">
      <c r="B62" s="28" t="s">
        <v>233</v>
      </c>
    </row>
    <row r="63" customFormat="false" ht="31.5" hidden="false" customHeight="true" outlineLevel="0" collapsed="false">
      <c r="B63" s="5" t="s">
        <v>108</v>
      </c>
      <c r="C63" s="5" t="s">
        <v>234</v>
      </c>
      <c r="D63" s="5" t="s">
        <v>235</v>
      </c>
      <c r="E63" s="5" t="s">
        <v>236</v>
      </c>
      <c r="F63" s="5" t="s">
        <v>237</v>
      </c>
      <c r="G63" s="5" t="s">
        <v>238</v>
      </c>
    </row>
    <row r="64" customFormat="false" ht="15" hidden="false" customHeight="false" outlineLevel="0" collapsed="false">
      <c r="B64" s="10" t="s">
        <v>112</v>
      </c>
      <c r="C64" s="37" t="n">
        <f aca="false">C40</f>
        <v>40</v>
      </c>
      <c r="D64" s="37" t="n">
        <f aca="false">ROUNDUP(C64/$C$58,0)</f>
        <v>2</v>
      </c>
      <c r="E64" s="37" t="n">
        <f aca="false">D40</f>
        <v>20</v>
      </c>
      <c r="F64" s="37" t="n">
        <f aca="false">ROUNDUP(E64/$C$58,0)</f>
        <v>1</v>
      </c>
      <c r="G64" s="48" t="n">
        <f aca="false">D64*$C$59+F64*$C$60</f>
        <v>18</v>
      </c>
    </row>
    <row r="65" customFormat="false" ht="15" hidden="false" customHeight="false" outlineLevel="0" collapsed="false">
      <c r="B65" s="10" t="s">
        <v>113</v>
      </c>
      <c r="C65" s="37" t="n">
        <f aca="false">C41</f>
        <v>40</v>
      </c>
      <c r="D65" s="37" t="n">
        <f aca="false">ROUNDUP(C65/$C$58,0)</f>
        <v>2</v>
      </c>
      <c r="E65" s="37" t="n">
        <f aca="false">D41</f>
        <v>20</v>
      </c>
      <c r="F65" s="37" t="n">
        <f aca="false">ROUNDUP(E65/$C$58,0)</f>
        <v>1</v>
      </c>
      <c r="G65" s="48" t="n">
        <f aca="false">D65*$C$59+F65*$C$60</f>
        <v>18</v>
      </c>
    </row>
    <row r="66" customFormat="false" ht="15" hidden="false" customHeight="false" outlineLevel="0" collapsed="false">
      <c r="B66" s="10" t="s">
        <v>114</v>
      </c>
      <c r="C66" s="37" t="n">
        <f aca="false">C42</f>
        <v>20</v>
      </c>
      <c r="D66" s="37" t="n">
        <f aca="false">ROUNDUP(C66/$C$58,0)</f>
        <v>1</v>
      </c>
      <c r="E66" s="37" t="n">
        <f aca="false">D42</f>
        <v>20</v>
      </c>
      <c r="F66" s="37" t="n">
        <f aca="false">ROUNDUP(E66/$C$58,0)</f>
        <v>1</v>
      </c>
      <c r="G66" s="48" t="n">
        <f aca="false">D66*$C$59+F66*$C$60</f>
        <v>13.5</v>
      </c>
    </row>
    <row r="67" customFormat="false" ht="15" hidden="false" customHeight="false" outlineLevel="0" collapsed="false">
      <c r="B67" s="10" t="s">
        <v>115</v>
      </c>
      <c r="C67" s="37" t="n">
        <f aca="false">C43</f>
        <v>40</v>
      </c>
      <c r="D67" s="37" t="n">
        <f aca="false">ROUNDUP(C67/$C$58,0)</f>
        <v>2</v>
      </c>
      <c r="E67" s="37" t="n">
        <f aca="false">D43</f>
        <v>40</v>
      </c>
      <c r="F67" s="37" t="n">
        <f aca="false">ROUNDUP(E67/$C$58,0)</f>
        <v>2</v>
      </c>
      <c r="G67" s="48" t="n">
        <f aca="false">D67*$C$59+F67*$C$60</f>
        <v>27</v>
      </c>
    </row>
    <row r="68" customFormat="false" ht="15" hidden="false" customHeight="false" outlineLevel="0" collapsed="false">
      <c r="B68" s="10" t="s">
        <v>116</v>
      </c>
      <c r="C68" s="37" t="n">
        <f aca="false">C44</f>
        <v>40</v>
      </c>
      <c r="D68" s="37" t="n">
        <f aca="false">ROUNDUP(C68/$C$58,0)</f>
        <v>2</v>
      </c>
      <c r="E68" s="37" t="n">
        <f aca="false">D44</f>
        <v>20</v>
      </c>
      <c r="F68" s="37" t="n">
        <f aca="false">ROUNDUP(E68/$C$58,0)</f>
        <v>1</v>
      </c>
      <c r="G68" s="48" t="n">
        <f aca="false">D68*$C$59+F68*$C$60</f>
        <v>18</v>
      </c>
    </row>
    <row r="69" customFormat="false" ht="15" hidden="false" customHeight="false" outlineLevel="0" collapsed="false">
      <c r="B69" s="10" t="s">
        <v>117</v>
      </c>
      <c r="C69" s="37" t="n">
        <f aca="false">C45</f>
        <v>40</v>
      </c>
      <c r="D69" s="37" t="n">
        <f aca="false">ROUNDUP(C69/$C$58,0)</f>
        <v>2</v>
      </c>
      <c r="E69" s="37" t="n">
        <f aca="false">D45</f>
        <v>20</v>
      </c>
      <c r="F69" s="37" t="n">
        <f aca="false">ROUNDUP(E69/$C$58,0)</f>
        <v>1</v>
      </c>
      <c r="G69" s="48" t="n">
        <f aca="false">D69*$C$59+F69*$C$60</f>
        <v>18</v>
      </c>
    </row>
    <row r="70" customFormat="false" ht="15" hidden="false" customHeight="false" outlineLevel="0" collapsed="false">
      <c r="B70" s="10" t="s">
        <v>118</v>
      </c>
      <c r="C70" s="37" t="n">
        <f aca="false">C46</f>
        <v>60</v>
      </c>
      <c r="D70" s="37" t="n">
        <f aca="false">ROUNDUP(C70/$C$58,0)</f>
        <v>3</v>
      </c>
      <c r="E70" s="37" t="n">
        <f aca="false">D46</f>
        <v>40</v>
      </c>
      <c r="F70" s="37" t="n">
        <f aca="false">ROUNDUP(E70/$C$58,0)</f>
        <v>2</v>
      </c>
      <c r="G70" s="48" t="n">
        <f aca="false">D70*$C$59+F70*$C$60</f>
        <v>31.5</v>
      </c>
    </row>
    <row r="71" customFormat="false" ht="15" hidden="false" customHeight="false" outlineLevel="0" collapsed="false">
      <c r="B71" s="10" t="s">
        <v>119</v>
      </c>
      <c r="C71" s="37" t="n">
        <f aca="false">C47</f>
        <v>40</v>
      </c>
      <c r="D71" s="37" t="n">
        <f aca="false">ROUNDUP(C71/$C$58,0)</f>
        <v>2</v>
      </c>
      <c r="E71" s="37" t="n">
        <f aca="false">D47</f>
        <v>20</v>
      </c>
      <c r="F71" s="37" t="n">
        <f aca="false">ROUNDUP(E71/$C$58,0)</f>
        <v>1</v>
      </c>
      <c r="G71" s="48" t="n">
        <f aca="false">D71*$C$59+F71*$C$60</f>
        <v>18</v>
      </c>
    </row>
    <row r="72" customFormat="false" ht="15" hidden="false" customHeight="false" outlineLevel="0" collapsed="false">
      <c r="B72" s="10" t="s">
        <v>120</v>
      </c>
      <c r="C72" s="37" t="n">
        <f aca="false">C48</f>
        <v>40</v>
      </c>
      <c r="D72" s="37" t="n">
        <f aca="false">ROUNDUP(C72/$C$58,0)</f>
        <v>2</v>
      </c>
      <c r="E72" s="37" t="n">
        <f aca="false">D48</f>
        <v>20</v>
      </c>
      <c r="F72" s="37" t="n">
        <f aca="false">ROUNDUP(E72/$C$58,0)</f>
        <v>1</v>
      </c>
      <c r="G72" s="48" t="n">
        <f aca="false">D72*$C$59+F72*$C$60</f>
        <v>18</v>
      </c>
    </row>
    <row r="73" customFormat="false" ht="15" hidden="false" customHeight="false" outlineLevel="0" collapsed="false">
      <c r="B73" s="10" t="s">
        <v>121</v>
      </c>
      <c r="C73" s="37" t="n">
        <f aca="false">C49</f>
        <v>40</v>
      </c>
      <c r="D73" s="37" t="n">
        <f aca="false">ROUNDUP(C73/$C$58,0)</f>
        <v>2</v>
      </c>
      <c r="E73" s="37" t="n">
        <f aca="false">D49</f>
        <v>40</v>
      </c>
      <c r="F73" s="37" t="n">
        <f aca="false">ROUNDUP(E73/$C$58,0)</f>
        <v>2</v>
      </c>
      <c r="G73" s="48" t="n">
        <f aca="false">D73*$C$59+F73*$C$60</f>
        <v>27</v>
      </c>
    </row>
    <row r="74" customFormat="false" ht="15" hidden="false" customHeight="false" outlineLevel="0" collapsed="false">
      <c r="B74" s="10" t="s">
        <v>122</v>
      </c>
      <c r="C74" s="37" t="n">
        <f aca="false">C50</f>
        <v>40</v>
      </c>
      <c r="D74" s="37" t="n">
        <f aca="false">ROUNDUP(C74/$C$58,0)</f>
        <v>2</v>
      </c>
      <c r="E74" s="37" t="n">
        <f aca="false">D50</f>
        <v>20</v>
      </c>
      <c r="F74" s="37" t="n">
        <f aca="false">ROUNDUP(E74/$C$58,0)</f>
        <v>1</v>
      </c>
      <c r="G74" s="48" t="n">
        <f aca="false">D74*$C$59+F74*$C$60</f>
        <v>18</v>
      </c>
    </row>
    <row r="75" customFormat="false" ht="15" hidden="false" customHeight="false" outlineLevel="0" collapsed="false">
      <c r="B75" s="10" t="s">
        <v>123</v>
      </c>
      <c r="C75" s="37" t="n">
        <f aca="false">C51</f>
        <v>20</v>
      </c>
      <c r="D75" s="37" t="n">
        <f aca="false">ROUNDUP(C75/$C$58,0)</f>
        <v>1</v>
      </c>
      <c r="E75" s="37" t="n">
        <f aca="false">D51</f>
        <v>20</v>
      </c>
      <c r="F75" s="37" t="n">
        <f aca="false">ROUNDUP(E75/$C$58,0)</f>
        <v>1</v>
      </c>
      <c r="G75" s="48" t="n">
        <f aca="false">D75*$C$59+F75*$C$60</f>
        <v>13.5</v>
      </c>
    </row>
    <row r="76" customFormat="false" ht="15" hidden="false" customHeight="false" outlineLevel="0" collapsed="false">
      <c r="B76" s="38" t="s">
        <v>124</v>
      </c>
      <c r="C76" s="39" t="n">
        <f aca="false">SUM(C64:C75)</f>
        <v>460</v>
      </c>
      <c r="D76" s="39" t="n">
        <f aca="false">SUM(D64:D75)</f>
        <v>23</v>
      </c>
      <c r="E76" s="39" t="n">
        <f aca="false">SUM(E64:E75)</f>
        <v>300</v>
      </c>
      <c r="F76" s="39" t="n">
        <f aca="false">SUM(F64:F75)</f>
        <v>15</v>
      </c>
      <c r="G76" s="49" t="n">
        <f aca="false">SUM(G64:G75)</f>
        <v>238.5</v>
      </c>
    </row>
    <row r="78" customFormat="false" ht="19.5" hidden="false" customHeight="true" outlineLevel="0" collapsed="false">
      <c r="A78" s="16" t="s">
        <v>133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customFormat="false" ht="15" hidden="false" customHeight="false" outlineLevel="0" collapsed="false">
      <c r="B79" s="27" t="s">
        <v>239</v>
      </c>
    </row>
  </sheetData>
  <mergeCells count="12">
    <mergeCell ref="A1:K1"/>
    <mergeCell ref="A2:K2"/>
    <mergeCell ref="C10:G10"/>
    <mergeCell ref="C11:G11"/>
    <mergeCell ref="A13:K13"/>
    <mergeCell ref="J17:K17"/>
    <mergeCell ref="J18:K18"/>
    <mergeCell ref="J19:K19"/>
    <mergeCell ref="B24:K24"/>
    <mergeCell ref="A36:K36"/>
    <mergeCell ref="A56:K56"/>
    <mergeCell ref="A78:K78"/>
  </mergeCells>
  <dataValidations count="2">
    <dataValidation allowBlank="true" errorStyle="stop" operator="between" showDropDown="false" showErrorMessage="false" showInputMessage="false" sqref="E28:E29" type="list">
      <formula1>"MPI,No es materia prima"</formula1>
      <formula2>0</formula2>
    </dataValidation>
    <dataValidation allowBlank="true" errorStyle="stop" operator="between" showDropDown="false" showErrorMessage="false" showInputMessage="false" sqref="F28:F29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241</v>
      </c>
    </row>
    <row r="6" customFormat="false" ht="15" hidden="false" customHeight="false" outlineLevel="0" collapsed="false">
      <c r="B6" s="14" t="s">
        <v>242</v>
      </c>
    </row>
    <row r="7" customFormat="false" ht="15" hidden="false" customHeight="false" outlineLevel="0" collapsed="false">
      <c r="B7" s="14" t="s">
        <v>243</v>
      </c>
    </row>
    <row r="8" customFormat="false" ht="15" hidden="false" customHeight="false" outlineLevel="0" collapsed="false">
      <c r="B8" s="14" t="s">
        <v>244</v>
      </c>
    </row>
    <row r="10" customFormat="false" ht="15" hidden="false" customHeight="false" outlineLevel="0" collapsed="false">
      <c r="B10" s="11" t="s">
        <v>34</v>
      </c>
      <c r="C10" s="15" t="n">
        <v>0.18</v>
      </c>
    </row>
    <row r="11" customFormat="false" ht="15" hidden="false" customHeight="false" outlineLevel="0" collapsed="false">
      <c r="B11" s="11" t="s">
        <v>35</v>
      </c>
      <c r="C11" s="10" t="s">
        <v>245</v>
      </c>
      <c r="D11" s="10"/>
      <c r="E11" s="10"/>
      <c r="F11" s="10"/>
      <c r="G11" s="10"/>
    </row>
    <row r="12" customFormat="false" ht="15" hidden="false" customHeight="false" outlineLevel="0" collapsed="false">
      <c r="B12" s="11" t="s">
        <v>37</v>
      </c>
      <c r="C12" s="10" t="s">
        <v>246</v>
      </c>
      <c r="D12" s="10"/>
      <c r="E12" s="10"/>
      <c r="F12" s="10"/>
      <c r="G12" s="10"/>
    </row>
    <row r="14" customFormat="false" ht="19.5" hidden="false" customHeight="true" outlineLevel="0" collapsed="false">
      <c r="A14" s="16" t="s">
        <v>39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customFormat="false" ht="15" hidden="false" customHeight="false" outlineLevel="0" collapsed="false">
      <c r="B15" s="17" t="s">
        <v>40</v>
      </c>
    </row>
    <row r="17" customFormat="false" ht="15" hidden="false" customHeight="false" outlineLevel="0" collapsed="false">
      <c r="B17" s="18" t="s">
        <v>41</v>
      </c>
    </row>
    <row r="18" customFormat="false" ht="31.5" hidden="false" customHeight="true" outlineLevel="0" collapsed="false">
      <c r="A18" s="5" t="s">
        <v>42</v>
      </c>
      <c r="B18" s="5" t="s">
        <v>43</v>
      </c>
      <c r="C18" s="5" t="s">
        <v>44</v>
      </c>
      <c r="D18" s="5" t="s">
        <v>45</v>
      </c>
      <c r="E18" s="5" t="s">
        <v>46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</row>
    <row r="19" customFormat="false" ht="30" hidden="false" customHeight="true" outlineLevel="0" collapsed="false">
      <c r="A19" s="19" t="n">
        <v>1</v>
      </c>
      <c r="B19" s="20" t="s">
        <v>247</v>
      </c>
      <c r="C19" s="20" t="s">
        <v>248</v>
      </c>
      <c r="D19" s="21" t="n">
        <v>20</v>
      </c>
      <c r="E19" s="19" t="s">
        <v>249</v>
      </c>
      <c r="F19" s="22" t="n">
        <v>320</v>
      </c>
      <c r="G19" s="23" t="s">
        <v>55</v>
      </c>
      <c r="H19" s="24" t="n">
        <f aca="false">IF(G19="Sí",F19/(1+$C$10),F19)</f>
        <v>271.186440677966</v>
      </c>
      <c r="I19" s="25" t="n">
        <f aca="false">H19/D19</f>
        <v>13.5593220338983</v>
      </c>
      <c r="J19" s="26" t="s">
        <v>250</v>
      </c>
      <c r="K19" s="26"/>
    </row>
    <row r="20" customFormat="false" ht="30" hidden="false" customHeight="true" outlineLevel="0" collapsed="false">
      <c r="A20" s="19" t="n">
        <v>2</v>
      </c>
      <c r="B20" s="20" t="s">
        <v>251</v>
      </c>
      <c r="C20" s="20" t="s">
        <v>248</v>
      </c>
      <c r="D20" s="21" t="n">
        <v>20</v>
      </c>
      <c r="E20" s="19" t="s">
        <v>249</v>
      </c>
      <c r="F20" s="22" t="n">
        <v>380</v>
      </c>
      <c r="G20" s="23" t="s">
        <v>55</v>
      </c>
      <c r="H20" s="24" t="n">
        <f aca="false">IF(G20="Sí",F20/(1+$C$10),F20)</f>
        <v>322.033898305085</v>
      </c>
      <c r="I20" s="25" t="n">
        <f aca="false">H20/D20</f>
        <v>16.1016949152542</v>
      </c>
      <c r="J20" s="26" t="s">
        <v>250</v>
      </c>
      <c r="K20" s="26"/>
    </row>
    <row r="21" customFormat="false" ht="30" hidden="false" customHeight="true" outlineLevel="0" collapsed="false">
      <c r="A21" s="19" t="n">
        <v>3</v>
      </c>
      <c r="B21" s="20" t="s">
        <v>252</v>
      </c>
      <c r="C21" s="20" t="s">
        <v>253</v>
      </c>
      <c r="D21" s="21" t="n">
        <v>1</v>
      </c>
      <c r="E21" s="19" t="s">
        <v>254</v>
      </c>
      <c r="F21" s="22" t="n">
        <v>95</v>
      </c>
      <c r="G21" s="23" t="s">
        <v>55</v>
      </c>
      <c r="H21" s="24" t="n">
        <f aca="false">IF(G21="Sí",F21/(1+$C$10),F21)</f>
        <v>80.5084745762712</v>
      </c>
      <c r="I21" s="25" t="n">
        <f aca="false">H21/D21</f>
        <v>80.5084745762712</v>
      </c>
      <c r="J21" s="26" t="s">
        <v>255</v>
      </c>
      <c r="K21" s="26"/>
    </row>
    <row r="22" customFormat="false" ht="30" hidden="false" customHeight="true" outlineLevel="0" collapsed="false">
      <c r="A22" s="19" t="n">
        <v>4</v>
      </c>
      <c r="B22" s="20" t="s">
        <v>256</v>
      </c>
      <c r="C22" s="20" t="s">
        <v>181</v>
      </c>
      <c r="D22" s="21" t="n">
        <v>1</v>
      </c>
      <c r="E22" s="19" t="s">
        <v>182</v>
      </c>
      <c r="F22" s="22" t="n">
        <v>59</v>
      </c>
      <c r="G22" s="23" t="s">
        <v>55</v>
      </c>
      <c r="H22" s="24" t="n">
        <f aca="false">IF(G22="Sí",F22/(1+$C$10),F22)</f>
        <v>50</v>
      </c>
      <c r="I22" s="25" t="n">
        <f aca="false">H22/D22</f>
        <v>50</v>
      </c>
      <c r="J22" s="26" t="s">
        <v>257</v>
      </c>
      <c r="K22" s="26"/>
    </row>
    <row r="23" customFormat="false" ht="30" hidden="false" customHeight="true" outlineLevel="0" collapsed="false">
      <c r="A23" s="19" t="n">
        <v>5</v>
      </c>
      <c r="B23" s="20" t="s">
        <v>258</v>
      </c>
      <c r="C23" s="20" t="s">
        <v>68</v>
      </c>
      <c r="D23" s="21" t="n">
        <v>1</v>
      </c>
      <c r="E23" s="19" t="s">
        <v>69</v>
      </c>
      <c r="F23" s="22" t="n">
        <v>106.2</v>
      </c>
      <c r="G23" s="23" t="s">
        <v>55</v>
      </c>
      <c r="H23" s="24" t="n">
        <f aca="false">IF(G23="Sí",F23/(1+$C$10),F23)</f>
        <v>90</v>
      </c>
      <c r="I23" s="25" t="n">
        <f aca="false">H23/D23</f>
        <v>90</v>
      </c>
      <c r="J23" s="26" t="s">
        <v>75</v>
      </c>
      <c r="K23" s="26"/>
    </row>
    <row r="24" customFormat="false" ht="30" hidden="false" customHeight="true" outlineLevel="0" collapsed="false">
      <c r="A24" s="19" t="n">
        <v>6</v>
      </c>
      <c r="B24" s="20" t="s">
        <v>74</v>
      </c>
      <c r="C24" s="20" t="s">
        <v>68</v>
      </c>
      <c r="D24" s="21" t="n">
        <v>1</v>
      </c>
      <c r="E24" s="19" t="s">
        <v>69</v>
      </c>
      <c r="F24" s="22" t="n">
        <v>177</v>
      </c>
      <c r="G24" s="23" t="s">
        <v>55</v>
      </c>
      <c r="H24" s="24" t="n">
        <f aca="false">IF(G24="Sí",F24/(1+$C$10),F24)</f>
        <v>150</v>
      </c>
      <c r="I24" s="25" t="n">
        <f aca="false">H24/D24</f>
        <v>150</v>
      </c>
      <c r="J24" s="26" t="s">
        <v>75</v>
      </c>
      <c r="K24" s="26"/>
    </row>
    <row r="25" customFormat="false" ht="15" hidden="false" customHeight="false" outlineLevel="0" collapsed="false">
      <c r="B25" s="27" t="s">
        <v>76</v>
      </c>
    </row>
    <row r="26" customFormat="false" ht="15" hidden="false" customHeight="false" outlineLevel="0" collapsed="false">
      <c r="B26" s="27" t="s">
        <v>77</v>
      </c>
    </row>
    <row r="28" customFormat="false" ht="15" hidden="false" customHeight="false" outlineLevel="0" collapsed="false">
      <c r="B28" s="28" t="s">
        <v>259</v>
      </c>
    </row>
    <row r="29" customFormat="false" ht="31.5" hidden="false" customHeight="true" outlineLevel="0" collapsed="false">
      <c r="A29" s="5" t="s">
        <v>42</v>
      </c>
      <c r="B29" s="5" t="s">
        <v>43</v>
      </c>
      <c r="C29" s="5" t="s">
        <v>46</v>
      </c>
      <c r="D29" s="5" t="s">
        <v>79</v>
      </c>
      <c r="E29" s="5" t="s">
        <v>80</v>
      </c>
      <c r="F29" s="5" t="s">
        <v>81</v>
      </c>
      <c r="G29" s="5" t="s">
        <v>50</v>
      </c>
      <c r="H29" s="5" t="s">
        <v>260</v>
      </c>
      <c r="I29" s="5" t="s">
        <v>83</v>
      </c>
      <c r="J29" s="5"/>
      <c r="K29" s="5"/>
    </row>
    <row r="30" customFormat="false" ht="30" hidden="false" customHeight="true" outlineLevel="0" collapsed="false">
      <c r="A30" s="19" t="n">
        <v>1</v>
      </c>
      <c r="B30" s="20" t="s">
        <v>247</v>
      </c>
      <c r="C30" s="19" t="s">
        <v>249</v>
      </c>
      <c r="D30" s="21" t="n">
        <v>0.5</v>
      </c>
      <c r="E30" s="29" t="n">
        <v>0.08</v>
      </c>
      <c r="F30" s="30" t="n">
        <f aca="false">D30/(1-E30)</f>
        <v>0.543478260869565</v>
      </c>
      <c r="G30" s="25" t="n">
        <f aca="false">I19</f>
        <v>13.5593220338983</v>
      </c>
      <c r="H30" s="25" t="n">
        <f aca="false">F30*G30</f>
        <v>7.36919675755343</v>
      </c>
      <c r="I30" s="26" t="s">
        <v>261</v>
      </c>
      <c r="J30" s="26"/>
      <c r="K30" s="26"/>
    </row>
    <row r="31" customFormat="false" ht="25.5" hidden="false" customHeight="true" outlineLevel="0" collapsed="false">
      <c r="A31" s="31"/>
      <c r="B31" s="32" t="s">
        <v>262</v>
      </c>
      <c r="C31" s="31"/>
      <c r="D31" s="31"/>
      <c r="E31" s="31"/>
      <c r="F31" s="31"/>
      <c r="G31" s="31"/>
      <c r="H31" s="33" t="n">
        <f aca="false">SUM(H30:H30)</f>
        <v>7.36919675755343</v>
      </c>
    </row>
    <row r="33" customFormat="false" ht="15" hidden="false" customHeight="false" outlineLevel="0" collapsed="false">
      <c r="B33" s="28" t="s">
        <v>263</v>
      </c>
    </row>
    <row r="34" customFormat="false" ht="31.5" hidden="false" customHeight="true" outlineLevel="0" collapsed="false">
      <c r="A34" s="5" t="s">
        <v>42</v>
      </c>
      <c r="B34" s="5" t="s">
        <v>43</v>
      </c>
      <c r="C34" s="5" t="s">
        <v>46</v>
      </c>
      <c r="D34" s="5" t="s">
        <v>79</v>
      </c>
      <c r="E34" s="5" t="s">
        <v>80</v>
      </c>
      <c r="F34" s="5" t="s">
        <v>81</v>
      </c>
      <c r="G34" s="5" t="s">
        <v>50</v>
      </c>
      <c r="H34" s="5" t="s">
        <v>260</v>
      </c>
      <c r="I34" s="5" t="s">
        <v>83</v>
      </c>
      <c r="J34" s="5"/>
      <c r="K34" s="5"/>
    </row>
    <row r="35" customFormat="false" ht="30" hidden="false" customHeight="true" outlineLevel="0" collapsed="false">
      <c r="A35" s="19" t="n">
        <v>1</v>
      </c>
      <c r="B35" s="20" t="s">
        <v>251</v>
      </c>
      <c r="C35" s="19" t="s">
        <v>249</v>
      </c>
      <c r="D35" s="21" t="n">
        <v>0.5</v>
      </c>
      <c r="E35" s="29" t="n">
        <v>0.08</v>
      </c>
      <c r="F35" s="30" t="n">
        <f aca="false">D35/(1-E35)</f>
        <v>0.543478260869565</v>
      </c>
      <c r="G35" s="25" t="n">
        <f aca="false">I20</f>
        <v>16.1016949152542</v>
      </c>
      <c r="H35" s="25" t="n">
        <f aca="false">F35*G35</f>
        <v>8.75092114959469</v>
      </c>
      <c r="I35" s="26" t="s">
        <v>261</v>
      </c>
      <c r="J35" s="26"/>
      <c r="K35" s="26"/>
    </row>
    <row r="36" customFormat="false" ht="25.5" hidden="false" customHeight="true" outlineLevel="0" collapsed="false">
      <c r="A36" s="31"/>
      <c r="B36" s="32" t="s">
        <v>262</v>
      </c>
      <c r="C36" s="31"/>
      <c r="D36" s="31"/>
      <c r="E36" s="31"/>
      <c r="F36" s="31"/>
      <c r="G36" s="31"/>
      <c r="H36" s="33" t="n">
        <f aca="false">SUM(H35:H35)</f>
        <v>8.75092114959469</v>
      </c>
    </row>
    <row r="38" customFormat="false" ht="15" hidden="false" customHeight="false" outlineLevel="0" collapsed="false">
      <c r="B38" s="28" t="s">
        <v>91</v>
      </c>
    </row>
    <row r="39" customFormat="false" ht="31.5" hidden="false" customHeight="true" outlineLevel="0" collapsed="false">
      <c r="A39" s="5" t="s">
        <v>42</v>
      </c>
      <c r="B39" s="5" t="s">
        <v>43</v>
      </c>
      <c r="C39" s="5" t="s">
        <v>92</v>
      </c>
      <c r="D39" s="5" t="s">
        <v>46</v>
      </c>
      <c r="E39" s="5" t="s">
        <v>93</v>
      </c>
      <c r="F39" s="5" t="s">
        <v>94</v>
      </c>
      <c r="G39" s="5" t="s">
        <v>95</v>
      </c>
    </row>
    <row r="40" customFormat="false" ht="25.5" hidden="false" customHeight="true" outlineLevel="0" collapsed="false">
      <c r="A40" s="19" t="n">
        <v>1</v>
      </c>
      <c r="B40" s="20" t="s">
        <v>252</v>
      </c>
      <c r="C40" s="34" t="n">
        <v>1</v>
      </c>
      <c r="D40" s="19" t="s">
        <v>254</v>
      </c>
      <c r="E40" s="35" t="s">
        <v>96</v>
      </c>
      <c r="F40" s="35" t="s">
        <v>97</v>
      </c>
      <c r="G40" s="24" t="n">
        <f aca="false">C40*I21</f>
        <v>80.5084745762712</v>
      </c>
    </row>
    <row r="41" customFormat="false" ht="25.5" hidden="false" customHeight="true" outlineLevel="0" collapsed="false">
      <c r="A41" s="19" t="n">
        <v>2</v>
      </c>
      <c r="B41" s="20" t="s">
        <v>256</v>
      </c>
      <c r="C41" s="34" t="n">
        <v>1</v>
      </c>
      <c r="D41" s="19" t="s">
        <v>182</v>
      </c>
      <c r="E41" s="35" t="s">
        <v>96</v>
      </c>
      <c r="F41" s="35" t="s">
        <v>97</v>
      </c>
      <c r="G41" s="24" t="n">
        <f aca="false">C41*I22</f>
        <v>50</v>
      </c>
    </row>
    <row r="42" customFormat="false" ht="25.5" hidden="false" customHeight="true" outlineLevel="0" collapsed="false">
      <c r="A42" s="19" t="n">
        <v>3</v>
      </c>
      <c r="B42" s="20" t="s">
        <v>258</v>
      </c>
      <c r="C42" s="34" t="n">
        <v>1</v>
      </c>
      <c r="D42" s="19" t="s">
        <v>69</v>
      </c>
      <c r="E42" s="35" t="s">
        <v>98</v>
      </c>
      <c r="F42" s="35" t="s">
        <v>99</v>
      </c>
      <c r="G42" s="24" t="n">
        <f aca="false">C42*I23</f>
        <v>90</v>
      </c>
    </row>
    <row r="43" customFormat="false" ht="25.5" hidden="false" customHeight="true" outlineLevel="0" collapsed="false">
      <c r="A43" s="19" t="n">
        <v>4</v>
      </c>
      <c r="B43" s="20" t="s">
        <v>74</v>
      </c>
      <c r="C43" s="34" t="n">
        <v>1</v>
      </c>
      <c r="D43" s="19" t="s">
        <v>69</v>
      </c>
      <c r="E43" s="35" t="s">
        <v>98</v>
      </c>
      <c r="F43" s="35" t="s">
        <v>100</v>
      </c>
      <c r="G43" s="24" t="n">
        <f aca="false">C43*I24</f>
        <v>150</v>
      </c>
    </row>
    <row r="45" customFormat="false" ht="25.5" hidden="false" customHeight="true" outlineLevel="0" collapsed="false">
      <c r="B45" s="6" t="s">
        <v>101</v>
      </c>
      <c r="C45" s="36" t="n">
        <f aca="false">SUMIF(F40:F43,"CIF",G40:G43)</f>
        <v>130.508474576271</v>
      </c>
    </row>
    <row r="46" customFormat="false" ht="25.5" hidden="false" customHeight="true" outlineLevel="0" collapsed="false">
      <c r="B46" s="6" t="s">
        <v>102</v>
      </c>
      <c r="C46" s="36" t="n">
        <f aca="false">SUMIF(F40:F43,"Gasto administrativo",G40:G43)</f>
        <v>150</v>
      </c>
    </row>
    <row r="47" customFormat="false" ht="25.5" hidden="false" customHeight="true" outlineLevel="0" collapsed="false">
      <c r="B47" s="6" t="s">
        <v>103</v>
      </c>
      <c r="C47" s="36" t="n">
        <f aca="false">SUMIF(F40:F43,"Gasto de ventas",G40:G43)</f>
        <v>90</v>
      </c>
    </row>
    <row r="48" customFormat="false" ht="15" hidden="false" customHeight="false" outlineLevel="0" collapsed="false">
      <c r="B48" s="27" t="s">
        <v>104</v>
      </c>
    </row>
    <row r="50" customFormat="false" ht="19.5" hidden="false" customHeight="true" outlineLevel="0" collapsed="false">
      <c r="A50" s="16" t="s">
        <v>105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customFormat="false" ht="15" hidden="false" customHeight="false" outlineLevel="0" collapsed="false">
      <c r="B51" s="17" t="s">
        <v>106</v>
      </c>
    </row>
    <row r="52" customFormat="false" ht="15" hidden="false" customHeight="false" outlineLevel="0" collapsed="false">
      <c r="B52" s="28" t="s">
        <v>107</v>
      </c>
    </row>
    <row r="53" customFormat="false" ht="30" hidden="false" customHeight="true" outlineLevel="0" collapsed="false">
      <c r="B53" s="5" t="s">
        <v>108</v>
      </c>
      <c r="C53" s="5" t="s">
        <v>264</v>
      </c>
      <c r="D53" s="5" t="s">
        <v>265</v>
      </c>
      <c r="E53" s="5" t="s">
        <v>111</v>
      </c>
    </row>
    <row r="54" customFormat="false" ht="15" hidden="false" customHeight="false" outlineLevel="0" collapsed="false">
      <c r="B54" s="10" t="s">
        <v>112</v>
      </c>
      <c r="C54" s="34" t="n">
        <v>1500</v>
      </c>
      <c r="D54" s="34" t="n">
        <v>900</v>
      </c>
      <c r="E54" s="37" t="n">
        <f aca="false">C54+D54</f>
        <v>2400</v>
      </c>
    </row>
    <row r="55" customFormat="false" ht="15" hidden="false" customHeight="false" outlineLevel="0" collapsed="false">
      <c r="B55" s="10" t="s">
        <v>113</v>
      </c>
      <c r="C55" s="34" t="n">
        <v>1400</v>
      </c>
      <c r="D55" s="34" t="n">
        <v>800</v>
      </c>
      <c r="E55" s="37" t="n">
        <f aca="false">C55+D55</f>
        <v>2200</v>
      </c>
    </row>
    <row r="56" customFormat="false" ht="15" hidden="false" customHeight="false" outlineLevel="0" collapsed="false">
      <c r="B56" s="10" t="s">
        <v>114</v>
      </c>
      <c r="C56" s="34" t="n">
        <v>1450</v>
      </c>
      <c r="D56" s="34" t="n">
        <v>850</v>
      </c>
      <c r="E56" s="37" t="n">
        <f aca="false">C56+D56</f>
        <v>2300</v>
      </c>
    </row>
    <row r="57" customFormat="false" ht="15" hidden="false" customHeight="false" outlineLevel="0" collapsed="false">
      <c r="B57" s="10" t="s">
        <v>115</v>
      </c>
      <c r="C57" s="34" t="n">
        <v>1550</v>
      </c>
      <c r="D57" s="34" t="n">
        <v>950</v>
      </c>
      <c r="E57" s="37" t="n">
        <f aca="false">C57+D57</f>
        <v>2500</v>
      </c>
    </row>
    <row r="58" customFormat="false" ht="15" hidden="false" customHeight="false" outlineLevel="0" collapsed="false">
      <c r="B58" s="10" t="s">
        <v>116</v>
      </c>
      <c r="C58" s="34" t="n">
        <v>1600</v>
      </c>
      <c r="D58" s="34" t="n">
        <v>1000</v>
      </c>
      <c r="E58" s="37" t="n">
        <f aca="false">C58+D58</f>
        <v>2600</v>
      </c>
    </row>
    <row r="59" customFormat="false" ht="15" hidden="false" customHeight="false" outlineLevel="0" collapsed="false">
      <c r="B59" s="10" t="s">
        <v>117</v>
      </c>
      <c r="C59" s="34" t="n">
        <v>1600</v>
      </c>
      <c r="D59" s="34" t="n">
        <v>1000</v>
      </c>
      <c r="E59" s="37" t="n">
        <f aca="false">C59+D59</f>
        <v>2600</v>
      </c>
    </row>
    <row r="60" customFormat="false" ht="15" hidden="false" customHeight="false" outlineLevel="0" collapsed="false">
      <c r="B60" s="10" t="s">
        <v>118</v>
      </c>
      <c r="C60" s="34" t="n">
        <v>1800</v>
      </c>
      <c r="D60" s="34" t="n">
        <v>1100</v>
      </c>
      <c r="E60" s="37" t="n">
        <f aca="false">C60+D60</f>
        <v>2900</v>
      </c>
    </row>
    <row r="61" customFormat="false" ht="15" hidden="false" customHeight="false" outlineLevel="0" collapsed="false">
      <c r="B61" s="10" t="s">
        <v>119</v>
      </c>
      <c r="C61" s="34" t="n">
        <v>2050</v>
      </c>
      <c r="D61" s="34" t="n">
        <v>1250</v>
      </c>
      <c r="E61" s="37" t="n">
        <f aca="false">C61+D61</f>
        <v>3300</v>
      </c>
    </row>
    <row r="62" customFormat="false" ht="15" hidden="false" customHeight="false" outlineLevel="0" collapsed="false">
      <c r="B62" s="10" t="s">
        <v>120</v>
      </c>
      <c r="C62" s="34" t="n">
        <v>1600</v>
      </c>
      <c r="D62" s="34" t="n">
        <v>1000</v>
      </c>
      <c r="E62" s="37" t="n">
        <f aca="false">C62+D62</f>
        <v>2600</v>
      </c>
    </row>
    <row r="63" customFormat="false" ht="15" hidden="false" customHeight="false" outlineLevel="0" collapsed="false">
      <c r="B63" s="10" t="s">
        <v>121</v>
      </c>
      <c r="C63" s="34" t="n">
        <v>1650</v>
      </c>
      <c r="D63" s="34" t="n">
        <v>1050</v>
      </c>
      <c r="E63" s="37" t="n">
        <f aca="false">C63+D63</f>
        <v>2700</v>
      </c>
    </row>
    <row r="64" customFormat="false" ht="15" hidden="false" customHeight="false" outlineLevel="0" collapsed="false">
      <c r="B64" s="10" t="s">
        <v>122</v>
      </c>
      <c r="C64" s="34" t="n">
        <v>1700</v>
      </c>
      <c r="D64" s="34" t="n">
        <v>1100</v>
      </c>
      <c r="E64" s="37" t="n">
        <f aca="false">C64+D64</f>
        <v>2800</v>
      </c>
    </row>
    <row r="65" customFormat="false" ht="15" hidden="false" customHeight="false" outlineLevel="0" collapsed="false">
      <c r="B65" s="10" t="s">
        <v>123</v>
      </c>
      <c r="C65" s="34" t="n">
        <v>2100</v>
      </c>
      <c r="D65" s="34" t="n">
        <v>1300</v>
      </c>
      <c r="E65" s="37" t="n">
        <f aca="false">C65+D65</f>
        <v>3400</v>
      </c>
    </row>
    <row r="66" customFormat="false" ht="15" hidden="false" customHeight="false" outlineLevel="0" collapsed="false">
      <c r="B66" s="38" t="s">
        <v>124</v>
      </c>
      <c r="C66" s="39" t="n">
        <f aca="false">SUM(C54:C65)</f>
        <v>20000</v>
      </c>
      <c r="D66" s="39" t="n">
        <f aca="false">SUM(D54:D65)</f>
        <v>12300</v>
      </c>
      <c r="E66" s="39" t="n">
        <f aca="false">SUM(E54:E65)</f>
        <v>32300</v>
      </c>
    </row>
    <row r="67" customFormat="false" ht="15" hidden="false" customHeight="false" outlineLevel="0" collapsed="false">
      <c r="B67" s="10" t="s">
        <v>125</v>
      </c>
      <c r="C67" s="34" t="n">
        <v>1520</v>
      </c>
      <c r="D67" s="34" t="n">
        <v>930</v>
      </c>
      <c r="E67" s="19" t="s">
        <v>126</v>
      </c>
    </row>
    <row r="68" customFormat="false" ht="15" hidden="false" customHeight="false" outlineLevel="0" collapsed="false">
      <c r="B68" s="10" t="s">
        <v>127</v>
      </c>
      <c r="C68" s="34" t="n">
        <v>1420</v>
      </c>
      <c r="D68" s="34" t="n">
        <v>830</v>
      </c>
      <c r="E68" s="19" t="s">
        <v>126</v>
      </c>
    </row>
    <row r="70" customFormat="false" ht="19.5" hidden="false" customHeight="true" outlineLevel="0" collapsed="false">
      <c r="A70" s="16" t="s">
        <v>128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customFormat="false" ht="15" hidden="false" customHeight="false" outlineLevel="0" collapsed="false">
      <c r="B71" s="17" t="s">
        <v>129</v>
      </c>
    </row>
    <row r="72" customFormat="false" ht="15" hidden="false" customHeight="false" outlineLevel="0" collapsed="false">
      <c r="B72" s="27" t="s">
        <v>266</v>
      </c>
    </row>
    <row r="73" customFormat="false" ht="15" hidden="false" customHeight="false" outlineLevel="0" collapsed="false">
      <c r="B73" s="28" t="s">
        <v>267</v>
      </c>
    </row>
    <row r="74" customFormat="false" ht="31.5" hidden="false" customHeight="true" outlineLevel="0" collapsed="false">
      <c r="B74" s="5" t="s">
        <v>108</v>
      </c>
      <c r="C74" s="5" t="s">
        <v>264</v>
      </c>
      <c r="D74" s="5" t="s">
        <v>265</v>
      </c>
    </row>
    <row r="75" customFormat="false" ht="15" hidden="false" customHeight="false" outlineLevel="0" collapsed="false">
      <c r="B75" s="10" t="s">
        <v>112</v>
      </c>
      <c r="C75" s="37" t="n">
        <f aca="false">C54</f>
        <v>1500</v>
      </c>
      <c r="D75" s="37" t="n">
        <f aca="false">D54</f>
        <v>900</v>
      </c>
    </row>
    <row r="76" customFormat="false" ht="15" hidden="false" customHeight="false" outlineLevel="0" collapsed="false">
      <c r="B76" s="10" t="s">
        <v>113</v>
      </c>
      <c r="C76" s="37" t="n">
        <f aca="false">C55</f>
        <v>1400</v>
      </c>
      <c r="D76" s="37" t="n">
        <f aca="false">D55</f>
        <v>800</v>
      </c>
    </row>
    <row r="77" customFormat="false" ht="15" hidden="false" customHeight="false" outlineLevel="0" collapsed="false">
      <c r="B77" s="10" t="s">
        <v>114</v>
      </c>
      <c r="C77" s="37" t="n">
        <f aca="false">C56</f>
        <v>1450</v>
      </c>
      <c r="D77" s="37" t="n">
        <f aca="false">D56</f>
        <v>850</v>
      </c>
    </row>
    <row r="78" customFormat="false" ht="15" hidden="false" customHeight="false" outlineLevel="0" collapsed="false">
      <c r="B78" s="10" t="s">
        <v>115</v>
      </c>
      <c r="C78" s="37" t="n">
        <f aca="false">C57</f>
        <v>1550</v>
      </c>
      <c r="D78" s="37" t="n">
        <f aca="false">D57</f>
        <v>950</v>
      </c>
    </row>
    <row r="79" customFormat="false" ht="15" hidden="false" customHeight="false" outlineLevel="0" collapsed="false">
      <c r="B79" s="10" t="s">
        <v>116</v>
      </c>
      <c r="C79" s="37" t="n">
        <f aca="false">C58</f>
        <v>1600</v>
      </c>
      <c r="D79" s="37" t="n">
        <f aca="false">D58</f>
        <v>1000</v>
      </c>
    </row>
    <row r="80" customFormat="false" ht="15" hidden="false" customHeight="false" outlineLevel="0" collapsed="false">
      <c r="B80" s="10" t="s">
        <v>117</v>
      </c>
      <c r="C80" s="37" t="n">
        <f aca="false">C59</f>
        <v>1600</v>
      </c>
      <c r="D80" s="37" t="n">
        <f aca="false">D59</f>
        <v>1000</v>
      </c>
    </row>
    <row r="81" customFormat="false" ht="15" hidden="false" customHeight="false" outlineLevel="0" collapsed="false">
      <c r="B81" s="10" t="s">
        <v>118</v>
      </c>
      <c r="C81" s="37" t="n">
        <f aca="false">C60</f>
        <v>1800</v>
      </c>
      <c r="D81" s="37" t="n">
        <f aca="false">D60</f>
        <v>1100</v>
      </c>
    </row>
    <row r="82" customFormat="false" ht="15" hidden="false" customHeight="false" outlineLevel="0" collapsed="false">
      <c r="B82" s="10" t="s">
        <v>119</v>
      </c>
      <c r="C82" s="37" t="n">
        <f aca="false">C61</f>
        <v>2050</v>
      </c>
      <c r="D82" s="37" t="n">
        <f aca="false">D61</f>
        <v>1250</v>
      </c>
    </row>
    <row r="83" customFormat="false" ht="15" hidden="false" customHeight="false" outlineLevel="0" collapsed="false">
      <c r="B83" s="10" t="s">
        <v>120</v>
      </c>
      <c r="C83" s="37" t="n">
        <f aca="false">C62</f>
        <v>1600</v>
      </c>
      <c r="D83" s="37" t="n">
        <f aca="false">D62</f>
        <v>1000</v>
      </c>
    </row>
    <row r="84" customFormat="false" ht="15" hidden="false" customHeight="false" outlineLevel="0" collapsed="false">
      <c r="B84" s="10" t="s">
        <v>121</v>
      </c>
      <c r="C84" s="37" t="n">
        <f aca="false">C63</f>
        <v>1650</v>
      </c>
      <c r="D84" s="37" t="n">
        <f aca="false">D63</f>
        <v>1050</v>
      </c>
    </row>
    <row r="85" customFormat="false" ht="15" hidden="false" customHeight="false" outlineLevel="0" collapsed="false">
      <c r="B85" s="10" t="s">
        <v>122</v>
      </c>
      <c r="C85" s="37" t="n">
        <f aca="false">C64</f>
        <v>1700</v>
      </c>
      <c r="D85" s="37" t="n">
        <f aca="false">D64</f>
        <v>1100</v>
      </c>
    </row>
    <row r="86" customFormat="false" ht="15" hidden="false" customHeight="false" outlineLevel="0" collapsed="false">
      <c r="B86" s="10" t="s">
        <v>123</v>
      </c>
      <c r="C86" s="37" t="n">
        <f aca="false">C65</f>
        <v>2100</v>
      </c>
      <c r="D86" s="37" t="n">
        <f aca="false">D65</f>
        <v>1300</v>
      </c>
    </row>
    <row r="87" customFormat="false" ht="15" hidden="false" customHeight="false" outlineLevel="0" collapsed="false">
      <c r="B87" s="10" t="s">
        <v>132</v>
      </c>
      <c r="C87" s="37" t="n">
        <f aca="false">C67</f>
        <v>1520</v>
      </c>
      <c r="D87" s="37" t="n">
        <f aca="false">D67</f>
        <v>930</v>
      </c>
    </row>
    <row r="89" customFormat="false" ht="19.5" hidden="false" customHeight="true" outlineLevel="0" collapsed="false">
      <c r="A89" s="16" t="s">
        <v>133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customFormat="false" ht="15" hidden="false" customHeight="false" outlineLevel="0" collapsed="false">
      <c r="B90" s="17" t="s">
        <v>134</v>
      </c>
    </row>
    <row r="91" customFormat="false" ht="15" hidden="false" customHeight="false" outlineLevel="0" collapsed="false">
      <c r="B91" s="27" t="s">
        <v>135</v>
      </c>
    </row>
    <row r="93" customFormat="false" ht="15" hidden="false" customHeight="false" outlineLevel="0" collapsed="false">
      <c r="B93" s="18" t="s">
        <v>268</v>
      </c>
    </row>
    <row r="94" customFormat="false" ht="25.5" hidden="false" customHeight="true" outlineLevel="0" collapsed="false">
      <c r="B94" s="20" t="s">
        <v>137</v>
      </c>
      <c r="C94" s="29" t="n">
        <v>0.15</v>
      </c>
    </row>
    <row r="95" customFormat="false" ht="15" hidden="false" customHeight="false" outlineLevel="0" collapsed="false">
      <c r="B95" s="10" t="s">
        <v>269</v>
      </c>
      <c r="C95" s="21" t="n">
        <v>60</v>
      </c>
    </row>
    <row r="96" customFormat="false" ht="39.75" hidden="false" customHeight="true" outlineLevel="0" collapsed="false">
      <c r="B96" s="5" t="s">
        <v>108</v>
      </c>
      <c r="C96" s="5" t="s">
        <v>139</v>
      </c>
      <c r="D96" s="5" t="s">
        <v>140</v>
      </c>
      <c r="E96" s="5" t="s">
        <v>141</v>
      </c>
      <c r="F96" s="5" t="s">
        <v>142</v>
      </c>
      <c r="G96" s="5" t="s">
        <v>143</v>
      </c>
      <c r="H96" s="5" t="s">
        <v>144</v>
      </c>
      <c r="I96" s="5" t="s">
        <v>49</v>
      </c>
      <c r="J96" s="5" t="s">
        <v>145</v>
      </c>
      <c r="K96" s="5" t="s">
        <v>146</v>
      </c>
    </row>
    <row r="97" customFormat="false" ht="15" hidden="false" customHeight="false" outlineLevel="0" collapsed="false">
      <c r="B97" s="10" t="s">
        <v>112</v>
      </c>
      <c r="C97" s="40" t="n">
        <f aca="false">$C$75*$F$30</f>
        <v>815.217391304348</v>
      </c>
      <c r="D97" s="41" t="n">
        <v>0</v>
      </c>
      <c r="E97" s="40" t="n">
        <f aca="false">C97+D97</f>
        <v>815.217391304348</v>
      </c>
      <c r="F97" s="40" t="n">
        <f aca="false">E98*$C$94</f>
        <v>114.130434782609</v>
      </c>
      <c r="G97" s="40" t="n">
        <f aca="false">$C$95</f>
        <v>60</v>
      </c>
      <c r="H97" s="42" t="n">
        <f aca="false">E97+F97-G97</f>
        <v>869.347826086957</v>
      </c>
      <c r="I97" s="24" t="n">
        <f aca="false">H97*$I$19</f>
        <v>11787.7671333825</v>
      </c>
      <c r="J97" s="24" t="n">
        <f aca="false">I97*IF($G$19="Sí",$C$10,0)</f>
        <v>2121.79808400884</v>
      </c>
      <c r="K97" s="36" t="n">
        <f aca="false">I97+J97</f>
        <v>13909.5652173913</v>
      </c>
    </row>
    <row r="98" customFormat="false" ht="15" hidden="false" customHeight="false" outlineLevel="0" collapsed="false">
      <c r="B98" s="10" t="s">
        <v>113</v>
      </c>
      <c r="C98" s="40" t="n">
        <f aca="false">$C$76*$F$30</f>
        <v>760.869565217391</v>
      </c>
      <c r="D98" s="41" t="n">
        <v>0</v>
      </c>
      <c r="E98" s="40" t="n">
        <f aca="false">C98+D98</f>
        <v>760.869565217391</v>
      </c>
      <c r="F98" s="40" t="n">
        <f aca="false">E99*$C$94</f>
        <v>118.20652173913</v>
      </c>
      <c r="G98" s="40" t="n">
        <f aca="false">F97</f>
        <v>114.130434782609</v>
      </c>
      <c r="H98" s="42" t="n">
        <f aca="false">E98+F98-G98</f>
        <v>764.945652173913</v>
      </c>
      <c r="I98" s="24" t="n">
        <f aca="false">H98*$I$19</f>
        <v>10372.1444362564</v>
      </c>
      <c r="J98" s="24" t="n">
        <f aca="false">I98*IF($G$19="Sí",$C$10,0)</f>
        <v>1866.98599852616</v>
      </c>
      <c r="K98" s="36" t="n">
        <f aca="false">I98+J98</f>
        <v>12239.1304347826</v>
      </c>
    </row>
    <row r="99" customFormat="false" ht="15" hidden="false" customHeight="false" outlineLevel="0" collapsed="false">
      <c r="B99" s="10" t="s">
        <v>114</v>
      </c>
      <c r="C99" s="40" t="n">
        <f aca="false">$C$77*$F$30</f>
        <v>788.04347826087</v>
      </c>
      <c r="D99" s="41" t="n">
        <v>0</v>
      </c>
      <c r="E99" s="40" t="n">
        <f aca="false">C99+D99</f>
        <v>788.04347826087</v>
      </c>
      <c r="F99" s="40" t="n">
        <f aca="false">E100*$C$94</f>
        <v>126.358695652174</v>
      </c>
      <c r="G99" s="40" t="n">
        <f aca="false">F98</f>
        <v>118.20652173913</v>
      </c>
      <c r="H99" s="42" t="n">
        <f aca="false">E99+F99-G99</f>
        <v>796.195652173913</v>
      </c>
      <c r="I99" s="24" t="n">
        <f aca="false">H99*$I$19</f>
        <v>10795.8732498158</v>
      </c>
      <c r="J99" s="24" t="n">
        <f aca="false">I99*IF($G$19="Sí",$C$10,0)</f>
        <v>1943.25718496684</v>
      </c>
      <c r="K99" s="36" t="n">
        <f aca="false">I99+J99</f>
        <v>12739.1304347826</v>
      </c>
    </row>
    <row r="100" customFormat="false" ht="15" hidden="false" customHeight="false" outlineLevel="0" collapsed="false">
      <c r="B100" s="10" t="s">
        <v>115</v>
      </c>
      <c r="C100" s="40" t="n">
        <f aca="false">$C$78*$F$30</f>
        <v>842.391304347826</v>
      </c>
      <c r="D100" s="41" t="n">
        <v>0</v>
      </c>
      <c r="E100" s="40" t="n">
        <f aca="false">C100+D100</f>
        <v>842.391304347826</v>
      </c>
      <c r="F100" s="40" t="n">
        <f aca="false">E101*$C$94</f>
        <v>130.434782608696</v>
      </c>
      <c r="G100" s="40" t="n">
        <f aca="false">F99</f>
        <v>126.358695652174</v>
      </c>
      <c r="H100" s="42" t="n">
        <f aca="false">E100+F100-G100</f>
        <v>846.467391304348</v>
      </c>
      <c r="I100" s="24" t="n">
        <f aca="false">H100*$I$19</f>
        <v>11477.5239498895</v>
      </c>
      <c r="J100" s="24" t="n">
        <f aca="false">I100*IF($G$19="Sí",$C$10,0)</f>
        <v>2065.9543109801</v>
      </c>
      <c r="K100" s="36" t="n">
        <f aca="false">I100+J100</f>
        <v>13543.4782608696</v>
      </c>
    </row>
    <row r="101" customFormat="false" ht="15" hidden="false" customHeight="false" outlineLevel="0" collapsed="false">
      <c r="B101" s="10" t="s">
        <v>116</v>
      </c>
      <c r="C101" s="40" t="n">
        <f aca="false">$C$79*$F$30</f>
        <v>869.565217391304</v>
      </c>
      <c r="D101" s="41" t="n">
        <v>0</v>
      </c>
      <c r="E101" s="40" t="n">
        <f aca="false">C101+D101</f>
        <v>869.565217391304</v>
      </c>
      <c r="F101" s="40" t="n">
        <f aca="false">E102*$C$94</f>
        <v>130.434782608696</v>
      </c>
      <c r="G101" s="40" t="n">
        <f aca="false">F100</f>
        <v>130.434782608696</v>
      </c>
      <c r="H101" s="42" t="n">
        <f aca="false">E101+F101-G101</f>
        <v>869.565217391304</v>
      </c>
      <c r="I101" s="24" t="n">
        <f aca="false">H101*$I$19</f>
        <v>11790.7148120855</v>
      </c>
      <c r="J101" s="24" t="n">
        <f aca="false">I101*IF($G$19="Sí",$C$10,0)</f>
        <v>2122.32866617539</v>
      </c>
      <c r="K101" s="36" t="n">
        <f aca="false">I101+J101</f>
        <v>13913.0434782609</v>
      </c>
    </row>
    <row r="102" customFormat="false" ht="15" hidden="false" customHeight="false" outlineLevel="0" collapsed="false">
      <c r="B102" s="10" t="s">
        <v>117</v>
      </c>
      <c r="C102" s="40" t="n">
        <f aca="false">$C$80*$F$30</f>
        <v>869.565217391304</v>
      </c>
      <c r="D102" s="41" t="n">
        <v>0</v>
      </c>
      <c r="E102" s="40" t="n">
        <f aca="false">C102+D102</f>
        <v>869.565217391304</v>
      </c>
      <c r="F102" s="40" t="n">
        <f aca="false">E103*$C$94</f>
        <v>146.739130434783</v>
      </c>
      <c r="G102" s="40" t="n">
        <f aca="false">F101</f>
        <v>130.434782608696</v>
      </c>
      <c r="H102" s="42" t="n">
        <f aca="false">E102+F102-G102</f>
        <v>885.869565217391</v>
      </c>
      <c r="I102" s="24" t="n">
        <f aca="false">H102*$I$19</f>
        <v>12011.7907148121</v>
      </c>
      <c r="J102" s="24" t="n">
        <f aca="false">I102*IF($G$19="Sí",$C$10,0)</f>
        <v>2162.12232866618</v>
      </c>
      <c r="K102" s="36" t="n">
        <f aca="false">I102+J102</f>
        <v>14173.9130434783</v>
      </c>
    </row>
    <row r="103" customFormat="false" ht="15" hidden="false" customHeight="false" outlineLevel="0" collapsed="false">
      <c r="B103" s="10" t="s">
        <v>118</v>
      </c>
      <c r="C103" s="40" t="n">
        <f aca="false">$C$81*$F$30</f>
        <v>978.260869565217</v>
      </c>
      <c r="D103" s="41" t="n">
        <v>0</v>
      </c>
      <c r="E103" s="40" t="n">
        <f aca="false">C103+D103</f>
        <v>978.260869565217</v>
      </c>
      <c r="F103" s="40" t="n">
        <f aca="false">E104*$C$94</f>
        <v>167.119565217391</v>
      </c>
      <c r="G103" s="40" t="n">
        <f aca="false">F102</f>
        <v>146.739130434783</v>
      </c>
      <c r="H103" s="42" t="n">
        <f aca="false">E103+F103-G103</f>
        <v>998.641304347826</v>
      </c>
      <c r="I103" s="24" t="n">
        <f aca="false">H103*$I$19</f>
        <v>13540.8990420044</v>
      </c>
      <c r="J103" s="24" t="n">
        <f aca="false">I103*IF($G$19="Sí",$C$10,0)</f>
        <v>2437.3618275608</v>
      </c>
      <c r="K103" s="36" t="n">
        <f aca="false">I103+J103</f>
        <v>15978.2608695652</v>
      </c>
    </row>
    <row r="104" customFormat="false" ht="15" hidden="false" customHeight="false" outlineLevel="0" collapsed="false">
      <c r="B104" s="10" t="s">
        <v>119</v>
      </c>
      <c r="C104" s="40" t="n">
        <f aca="false">$C$82*$F$30</f>
        <v>1114.13043478261</v>
      </c>
      <c r="D104" s="41" t="n">
        <v>0</v>
      </c>
      <c r="E104" s="40" t="n">
        <f aca="false">C104+D104</f>
        <v>1114.13043478261</v>
      </c>
      <c r="F104" s="40" t="n">
        <f aca="false">E105*$C$94</f>
        <v>130.434782608696</v>
      </c>
      <c r="G104" s="40" t="n">
        <f aca="false">F103</f>
        <v>167.119565217391</v>
      </c>
      <c r="H104" s="42" t="n">
        <f aca="false">E104+F104-G104</f>
        <v>1077.44565217391</v>
      </c>
      <c r="I104" s="24" t="n">
        <f aca="false">H104*$I$19</f>
        <v>14609.4325718497</v>
      </c>
      <c r="J104" s="24" t="n">
        <f aca="false">I104*IF($G$19="Sí",$C$10,0)</f>
        <v>2629.69786293294</v>
      </c>
      <c r="K104" s="36" t="n">
        <f aca="false">I104+J104</f>
        <v>17239.1304347826</v>
      </c>
    </row>
    <row r="105" customFormat="false" ht="15" hidden="false" customHeight="false" outlineLevel="0" collapsed="false">
      <c r="B105" s="10" t="s">
        <v>120</v>
      </c>
      <c r="C105" s="40" t="n">
        <f aca="false">$C$83*$F$30</f>
        <v>869.565217391304</v>
      </c>
      <c r="D105" s="41" t="n">
        <v>0</v>
      </c>
      <c r="E105" s="40" t="n">
        <f aca="false">C105+D105</f>
        <v>869.565217391304</v>
      </c>
      <c r="F105" s="40" t="n">
        <f aca="false">E106*$C$94</f>
        <v>134.510869565217</v>
      </c>
      <c r="G105" s="40" t="n">
        <f aca="false">F104</f>
        <v>130.434782608696</v>
      </c>
      <c r="H105" s="42" t="n">
        <f aca="false">E105+F105-G105</f>
        <v>873.641304347826</v>
      </c>
      <c r="I105" s="24" t="n">
        <f aca="false">H105*$I$19</f>
        <v>11845.9837877671</v>
      </c>
      <c r="J105" s="24" t="n">
        <f aca="false">I105*IF($G$19="Sí",$C$10,0)</f>
        <v>2132.27708179808</v>
      </c>
      <c r="K105" s="36" t="n">
        <f aca="false">I105+J105</f>
        <v>13978.2608695652</v>
      </c>
    </row>
    <row r="106" customFormat="false" ht="15" hidden="false" customHeight="false" outlineLevel="0" collapsed="false">
      <c r="B106" s="10" t="s">
        <v>121</v>
      </c>
      <c r="C106" s="40" t="n">
        <f aca="false">$C$84*$F$30</f>
        <v>896.739130434783</v>
      </c>
      <c r="D106" s="41" t="n">
        <v>0</v>
      </c>
      <c r="E106" s="40" t="n">
        <f aca="false">C106+D106</f>
        <v>896.739130434783</v>
      </c>
      <c r="F106" s="40" t="n">
        <f aca="false">E107*$C$94</f>
        <v>138.586956521739</v>
      </c>
      <c r="G106" s="40" t="n">
        <f aca="false">F105</f>
        <v>134.510869565217</v>
      </c>
      <c r="H106" s="42" t="n">
        <f aca="false">E106+F106-G106</f>
        <v>900.815217391304</v>
      </c>
      <c r="I106" s="24" t="n">
        <f aca="false">H106*$I$19</f>
        <v>12214.4436256448</v>
      </c>
      <c r="J106" s="24" t="n">
        <f aca="false">I106*IF($G$19="Sí",$C$10,0)</f>
        <v>2198.59985261606</v>
      </c>
      <c r="K106" s="36" t="n">
        <f aca="false">I106+J106</f>
        <v>14413.0434782609</v>
      </c>
    </row>
    <row r="107" customFormat="false" ht="15" hidden="false" customHeight="false" outlineLevel="0" collapsed="false">
      <c r="B107" s="10" t="s">
        <v>122</v>
      </c>
      <c r="C107" s="40" t="n">
        <f aca="false">$C$85*$F$30</f>
        <v>923.913043478261</v>
      </c>
      <c r="D107" s="41" t="n">
        <v>0</v>
      </c>
      <c r="E107" s="40" t="n">
        <f aca="false">C107+D107</f>
        <v>923.913043478261</v>
      </c>
      <c r="F107" s="40" t="n">
        <f aca="false">E108*$C$94</f>
        <v>171.195652173913</v>
      </c>
      <c r="G107" s="40" t="n">
        <f aca="false">F106</f>
        <v>138.586956521739</v>
      </c>
      <c r="H107" s="42" t="n">
        <f aca="false">E107+F107-G107</f>
        <v>956.521739130435</v>
      </c>
      <c r="I107" s="24" t="n">
        <f aca="false">H107*$I$19</f>
        <v>12969.786293294</v>
      </c>
      <c r="J107" s="24" t="n">
        <f aca="false">I107*IF($G$19="Sí",$C$10,0)</f>
        <v>2334.56153279293</v>
      </c>
      <c r="K107" s="36" t="n">
        <f aca="false">I107+J107</f>
        <v>15304.347826087</v>
      </c>
    </row>
    <row r="108" customFormat="false" ht="15" hidden="false" customHeight="false" outlineLevel="0" collapsed="false">
      <c r="B108" s="10" t="s">
        <v>123</v>
      </c>
      <c r="C108" s="40" t="n">
        <f aca="false">$C$86*$F$30</f>
        <v>1141.30434782609</v>
      </c>
      <c r="D108" s="41" t="n">
        <v>0</v>
      </c>
      <c r="E108" s="40" t="n">
        <f aca="false">C108+D108</f>
        <v>1141.30434782609</v>
      </c>
      <c r="F108" s="40" t="n">
        <f aca="false">E110*$C$94</f>
        <v>123.913043478261</v>
      </c>
      <c r="G108" s="40" t="n">
        <f aca="false">F107</f>
        <v>171.195652173913</v>
      </c>
      <c r="H108" s="42" t="n">
        <f aca="false">E108+F108-G108</f>
        <v>1094.02173913043</v>
      </c>
      <c r="I108" s="24" t="n">
        <f aca="false">H108*$I$19</f>
        <v>14834.1930729551</v>
      </c>
      <c r="J108" s="24" t="n">
        <f aca="false">I108*IF($G$19="Sí",$C$10,0)</f>
        <v>2670.15475313191</v>
      </c>
      <c r="K108" s="36" t="n">
        <f aca="false">I108+J108</f>
        <v>17504.347826087</v>
      </c>
    </row>
    <row r="109" customFormat="false" ht="15" hidden="false" customHeight="false" outlineLevel="0" collapsed="false">
      <c r="B109" s="38" t="s">
        <v>124</v>
      </c>
      <c r="C109" s="31"/>
      <c r="D109" s="31"/>
      <c r="E109" s="43" t="n">
        <f aca="false">SUM(E97:E108)</f>
        <v>10869.5652173913</v>
      </c>
      <c r="F109" s="31"/>
      <c r="G109" s="31"/>
      <c r="H109" s="43" t="n">
        <f aca="false">SUM(H97:H108)</f>
        <v>10933.4782608696</v>
      </c>
      <c r="I109" s="44" t="n">
        <f aca="false">SUM(I97:I108)</f>
        <v>148250.552689757</v>
      </c>
      <c r="J109" s="44" t="n">
        <f aca="false">SUM(J97:J108)</f>
        <v>26685.0994841562</v>
      </c>
      <c r="K109" s="44" t="n">
        <f aca="false">SUM(K97:K108)</f>
        <v>174935.652173913</v>
      </c>
    </row>
    <row r="110" customFormat="false" ht="15" hidden="false" customHeight="false" outlineLevel="0" collapsed="false">
      <c r="B110" s="10" t="s">
        <v>147</v>
      </c>
      <c r="C110" s="40" t="n">
        <f aca="false">$C$87*$F$30</f>
        <v>826.086956521739</v>
      </c>
      <c r="D110" s="41" t="n">
        <v>0</v>
      </c>
      <c r="E110" s="40" t="n">
        <f aca="false">C110+D110</f>
        <v>826.086956521739</v>
      </c>
      <c r="F110" s="19" t="s">
        <v>126</v>
      </c>
      <c r="G110" s="19" t="s">
        <v>126</v>
      </c>
      <c r="H110" s="19" t="s">
        <v>126</v>
      </c>
      <c r="I110" s="19" t="s">
        <v>126</v>
      </c>
      <c r="J110" s="19" t="s">
        <v>126</v>
      </c>
      <c r="K110" s="19" t="s">
        <v>126</v>
      </c>
    </row>
    <row r="112" customFormat="false" ht="15" hidden="false" customHeight="false" outlineLevel="0" collapsed="false">
      <c r="B112" s="18" t="s">
        <v>270</v>
      </c>
    </row>
    <row r="113" customFormat="false" ht="25.5" hidden="false" customHeight="true" outlineLevel="0" collapsed="false">
      <c r="B113" s="20" t="s">
        <v>137</v>
      </c>
      <c r="C113" s="29" t="n">
        <v>0.15</v>
      </c>
    </row>
    <row r="114" customFormat="false" ht="15" hidden="false" customHeight="false" outlineLevel="0" collapsed="false">
      <c r="B114" s="10" t="s">
        <v>269</v>
      </c>
      <c r="C114" s="21" t="n">
        <v>40</v>
      </c>
    </row>
    <row r="115" customFormat="false" ht="39.75" hidden="false" customHeight="true" outlineLevel="0" collapsed="false">
      <c r="B115" s="5" t="s">
        <v>108</v>
      </c>
      <c r="C115" s="5" t="s">
        <v>139</v>
      </c>
      <c r="D115" s="5" t="s">
        <v>140</v>
      </c>
      <c r="E115" s="5" t="s">
        <v>141</v>
      </c>
      <c r="F115" s="5" t="s">
        <v>142</v>
      </c>
      <c r="G115" s="5" t="s">
        <v>143</v>
      </c>
      <c r="H115" s="5" t="s">
        <v>144</v>
      </c>
      <c r="I115" s="5" t="s">
        <v>49</v>
      </c>
      <c r="J115" s="5" t="s">
        <v>145</v>
      </c>
      <c r="K115" s="5" t="s">
        <v>146</v>
      </c>
    </row>
    <row r="116" customFormat="false" ht="15" hidden="false" customHeight="false" outlineLevel="0" collapsed="false">
      <c r="B116" s="10" t="s">
        <v>112</v>
      </c>
      <c r="C116" s="41" t="n">
        <v>0</v>
      </c>
      <c r="D116" s="40" t="n">
        <f aca="false">$D$75*$F$35</f>
        <v>489.130434782609</v>
      </c>
      <c r="E116" s="40" t="n">
        <f aca="false">C116+D116</f>
        <v>489.130434782609</v>
      </c>
      <c r="F116" s="40" t="n">
        <f aca="false">E117*$C$113</f>
        <v>65.2173913043478</v>
      </c>
      <c r="G116" s="40" t="n">
        <f aca="false">$C$114</f>
        <v>40</v>
      </c>
      <c r="H116" s="42" t="n">
        <f aca="false">E116+F116-G116</f>
        <v>514.347826086957</v>
      </c>
      <c r="I116" s="24" t="n">
        <f aca="false">H116*$I$20</f>
        <v>8281.87177597642</v>
      </c>
      <c r="J116" s="24" t="n">
        <f aca="false">I116*IF($G$20="Sí",$C$10,0)</f>
        <v>1490.73691967576</v>
      </c>
      <c r="K116" s="36" t="n">
        <f aca="false">I116+J116</f>
        <v>9772.60869565217</v>
      </c>
    </row>
    <row r="117" customFormat="false" ht="15" hidden="false" customHeight="false" outlineLevel="0" collapsed="false">
      <c r="B117" s="10" t="s">
        <v>113</v>
      </c>
      <c r="C117" s="41" t="n">
        <v>0</v>
      </c>
      <c r="D117" s="40" t="n">
        <f aca="false">$D$76*$F$35</f>
        <v>434.782608695652</v>
      </c>
      <c r="E117" s="40" t="n">
        <f aca="false">C117+D117</f>
        <v>434.782608695652</v>
      </c>
      <c r="F117" s="40" t="n">
        <f aca="false">E118*$C$113</f>
        <v>69.2934782608696</v>
      </c>
      <c r="G117" s="40" t="n">
        <f aca="false">F116</f>
        <v>65.2173913043478</v>
      </c>
      <c r="H117" s="42" t="n">
        <f aca="false">E117+F117-G117</f>
        <v>438.858695652174</v>
      </c>
      <c r="I117" s="24" t="n">
        <f aca="false">H117*$I$20</f>
        <v>7066.36882829772</v>
      </c>
      <c r="J117" s="24" t="n">
        <f aca="false">I117*IF($G$20="Sí",$C$10,0)</f>
        <v>1271.94638909359</v>
      </c>
      <c r="K117" s="36" t="n">
        <f aca="false">I117+J117</f>
        <v>8338.3152173913</v>
      </c>
    </row>
    <row r="118" customFormat="false" ht="15" hidden="false" customHeight="false" outlineLevel="0" collapsed="false">
      <c r="B118" s="10" t="s">
        <v>114</v>
      </c>
      <c r="C118" s="41" t="n">
        <v>0</v>
      </c>
      <c r="D118" s="40" t="n">
        <f aca="false">$D$77*$F$35</f>
        <v>461.95652173913</v>
      </c>
      <c r="E118" s="40" t="n">
        <f aca="false">C118+D118</f>
        <v>461.95652173913</v>
      </c>
      <c r="F118" s="40" t="n">
        <f aca="false">E119*$C$113</f>
        <v>77.445652173913</v>
      </c>
      <c r="G118" s="40" t="n">
        <f aca="false">F117</f>
        <v>69.2934782608696</v>
      </c>
      <c r="H118" s="42" t="n">
        <f aca="false">E118+F118-G118</f>
        <v>470.108695652174</v>
      </c>
      <c r="I118" s="24" t="n">
        <f aca="false">H118*$I$20</f>
        <v>7569.54679439941</v>
      </c>
      <c r="J118" s="24" t="n">
        <f aca="false">I118*IF($G$20="Sí",$C$10,0)</f>
        <v>1362.51842299189</v>
      </c>
      <c r="K118" s="36" t="n">
        <f aca="false">I118+J118</f>
        <v>8932.06521739131</v>
      </c>
    </row>
    <row r="119" customFormat="false" ht="15" hidden="false" customHeight="false" outlineLevel="0" collapsed="false">
      <c r="B119" s="10" t="s">
        <v>115</v>
      </c>
      <c r="C119" s="41" t="n">
        <v>0</v>
      </c>
      <c r="D119" s="40" t="n">
        <f aca="false">$D$78*$F$35</f>
        <v>516.304347826087</v>
      </c>
      <c r="E119" s="40" t="n">
        <f aca="false">C119+D119</f>
        <v>516.304347826087</v>
      </c>
      <c r="F119" s="40" t="n">
        <f aca="false">E120*$C$113</f>
        <v>81.5217391304348</v>
      </c>
      <c r="G119" s="40" t="n">
        <f aca="false">F118</f>
        <v>77.445652173913</v>
      </c>
      <c r="H119" s="42" t="n">
        <f aca="false">E119+F119-G119</f>
        <v>520.380434782609</v>
      </c>
      <c r="I119" s="24" t="n">
        <f aca="false">H119*$I$20</f>
        <v>8379.00700073692</v>
      </c>
      <c r="J119" s="24" t="n">
        <f aca="false">I119*IF($G$20="Sí",$C$10,0)</f>
        <v>1508.22126013265</v>
      </c>
      <c r="K119" s="36" t="n">
        <f aca="false">I119+J119</f>
        <v>9887.22826086956</v>
      </c>
    </row>
    <row r="120" customFormat="false" ht="15" hidden="false" customHeight="false" outlineLevel="0" collapsed="false">
      <c r="B120" s="10" t="s">
        <v>116</v>
      </c>
      <c r="C120" s="41" t="n">
        <v>0</v>
      </c>
      <c r="D120" s="40" t="n">
        <f aca="false">$D$79*$F$35</f>
        <v>543.478260869565</v>
      </c>
      <c r="E120" s="40" t="n">
        <f aca="false">C120+D120</f>
        <v>543.478260869565</v>
      </c>
      <c r="F120" s="40" t="n">
        <f aca="false">E121*$C$113</f>
        <v>81.5217391304348</v>
      </c>
      <c r="G120" s="40" t="n">
        <f aca="false">F119</f>
        <v>81.5217391304348</v>
      </c>
      <c r="H120" s="42" t="n">
        <f aca="false">E120+F120-G120</f>
        <v>543.478260869565</v>
      </c>
      <c r="I120" s="24" t="n">
        <f aca="false">H120*$I$20</f>
        <v>8750.92114959469</v>
      </c>
      <c r="J120" s="24" t="n">
        <f aca="false">I120*IF($G$20="Sí",$C$10,0)</f>
        <v>1575.16580692704</v>
      </c>
      <c r="K120" s="36" t="n">
        <f aca="false">I120+J120</f>
        <v>10326.0869565217</v>
      </c>
    </row>
    <row r="121" customFormat="false" ht="15" hidden="false" customHeight="false" outlineLevel="0" collapsed="false">
      <c r="B121" s="10" t="s">
        <v>117</v>
      </c>
      <c r="C121" s="41" t="n">
        <v>0</v>
      </c>
      <c r="D121" s="40" t="n">
        <f aca="false">$D$80*$F$35</f>
        <v>543.478260869565</v>
      </c>
      <c r="E121" s="40" t="n">
        <f aca="false">C121+D121</f>
        <v>543.478260869565</v>
      </c>
      <c r="F121" s="40" t="n">
        <f aca="false">E122*$C$113</f>
        <v>89.6739130434783</v>
      </c>
      <c r="G121" s="40" t="n">
        <f aca="false">F120</f>
        <v>81.5217391304348</v>
      </c>
      <c r="H121" s="42" t="n">
        <f aca="false">E121+F121-G121</f>
        <v>551.630434782609</v>
      </c>
      <c r="I121" s="24" t="n">
        <f aca="false">H121*$I$20</f>
        <v>8882.18496683862</v>
      </c>
      <c r="J121" s="24" t="n">
        <f aca="false">I121*IF($G$20="Sí",$C$10,0)</f>
        <v>1598.79329403095</v>
      </c>
      <c r="K121" s="36" t="n">
        <f aca="false">I121+J121</f>
        <v>10480.9782608696</v>
      </c>
    </row>
    <row r="122" customFormat="false" ht="15" hidden="false" customHeight="false" outlineLevel="0" collapsed="false">
      <c r="B122" s="10" t="s">
        <v>118</v>
      </c>
      <c r="C122" s="41" t="n">
        <v>0</v>
      </c>
      <c r="D122" s="40" t="n">
        <f aca="false">$D$81*$F$35</f>
        <v>597.826086956522</v>
      </c>
      <c r="E122" s="40" t="n">
        <f aca="false">C122+D122</f>
        <v>597.826086956522</v>
      </c>
      <c r="F122" s="40" t="n">
        <f aca="false">E123*$C$113</f>
        <v>101.902173913043</v>
      </c>
      <c r="G122" s="40" t="n">
        <f aca="false">F121</f>
        <v>89.6739130434783</v>
      </c>
      <c r="H122" s="42" t="n">
        <f aca="false">E122+F122-G122</f>
        <v>610.054347826087</v>
      </c>
      <c r="I122" s="24" t="n">
        <f aca="false">H122*$I$20</f>
        <v>9822.90899042005</v>
      </c>
      <c r="J122" s="24" t="n">
        <f aca="false">I122*IF($G$20="Sí",$C$10,0)</f>
        <v>1768.12361827561</v>
      </c>
      <c r="K122" s="36" t="n">
        <f aca="false">I122+J122</f>
        <v>11591.0326086957</v>
      </c>
    </row>
    <row r="123" customFormat="false" ht="15" hidden="false" customHeight="false" outlineLevel="0" collapsed="false">
      <c r="B123" s="10" t="s">
        <v>119</v>
      </c>
      <c r="C123" s="41" t="n">
        <v>0</v>
      </c>
      <c r="D123" s="40" t="n">
        <f aca="false">$D$82*$F$35</f>
        <v>679.347826086957</v>
      </c>
      <c r="E123" s="40" t="n">
        <f aca="false">C123+D123</f>
        <v>679.347826086957</v>
      </c>
      <c r="F123" s="40" t="n">
        <f aca="false">E124*$C$113</f>
        <v>81.5217391304348</v>
      </c>
      <c r="G123" s="40" t="n">
        <f aca="false">F122</f>
        <v>101.902173913043</v>
      </c>
      <c r="H123" s="42" t="n">
        <f aca="false">E123+F123-G123</f>
        <v>658.967391304348</v>
      </c>
      <c r="I123" s="24" t="n">
        <f aca="false">H123*$I$20</f>
        <v>10610.4918938836</v>
      </c>
      <c r="J123" s="24" t="n">
        <f aca="false">I123*IF($G$20="Sí",$C$10,0)</f>
        <v>1909.88854089904</v>
      </c>
      <c r="K123" s="36" t="n">
        <f aca="false">I123+J123</f>
        <v>12520.3804347826</v>
      </c>
    </row>
    <row r="124" customFormat="false" ht="15" hidden="false" customHeight="false" outlineLevel="0" collapsed="false">
      <c r="B124" s="10" t="s">
        <v>120</v>
      </c>
      <c r="C124" s="41" t="n">
        <v>0</v>
      </c>
      <c r="D124" s="40" t="n">
        <f aca="false">$D$83*$F$35</f>
        <v>543.478260869565</v>
      </c>
      <c r="E124" s="40" t="n">
        <f aca="false">C124+D124</f>
        <v>543.478260869565</v>
      </c>
      <c r="F124" s="40" t="n">
        <f aca="false">E125*$C$113</f>
        <v>85.5978260869565</v>
      </c>
      <c r="G124" s="40" t="n">
        <f aca="false">F123</f>
        <v>81.5217391304348</v>
      </c>
      <c r="H124" s="42" t="n">
        <f aca="false">E124+F124-G124</f>
        <v>547.554347826087</v>
      </c>
      <c r="I124" s="24" t="n">
        <f aca="false">H124*$I$20</f>
        <v>8816.55305821665</v>
      </c>
      <c r="J124" s="24" t="n">
        <f aca="false">I124*IF($G$20="Sí",$C$10,0)</f>
        <v>1586.979550479</v>
      </c>
      <c r="K124" s="36" t="n">
        <f aca="false">I124+J124</f>
        <v>10403.5326086957</v>
      </c>
    </row>
    <row r="125" customFormat="false" ht="15" hidden="false" customHeight="false" outlineLevel="0" collapsed="false">
      <c r="B125" s="10" t="s">
        <v>121</v>
      </c>
      <c r="C125" s="41" t="n">
        <v>0</v>
      </c>
      <c r="D125" s="40" t="n">
        <f aca="false">$D$84*$F$35</f>
        <v>570.652173913044</v>
      </c>
      <c r="E125" s="40" t="n">
        <f aca="false">C125+D125</f>
        <v>570.652173913044</v>
      </c>
      <c r="F125" s="40" t="n">
        <f aca="false">E126*$C$113</f>
        <v>89.6739130434783</v>
      </c>
      <c r="G125" s="40" t="n">
        <f aca="false">F124</f>
        <v>85.5978260869565</v>
      </c>
      <c r="H125" s="42" t="n">
        <f aca="false">E125+F125-G125</f>
        <v>574.728260869565</v>
      </c>
      <c r="I125" s="24" t="n">
        <f aca="false">H125*$I$20</f>
        <v>9254.09911569639</v>
      </c>
      <c r="J125" s="24" t="n">
        <f aca="false">I125*IF($G$20="Sí",$C$10,0)</f>
        <v>1665.73784082535</v>
      </c>
      <c r="K125" s="36" t="n">
        <f aca="false">I125+J125</f>
        <v>10919.8369565217</v>
      </c>
    </row>
    <row r="126" customFormat="false" ht="15" hidden="false" customHeight="false" outlineLevel="0" collapsed="false">
      <c r="B126" s="10" t="s">
        <v>122</v>
      </c>
      <c r="C126" s="41" t="n">
        <v>0</v>
      </c>
      <c r="D126" s="40" t="n">
        <f aca="false">$D$85*$F$35</f>
        <v>597.826086956522</v>
      </c>
      <c r="E126" s="40" t="n">
        <f aca="false">C126+D126</f>
        <v>597.826086956522</v>
      </c>
      <c r="F126" s="40" t="n">
        <f aca="false">E127*$C$113</f>
        <v>105.978260869565</v>
      </c>
      <c r="G126" s="40" t="n">
        <f aca="false">F125</f>
        <v>89.6739130434783</v>
      </c>
      <c r="H126" s="42" t="n">
        <f aca="false">E126+F126-G126</f>
        <v>614.130434782609</v>
      </c>
      <c r="I126" s="24" t="n">
        <f aca="false">H126*$I$20</f>
        <v>9888.54089904201</v>
      </c>
      <c r="J126" s="24" t="n">
        <f aca="false">I126*IF($G$20="Sí",$C$10,0)</f>
        <v>1779.93736182756</v>
      </c>
      <c r="K126" s="36" t="n">
        <f aca="false">I126+J126</f>
        <v>11668.4782608696</v>
      </c>
    </row>
    <row r="127" customFormat="false" ht="15" hidden="false" customHeight="false" outlineLevel="0" collapsed="false">
      <c r="B127" s="10" t="s">
        <v>123</v>
      </c>
      <c r="C127" s="41" t="n">
        <v>0</v>
      </c>
      <c r="D127" s="40" t="n">
        <f aca="false">$D$86*$F$35</f>
        <v>706.521739130435</v>
      </c>
      <c r="E127" s="40" t="n">
        <f aca="false">C127+D127</f>
        <v>706.521739130435</v>
      </c>
      <c r="F127" s="40" t="n">
        <f aca="false">E129*$C$113</f>
        <v>75.8152173913043</v>
      </c>
      <c r="G127" s="40" t="n">
        <f aca="false">F126</f>
        <v>105.978260869565</v>
      </c>
      <c r="H127" s="42" t="n">
        <f aca="false">E127+F127-G127</f>
        <v>676.358695652174</v>
      </c>
      <c r="I127" s="24" t="n">
        <f aca="false">H127*$I$20</f>
        <v>10890.5213706706</v>
      </c>
      <c r="J127" s="24" t="n">
        <f aca="false">I127*IF($G$20="Sí",$C$10,0)</f>
        <v>1960.29384672071</v>
      </c>
      <c r="K127" s="36" t="n">
        <f aca="false">I127+J127</f>
        <v>12850.8152173913</v>
      </c>
    </row>
    <row r="128" customFormat="false" ht="15" hidden="false" customHeight="false" outlineLevel="0" collapsed="false">
      <c r="B128" s="38" t="s">
        <v>124</v>
      </c>
      <c r="C128" s="31"/>
      <c r="D128" s="31"/>
      <c r="E128" s="43" t="n">
        <f aca="false">SUM(E116:E127)</f>
        <v>6684.78260869565</v>
      </c>
      <c r="F128" s="31"/>
      <c r="G128" s="31"/>
      <c r="H128" s="43" t="n">
        <f aca="false">SUM(H116:H127)</f>
        <v>6720.59782608696</v>
      </c>
      <c r="I128" s="44" t="n">
        <f aca="false">SUM(I116:I127)</f>
        <v>108213.015843773</v>
      </c>
      <c r="J128" s="44" t="n">
        <f aca="false">SUM(J116:J127)</f>
        <v>19478.3428518791</v>
      </c>
      <c r="K128" s="44" t="n">
        <f aca="false">SUM(K116:K127)</f>
        <v>127691.358695652</v>
      </c>
    </row>
    <row r="129" customFormat="false" ht="15" hidden="false" customHeight="false" outlineLevel="0" collapsed="false">
      <c r="B129" s="10" t="s">
        <v>147</v>
      </c>
      <c r="C129" s="41" t="n">
        <v>0</v>
      </c>
      <c r="D129" s="40" t="n">
        <f aca="false">$D$87*$F$35</f>
        <v>505.434782608696</v>
      </c>
      <c r="E129" s="40" t="n">
        <f aca="false">C129+D129</f>
        <v>505.434782608696</v>
      </c>
      <c r="F129" s="19" t="s">
        <v>126</v>
      </c>
      <c r="G129" s="19" t="s">
        <v>126</v>
      </c>
      <c r="H129" s="19" t="s">
        <v>126</v>
      </c>
      <c r="I129" s="19" t="s">
        <v>126</v>
      </c>
      <c r="J129" s="19" t="s">
        <v>126</v>
      </c>
      <c r="K129" s="19" t="s">
        <v>126</v>
      </c>
    </row>
    <row r="131" customFormat="false" ht="15" hidden="false" customHeight="false" outlineLevel="0" collapsed="false">
      <c r="B131" s="28" t="s">
        <v>151</v>
      </c>
    </row>
    <row r="132" customFormat="false" ht="30" hidden="false" customHeight="true" outlineLevel="0" collapsed="false">
      <c r="B132" s="5" t="s">
        <v>108</v>
      </c>
      <c r="C132" s="5" t="s">
        <v>49</v>
      </c>
      <c r="D132" s="5" t="s">
        <v>145</v>
      </c>
      <c r="E132" s="5" t="s">
        <v>146</v>
      </c>
    </row>
    <row r="133" customFormat="false" ht="15" hidden="false" customHeight="false" outlineLevel="0" collapsed="false">
      <c r="B133" s="10" t="s">
        <v>112</v>
      </c>
      <c r="C133" s="24" t="n">
        <f aca="false">I97+I116</f>
        <v>20069.6389093589</v>
      </c>
      <c r="D133" s="24" t="n">
        <f aca="false">J97+J116</f>
        <v>3612.5350036846</v>
      </c>
      <c r="E133" s="24" t="n">
        <f aca="false">K97+K116</f>
        <v>23682.1739130435</v>
      </c>
    </row>
    <row r="134" customFormat="false" ht="15" hidden="false" customHeight="false" outlineLevel="0" collapsed="false">
      <c r="B134" s="10" t="s">
        <v>113</v>
      </c>
      <c r="C134" s="24" t="n">
        <f aca="false">I98+I117</f>
        <v>17438.5132645542</v>
      </c>
      <c r="D134" s="24" t="n">
        <f aca="false">J98+J117</f>
        <v>3138.93238761975</v>
      </c>
      <c r="E134" s="24" t="n">
        <f aca="false">K98+K117</f>
        <v>20577.4456521739</v>
      </c>
    </row>
    <row r="135" customFormat="false" ht="15" hidden="false" customHeight="false" outlineLevel="0" collapsed="false">
      <c r="B135" s="10" t="s">
        <v>114</v>
      </c>
      <c r="C135" s="24" t="n">
        <f aca="false">I99+I118</f>
        <v>18365.4200442152</v>
      </c>
      <c r="D135" s="24" t="n">
        <f aca="false">J99+J118</f>
        <v>3305.77560795873</v>
      </c>
      <c r="E135" s="24" t="n">
        <f aca="false">K99+K118</f>
        <v>21671.1956521739</v>
      </c>
    </row>
    <row r="136" customFormat="false" ht="15" hidden="false" customHeight="false" outlineLevel="0" collapsed="false">
      <c r="B136" s="10" t="s">
        <v>115</v>
      </c>
      <c r="C136" s="24" t="n">
        <f aca="false">I100+I119</f>
        <v>19856.5309506264</v>
      </c>
      <c r="D136" s="24" t="n">
        <f aca="false">J100+J119</f>
        <v>3574.17557111275</v>
      </c>
      <c r="E136" s="24" t="n">
        <f aca="false">K100+K119</f>
        <v>23430.7065217391</v>
      </c>
    </row>
    <row r="137" customFormat="false" ht="15" hidden="false" customHeight="false" outlineLevel="0" collapsed="false">
      <c r="B137" s="10" t="s">
        <v>116</v>
      </c>
      <c r="C137" s="24" t="n">
        <f aca="false">I101+I120</f>
        <v>20541.6359616802</v>
      </c>
      <c r="D137" s="24" t="n">
        <f aca="false">J101+J120</f>
        <v>3697.49447310243</v>
      </c>
      <c r="E137" s="24" t="n">
        <f aca="false">K101+K120</f>
        <v>24239.1304347826</v>
      </c>
    </row>
    <row r="138" customFormat="false" ht="15" hidden="false" customHeight="false" outlineLevel="0" collapsed="false">
      <c r="B138" s="10" t="s">
        <v>117</v>
      </c>
      <c r="C138" s="24" t="n">
        <f aca="false">I102+I121</f>
        <v>20893.9756816507</v>
      </c>
      <c r="D138" s="24" t="n">
        <f aca="false">J102+J121</f>
        <v>3760.91562269713</v>
      </c>
      <c r="E138" s="24" t="n">
        <f aca="false">K102+K121</f>
        <v>24654.8913043478</v>
      </c>
    </row>
    <row r="139" customFormat="false" ht="15" hidden="false" customHeight="false" outlineLevel="0" collapsed="false">
      <c r="B139" s="10" t="s">
        <v>118</v>
      </c>
      <c r="C139" s="24" t="n">
        <f aca="false">I103+I122</f>
        <v>23363.8080324245</v>
      </c>
      <c r="D139" s="24" t="n">
        <f aca="false">J103+J122</f>
        <v>4205.4854458364</v>
      </c>
      <c r="E139" s="24" t="n">
        <f aca="false">K103+K122</f>
        <v>27569.2934782609</v>
      </c>
    </row>
    <row r="140" customFormat="false" ht="15" hidden="false" customHeight="false" outlineLevel="0" collapsed="false">
      <c r="B140" s="10" t="s">
        <v>119</v>
      </c>
      <c r="C140" s="24" t="n">
        <f aca="false">I104+I123</f>
        <v>25219.9244657332</v>
      </c>
      <c r="D140" s="24" t="n">
        <f aca="false">J104+J123</f>
        <v>4539.58640383198</v>
      </c>
      <c r="E140" s="24" t="n">
        <f aca="false">K104+K123</f>
        <v>29759.5108695652</v>
      </c>
    </row>
    <row r="141" customFormat="false" ht="15" hidden="false" customHeight="false" outlineLevel="0" collapsed="false">
      <c r="B141" s="10" t="s">
        <v>120</v>
      </c>
      <c r="C141" s="24" t="n">
        <f aca="false">I105+I124</f>
        <v>20662.5368459838</v>
      </c>
      <c r="D141" s="24" t="n">
        <f aca="false">J105+J124</f>
        <v>3719.25663227708</v>
      </c>
      <c r="E141" s="24" t="n">
        <f aca="false">K105+K124</f>
        <v>24381.7934782609</v>
      </c>
    </row>
    <row r="142" customFormat="false" ht="15" hidden="false" customHeight="false" outlineLevel="0" collapsed="false">
      <c r="B142" s="10" t="s">
        <v>121</v>
      </c>
      <c r="C142" s="24" t="n">
        <f aca="false">I106+I125</f>
        <v>21468.5427413412</v>
      </c>
      <c r="D142" s="24" t="n">
        <f aca="false">J106+J125</f>
        <v>3864.33769344141</v>
      </c>
      <c r="E142" s="24" t="n">
        <f aca="false">K106+K125</f>
        <v>25332.8804347826</v>
      </c>
    </row>
    <row r="143" customFormat="false" ht="15" hidden="false" customHeight="false" outlineLevel="0" collapsed="false">
      <c r="B143" s="10" t="s">
        <v>122</v>
      </c>
      <c r="C143" s="24" t="n">
        <f aca="false">I107+I126</f>
        <v>22858.327192336</v>
      </c>
      <c r="D143" s="24" t="n">
        <f aca="false">J107+J126</f>
        <v>4114.49889462049</v>
      </c>
      <c r="E143" s="24" t="n">
        <f aca="false">K107+K126</f>
        <v>26972.8260869565</v>
      </c>
    </row>
    <row r="144" customFormat="false" ht="15" hidden="false" customHeight="false" outlineLevel="0" collapsed="false">
      <c r="B144" s="10" t="s">
        <v>123</v>
      </c>
      <c r="C144" s="24" t="n">
        <f aca="false">I108+I127</f>
        <v>25724.7144436257</v>
      </c>
      <c r="D144" s="24" t="n">
        <f aca="false">J108+J127</f>
        <v>4630.44859985262</v>
      </c>
      <c r="E144" s="24" t="n">
        <f aca="false">K108+K127</f>
        <v>30355.1630434783</v>
      </c>
    </row>
    <row r="145" customFormat="false" ht="15" hidden="false" customHeight="false" outlineLevel="0" collapsed="false">
      <c r="B145" s="38" t="s">
        <v>124</v>
      </c>
      <c r="C145" s="44" t="n">
        <f aca="false">SUM(C133:C144)</f>
        <v>256463.56853353</v>
      </c>
      <c r="D145" s="44" t="n">
        <f aca="false">SUM(D133:D144)</f>
        <v>46163.4423360354</v>
      </c>
      <c r="E145" s="44" t="n">
        <f aca="false">SUM(E133:E144)</f>
        <v>302627.010869565</v>
      </c>
    </row>
  </sheetData>
  <mergeCells count="19">
    <mergeCell ref="A1:K1"/>
    <mergeCell ref="A2:K2"/>
    <mergeCell ref="C11:G11"/>
    <mergeCell ref="C12:G12"/>
    <mergeCell ref="A14:K14"/>
    <mergeCell ref="J18:K18"/>
    <mergeCell ref="J19:K19"/>
    <mergeCell ref="J20:K20"/>
    <mergeCell ref="J21:K21"/>
    <mergeCell ref="J22:K22"/>
    <mergeCell ref="J23:K23"/>
    <mergeCell ref="J24:K24"/>
    <mergeCell ref="I29:K29"/>
    <mergeCell ref="I30:K30"/>
    <mergeCell ref="I34:K34"/>
    <mergeCell ref="I35:K35"/>
    <mergeCell ref="A50:K50"/>
    <mergeCell ref="A70:K70"/>
    <mergeCell ref="A89:K89"/>
  </mergeCells>
  <dataValidations count="2">
    <dataValidation allowBlank="true" errorStyle="stop" operator="between" showDropDown="false" showErrorMessage="false" showInputMessage="false" sqref="E40:E43" type="list">
      <formula1>"MPI,No es materia prima"</formula1>
      <formula2>0</formula2>
    </dataValidation>
    <dataValidation allowBlank="true" errorStyle="stop" operator="between" showDropDown="false" showErrorMessage="false" showInputMessage="false" sqref="F40:F43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272</v>
      </c>
    </row>
    <row r="6" customFormat="false" ht="15" hidden="false" customHeight="false" outlineLevel="0" collapsed="false">
      <c r="B6" s="14" t="s">
        <v>273</v>
      </c>
    </row>
    <row r="7" customFormat="false" ht="15" hidden="false" customHeight="false" outlineLevel="0" collapsed="false">
      <c r="B7" s="14" t="s">
        <v>274</v>
      </c>
    </row>
    <row r="9" customFormat="false" ht="15" hidden="false" customHeight="false" outlineLevel="0" collapsed="false">
      <c r="B9" s="11" t="s">
        <v>34</v>
      </c>
      <c r="C9" s="15" t="n">
        <v>0.18</v>
      </c>
    </row>
    <row r="10" customFormat="false" ht="15" hidden="false" customHeight="false" outlineLevel="0" collapsed="false">
      <c r="B10" s="11" t="s">
        <v>35</v>
      </c>
      <c r="C10" s="10" t="s">
        <v>275</v>
      </c>
      <c r="D10" s="10"/>
      <c r="E10" s="10"/>
      <c r="F10" s="10"/>
      <c r="G10" s="10"/>
    </row>
    <row r="11" customFormat="false" ht="15" hidden="false" customHeight="false" outlineLevel="0" collapsed="false">
      <c r="B11" s="11" t="s">
        <v>37</v>
      </c>
      <c r="C11" s="10" t="s">
        <v>276</v>
      </c>
      <c r="D11" s="10"/>
      <c r="E11" s="10"/>
      <c r="F11" s="10"/>
      <c r="G11" s="10"/>
    </row>
    <row r="13" customFormat="false" ht="19.5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B14" s="17" t="s">
        <v>40</v>
      </c>
    </row>
    <row r="16" customFormat="false" ht="15" hidden="false" customHeight="false" outlineLevel="0" collapsed="false">
      <c r="B16" s="18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</row>
    <row r="18" customFormat="false" ht="30" hidden="false" customHeight="true" outlineLevel="0" collapsed="false">
      <c r="A18" s="19" t="n">
        <v>1</v>
      </c>
      <c r="B18" s="20" t="s">
        <v>277</v>
      </c>
      <c r="C18" s="20" t="s">
        <v>278</v>
      </c>
      <c r="D18" s="21" t="n">
        <v>25</v>
      </c>
      <c r="E18" s="19" t="s">
        <v>164</v>
      </c>
      <c r="F18" s="22" t="n">
        <v>2450</v>
      </c>
      <c r="G18" s="23" t="s">
        <v>55</v>
      </c>
      <c r="H18" s="24" t="n">
        <f aca="false">IF(G18="Sí",F18/(1+$C$9),F18)</f>
        <v>2076.27118644068</v>
      </c>
      <c r="I18" s="25" t="n">
        <f aca="false">H18/D18</f>
        <v>83.0508474576271</v>
      </c>
      <c r="J18" s="26" t="s">
        <v>279</v>
      </c>
      <c r="K18" s="26"/>
    </row>
    <row r="19" customFormat="false" ht="30" hidden="false" customHeight="true" outlineLevel="0" collapsed="false">
      <c r="A19" s="19" t="n">
        <v>2</v>
      </c>
      <c r="B19" s="20" t="s">
        <v>280</v>
      </c>
      <c r="C19" s="20" t="s">
        <v>281</v>
      </c>
      <c r="D19" s="21" t="n">
        <v>25</v>
      </c>
      <c r="E19" s="19" t="s">
        <v>164</v>
      </c>
      <c r="F19" s="22" t="n">
        <v>540</v>
      </c>
      <c r="G19" s="23" t="s">
        <v>55</v>
      </c>
      <c r="H19" s="24" t="n">
        <f aca="false">IF(G19="Sí",F19/(1+$C$9),F19)</f>
        <v>457.627118644068</v>
      </c>
      <c r="I19" s="25" t="n">
        <f aca="false">H19/D19</f>
        <v>18.3050847457627</v>
      </c>
      <c r="J19" s="26" t="s">
        <v>282</v>
      </c>
      <c r="K19" s="26"/>
    </row>
    <row r="20" customFormat="false" ht="30" hidden="false" customHeight="true" outlineLevel="0" collapsed="false">
      <c r="A20" s="19" t="n">
        <v>3</v>
      </c>
      <c r="B20" s="20" t="s">
        <v>283</v>
      </c>
      <c r="C20" s="20" t="s">
        <v>284</v>
      </c>
      <c r="D20" s="21" t="n">
        <v>50</v>
      </c>
      <c r="E20" s="19" t="s">
        <v>164</v>
      </c>
      <c r="F20" s="22" t="n">
        <v>215</v>
      </c>
      <c r="G20" s="23" t="s">
        <v>55</v>
      </c>
      <c r="H20" s="24" t="n">
        <f aca="false">IF(G20="Sí",F20/(1+$C$9),F20)</f>
        <v>182.203389830508</v>
      </c>
      <c r="I20" s="25" t="n">
        <f aca="false">H20/D20</f>
        <v>3.64406779661017</v>
      </c>
      <c r="J20" s="26" t="s">
        <v>282</v>
      </c>
      <c r="K20" s="26"/>
    </row>
    <row r="21" customFormat="false" ht="30" hidden="false" customHeight="true" outlineLevel="0" collapsed="false">
      <c r="A21" s="19" t="n">
        <v>4</v>
      </c>
      <c r="B21" s="20" t="s">
        <v>285</v>
      </c>
      <c r="C21" s="20" t="s">
        <v>163</v>
      </c>
      <c r="D21" s="21" t="n">
        <v>5</v>
      </c>
      <c r="E21" s="19" t="s">
        <v>164</v>
      </c>
      <c r="F21" s="22" t="n">
        <v>105</v>
      </c>
      <c r="G21" s="23" t="s">
        <v>55</v>
      </c>
      <c r="H21" s="24" t="n">
        <f aca="false">IF(G21="Sí",F21/(1+$C$9),F21)</f>
        <v>88.9830508474576</v>
      </c>
      <c r="I21" s="25" t="n">
        <f aca="false">H21/D21</f>
        <v>17.7966101694915</v>
      </c>
      <c r="J21" s="26" t="s">
        <v>286</v>
      </c>
      <c r="K21" s="26"/>
    </row>
    <row r="22" customFormat="false" ht="30" hidden="false" customHeight="true" outlineLevel="0" collapsed="false">
      <c r="A22" s="19" t="n">
        <v>5</v>
      </c>
      <c r="B22" s="20" t="s">
        <v>287</v>
      </c>
      <c r="C22" s="20" t="s">
        <v>288</v>
      </c>
      <c r="D22" s="21" t="n">
        <v>1</v>
      </c>
      <c r="E22" s="19" t="s">
        <v>164</v>
      </c>
      <c r="F22" s="22" t="n">
        <v>52</v>
      </c>
      <c r="G22" s="23" t="s">
        <v>55</v>
      </c>
      <c r="H22" s="24" t="n">
        <f aca="false">IF(G22="Sí",F22/(1+$C$9),F22)</f>
        <v>44.0677966101695</v>
      </c>
      <c r="I22" s="25" t="n">
        <f aca="false">H22/D22</f>
        <v>44.0677966101695</v>
      </c>
      <c r="J22" s="26" t="s">
        <v>286</v>
      </c>
      <c r="K22" s="26"/>
    </row>
    <row r="23" customFormat="false" ht="30" hidden="false" customHeight="true" outlineLevel="0" collapsed="false">
      <c r="A23" s="19" t="n">
        <v>6</v>
      </c>
      <c r="B23" s="20" t="s">
        <v>289</v>
      </c>
      <c r="C23" s="20" t="s">
        <v>288</v>
      </c>
      <c r="D23" s="21" t="n">
        <v>1</v>
      </c>
      <c r="E23" s="19" t="s">
        <v>164</v>
      </c>
      <c r="F23" s="22" t="n">
        <v>62</v>
      </c>
      <c r="G23" s="23" t="s">
        <v>55</v>
      </c>
      <c r="H23" s="24" t="n">
        <f aca="false">IF(G23="Sí",F23/(1+$C$9),F23)</f>
        <v>52.5423728813559</v>
      </c>
      <c r="I23" s="25" t="n">
        <f aca="false">H23/D23</f>
        <v>52.5423728813559</v>
      </c>
      <c r="J23" s="26" t="s">
        <v>286</v>
      </c>
      <c r="K23" s="26"/>
    </row>
    <row r="24" customFormat="false" ht="30" hidden="false" customHeight="true" outlineLevel="0" collapsed="false">
      <c r="A24" s="19" t="n">
        <v>7</v>
      </c>
      <c r="B24" s="20" t="s">
        <v>290</v>
      </c>
      <c r="C24" s="20" t="s">
        <v>291</v>
      </c>
      <c r="D24" s="21" t="n">
        <v>1000</v>
      </c>
      <c r="E24" s="19" t="s">
        <v>72</v>
      </c>
      <c r="F24" s="22" t="n">
        <v>85</v>
      </c>
      <c r="G24" s="23" t="s">
        <v>55</v>
      </c>
      <c r="H24" s="24" t="n">
        <f aca="false">IF(G24="Sí",F24/(1+$C$9),F24)</f>
        <v>72.0338983050848</v>
      </c>
      <c r="I24" s="25" t="n">
        <f aca="false">H24/D24</f>
        <v>0.0720338983050848</v>
      </c>
      <c r="J24" s="26" t="s">
        <v>173</v>
      </c>
      <c r="K24" s="26"/>
    </row>
    <row r="25" customFormat="false" ht="30" hidden="false" customHeight="true" outlineLevel="0" collapsed="false">
      <c r="A25" s="19" t="n">
        <v>8</v>
      </c>
      <c r="B25" s="20" t="s">
        <v>292</v>
      </c>
      <c r="C25" s="20" t="s">
        <v>71</v>
      </c>
      <c r="D25" s="21" t="n">
        <v>1000</v>
      </c>
      <c r="E25" s="19" t="s">
        <v>72</v>
      </c>
      <c r="F25" s="22" t="n">
        <v>520</v>
      </c>
      <c r="G25" s="23" t="s">
        <v>55</v>
      </c>
      <c r="H25" s="24" t="n">
        <f aca="false">IF(G25="Sí",F25/(1+$C$9),F25)</f>
        <v>440.677966101695</v>
      </c>
      <c r="I25" s="25" t="n">
        <f aca="false">H25/D25</f>
        <v>0.440677966101695</v>
      </c>
      <c r="J25" s="26" t="s">
        <v>73</v>
      </c>
      <c r="K25" s="26"/>
    </row>
    <row r="26" customFormat="false" ht="30" hidden="false" customHeight="true" outlineLevel="0" collapsed="false">
      <c r="A26" s="19" t="n">
        <v>9</v>
      </c>
      <c r="B26" s="20" t="s">
        <v>293</v>
      </c>
      <c r="C26" s="20" t="s">
        <v>71</v>
      </c>
      <c r="D26" s="21" t="n">
        <v>1000</v>
      </c>
      <c r="E26" s="19" t="s">
        <v>72</v>
      </c>
      <c r="F26" s="22" t="n">
        <v>110</v>
      </c>
      <c r="G26" s="23" t="s">
        <v>55</v>
      </c>
      <c r="H26" s="24" t="n">
        <f aca="false">IF(G26="Sí",F26/(1+$C$9),F26)</f>
        <v>93.2203389830509</v>
      </c>
      <c r="I26" s="25" t="n">
        <f aca="false">H26/D26</f>
        <v>0.0932203389830509</v>
      </c>
      <c r="J26" s="26" t="s">
        <v>73</v>
      </c>
      <c r="K26" s="26"/>
    </row>
    <row r="27" customFormat="false" ht="30" hidden="false" customHeight="true" outlineLevel="0" collapsed="false">
      <c r="A27" s="19" t="n">
        <v>10</v>
      </c>
      <c r="B27" s="20" t="s">
        <v>294</v>
      </c>
      <c r="C27" s="20" t="s">
        <v>288</v>
      </c>
      <c r="D27" s="21" t="n">
        <v>1</v>
      </c>
      <c r="E27" s="19" t="s">
        <v>295</v>
      </c>
      <c r="F27" s="22" t="n">
        <v>38</v>
      </c>
      <c r="G27" s="23" t="s">
        <v>55</v>
      </c>
      <c r="H27" s="24" t="n">
        <f aca="false">IF(G27="Sí",F27/(1+$C$9),F27)</f>
        <v>32.2033898305085</v>
      </c>
      <c r="I27" s="25" t="n">
        <f aca="false">H27/D27</f>
        <v>32.2033898305085</v>
      </c>
      <c r="J27" s="26" t="s">
        <v>286</v>
      </c>
      <c r="K27" s="26"/>
    </row>
    <row r="28" customFormat="false" ht="30" hidden="false" customHeight="true" outlineLevel="0" collapsed="false">
      <c r="A28" s="19" t="n">
        <v>11</v>
      </c>
      <c r="B28" s="20" t="s">
        <v>296</v>
      </c>
      <c r="C28" s="20" t="s">
        <v>297</v>
      </c>
      <c r="D28" s="21" t="n">
        <v>1</v>
      </c>
      <c r="E28" s="19" t="s">
        <v>295</v>
      </c>
      <c r="F28" s="22" t="n">
        <v>45</v>
      </c>
      <c r="G28" s="23" t="s">
        <v>55</v>
      </c>
      <c r="H28" s="24" t="n">
        <f aca="false">IF(G28="Sí",F28/(1+$C$9),F28)</f>
        <v>38.135593220339</v>
      </c>
      <c r="I28" s="25" t="n">
        <f aca="false">H28/D28</f>
        <v>38.135593220339</v>
      </c>
      <c r="J28" s="26" t="s">
        <v>286</v>
      </c>
      <c r="K28" s="26"/>
    </row>
    <row r="29" customFormat="false" ht="30" hidden="false" customHeight="true" outlineLevel="0" collapsed="false">
      <c r="A29" s="19" t="n">
        <v>12</v>
      </c>
      <c r="B29" s="20" t="s">
        <v>298</v>
      </c>
      <c r="C29" s="20" t="s">
        <v>299</v>
      </c>
      <c r="D29" s="21" t="n">
        <v>1</v>
      </c>
      <c r="E29" s="19" t="s">
        <v>69</v>
      </c>
      <c r="F29" s="22" t="n">
        <v>70.8</v>
      </c>
      <c r="G29" s="23" t="s">
        <v>55</v>
      </c>
      <c r="H29" s="24" t="n">
        <f aca="false">IF(G29="Sí",F29/(1+$C$9),F29)</f>
        <v>60</v>
      </c>
      <c r="I29" s="25" t="n">
        <f aca="false">H29/D29</f>
        <v>60</v>
      </c>
      <c r="J29" s="26" t="s">
        <v>173</v>
      </c>
      <c r="K29" s="26"/>
    </row>
    <row r="30" customFormat="false" ht="30" hidden="false" customHeight="true" outlineLevel="0" collapsed="false">
      <c r="A30" s="19" t="n">
        <v>13</v>
      </c>
      <c r="B30" s="20" t="s">
        <v>74</v>
      </c>
      <c r="C30" s="20" t="s">
        <v>68</v>
      </c>
      <c r="D30" s="21" t="n">
        <v>1</v>
      </c>
      <c r="E30" s="19" t="s">
        <v>69</v>
      </c>
      <c r="F30" s="22" t="n">
        <v>70.8</v>
      </c>
      <c r="G30" s="23" t="s">
        <v>55</v>
      </c>
      <c r="H30" s="24" t="n">
        <f aca="false">IF(G30="Sí",F30/(1+$C$9),F30)</f>
        <v>60</v>
      </c>
      <c r="I30" s="25" t="n">
        <f aca="false">H30/D30</f>
        <v>60</v>
      </c>
      <c r="J30" s="26" t="s">
        <v>75</v>
      </c>
      <c r="K30" s="26"/>
    </row>
    <row r="31" customFormat="false" ht="15" hidden="false" customHeight="false" outlineLevel="0" collapsed="false">
      <c r="B31" s="27" t="s">
        <v>76</v>
      </c>
    </row>
    <row r="32" customFormat="false" ht="15" hidden="false" customHeight="false" outlineLevel="0" collapsed="false">
      <c r="B32" s="27" t="s">
        <v>77</v>
      </c>
    </row>
    <row r="34" customFormat="false" ht="15" hidden="false" customHeight="false" outlineLevel="0" collapsed="false">
      <c r="B34" s="28" t="s">
        <v>300</v>
      </c>
    </row>
    <row r="35" customFormat="false" ht="31.5" hidden="false" customHeight="true" outlineLevel="0" collapsed="false">
      <c r="A35" s="5" t="s">
        <v>42</v>
      </c>
      <c r="B35" s="5" t="s">
        <v>43</v>
      </c>
      <c r="C35" s="5" t="s">
        <v>46</v>
      </c>
      <c r="D35" s="5" t="s">
        <v>79</v>
      </c>
      <c r="E35" s="5" t="s">
        <v>80</v>
      </c>
      <c r="F35" s="5" t="s">
        <v>81</v>
      </c>
      <c r="G35" s="5" t="s">
        <v>50</v>
      </c>
      <c r="H35" s="5" t="s">
        <v>301</v>
      </c>
      <c r="I35" s="5" t="s">
        <v>83</v>
      </c>
      <c r="J35" s="5"/>
      <c r="K35" s="5"/>
    </row>
    <row r="36" customFormat="false" ht="30" hidden="false" customHeight="true" outlineLevel="0" collapsed="false">
      <c r="A36" s="19" t="n">
        <v>1</v>
      </c>
      <c r="B36" s="20" t="s">
        <v>277</v>
      </c>
      <c r="C36" s="19" t="s">
        <v>164</v>
      </c>
      <c r="D36" s="21" t="n">
        <v>0.029</v>
      </c>
      <c r="E36" s="29" t="n">
        <v>0.03</v>
      </c>
      <c r="F36" s="30" t="n">
        <f aca="false">D36/(1-E36)</f>
        <v>0.0298969072164948</v>
      </c>
      <c r="G36" s="25" t="n">
        <f aca="false">I18</f>
        <v>83.0508474576271</v>
      </c>
      <c r="H36" s="25" t="n">
        <f aca="false">F36*G36</f>
        <v>2.48296348069194</v>
      </c>
      <c r="I36" s="26" t="s">
        <v>302</v>
      </c>
      <c r="J36" s="26"/>
      <c r="K36" s="26"/>
    </row>
    <row r="37" customFormat="false" ht="30" hidden="false" customHeight="true" outlineLevel="0" collapsed="false">
      <c r="A37" s="19" t="n">
        <v>2</v>
      </c>
      <c r="B37" s="20" t="s">
        <v>280</v>
      </c>
      <c r="C37" s="19" t="s">
        <v>164</v>
      </c>
      <c r="D37" s="21" t="n">
        <v>0.022</v>
      </c>
      <c r="E37" s="29" t="n">
        <v>0.03</v>
      </c>
      <c r="F37" s="30" t="n">
        <f aca="false">D37/(1-E37)</f>
        <v>0.022680412371134</v>
      </c>
      <c r="G37" s="25" t="n">
        <f aca="false">I19</f>
        <v>18.3050847457627</v>
      </c>
      <c r="H37" s="25" t="n">
        <f aca="false">F37*G37</f>
        <v>0.415166870522453</v>
      </c>
      <c r="I37" s="26" t="s">
        <v>302</v>
      </c>
      <c r="J37" s="26"/>
      <c r="K37" s="26"/>
    </row>
    <row r="38" customFormat="false" ht="30" hidden="false" customHeight="true" outlineLevel="0" collapsed="false">
      <c r="A38" s="19" t="n">
        <v>3</v>
      </c>
      <c r="B38" s="20" t="s">
        <v>283</v>
      </c>
      <c r="C38" s="19" t="s">
        <v>164</v>
      </c>
      <c r="D38" s="21" t="n">
        <v>0.036</v>
      </c>
      <c r="E38" s="29" t="n">
        <v>0.03</v>
      </c>
      <c r="F38" s="30" t="n">
        <f aca="false">D38/(1-E38)</f>
        <v>0.0371134020618557</v>
      </c>
      <c r="G38" s="25" t="n">
        <f aca="false">I20</f>
        <v>3.64406779661017</v>
      </c>
      <c r="H38" s="25" t="n">
        <f aca="false">F38*G38</f>
        <v>0.135243753276254</v>
      </c>
      <c r="I38" s="26" t="s">
        <v>302</v>
      </c>
      <c r="J38" s="26"/>
      <c r="K38" s="26"/>
    </row>
    <row r="39" customFormat="false" ht="30" hidden="false" customHeight="true" outlineLevel="0" collapsed="false">
      <c r="A39" s="19" t="n">
        <v>4</v>
      </c>
      <c r="B39" s="20" t="s">
        <v>285</v>
      </c>
      <c r="C39" s="19" t="s">
        <v>164</v>
      </c>
      <c r="D39" s="21" t="n">
        <v>0.01</v>
      </c>
      <c r="E39" s="29" t="n">
        <v>0.05</v>
      </c>
      <c r="F39" s="30" t="n">
        <f aca="false">D39/(1-E39)</f>
        <v>0.0105263157894737</v>
      </c>
      <c r="G39" s="25" t="n">
        <f aca="false">I21</f>
        <v>17.7966101694915</v>
      </c>
      <c r="H39" s="25" t="n">
        <f aca="false">F39*G39</f>
        <v>0.187332738626227</v>
      </c>
      <c r="I39" s="26" t="s">
        <v>303</v>
      </c>
      <c r="J39" s="26"/>
      <c r="K39" s="26"/>
    </row>
    <row r="40" customFormat="false" ht="30" hidden="false" customHeight="true" outlineLevel="0" collapsed="false">
      <c r="A40" s="19" t="n">
        <v>5</v>
      </c>
      <c r="B40" s="20" t="s">
        <v>290</v>
      </c>
      <c r="C40" s="19" t="s">
        <v>72</v>
      </c>
      <c r="D40" s="21" t="n">
        <v>1</v>
      </c>
      <c r="E40" s="29" t="n">
        <v>0.02</v>
      </c>
      <c r="F40" s="30" t="n">
        <f aca="false">D40/(1-E40)</f>
        <v>1.02040816326531</v>
      </c>
      <c r="G40" s="25" t="n">
        <f aca="false">I24</f>
        <v>0.0720338983050848</v>
      </c>
      <c r="H40" s="25" t="n">
        <f aca="false">F40*G40</f>
        <v>0.0735039778623314</v>
      </c>
      <c r="I40" s="26" t="s">
        <v>304</v>
      </c>
      <c r="J40" s="26"/>
      <c r="K40" s="26"/>
    </row>
    <row r="41" customFormat="false" ht="30" hidden="false" customHeight="true" outlineLevel="0" collapsed="false">
      <c r="A41" s="19" t="n">
        <v>6</v>
      </c>
      <c r="B41" s="20" t="s">
        <v>292</v>
      </c>
      <c r="C41" s="19" t="s">
        <v>72</v>
      </c>
      <c r="D41" s="21" t="n">
        <v>1</v>
      </c>
      <c r="E41" s="29" t="n">
        <v>0.02</v>
      </c>
      <c r="F41" s="30" t="n">
        <f aca="false">D41/(1-E41)</f>
        <v>1.02040816326531</v>
      </c>
      <c r="G41" s="25" t="n">
        <f aca="false">I25</f>
        <v>0.440677966101695</v>
      </c>
      <c r="H41" s="25" t="n">
        <f aca="false">F41*G41</f>
        <v>0.449671393981321</v>
      </c>
      <c r="I41" s="26" t="s">
        <v>305</v>
      </c>
      <c r="J41" s="26"/>
      <c r="K41" s="26"/>
    </row>
    <row r="42" customFormat="false" ht="30" hidden="false" customHeight="true" outlineLevel="0" collapsed="false">
      <c r="A42" s="19" t="n">
        <v>7</v>
      </c>
      <c r="B42" s="20" t="s">
        <v>293</v>
      </c>
      <c r="C42" s="19" t="s">
        <v>72</v>
      </c>
      <c r="D42" s="21" t="n">
        <v>1</v>
      </c>
      <c r="E42" s="29" t="n">
        <v>0.02</v>
      </c>
      <c r="F42" s="30" t="n">
        <f aca="false">D42/(1-E42)</f>
        <v>1.02040816326531</v>
      </c>
      <c r="G42" s="25" t="n">
        <f aca="false">I26</f>
        <v>0.0932203389830509</v>
      </c>
      <c r="H42" s="25" t="n">
        <f aca="false">F42*G42</f>
        <v>0.0951227948806641</v>
      </c>
      <c r="I42" s="26" t="s">
        <v>306</v>
      </c>
      <c r="J42" s="26"/>
      <c r="K42" s="26"/>
    </row>
    <row r="43" customFormat="false" ht="25.5" hidden="false" customHeight="true" outlineLevel="0" collapsed="false">
      <c r="A43" s="31"/>
      <c r="B43" s="32" t="s">
        <v>307</v>
      </c>
      <c r="C43" s="31"/>
      <c r="D43" s="31"/>
      <c r="E43" s="31"/>
      <c r="F43" s="31"/>
      <c r="G43" s="31"/>
      <c r="H43" s="33" t="n">
        <f aca="false">SUM(H36:H42)</f>
        <v>3.8390050098412</v>
      </c>
    </row>
    <row r="45" customFormat="false" ht="15" hidden="false" customHeight="false" outlineLevel="0" collapsed="false">
      <c r="B45" s="28" t="s">
        <v>308</v>
      </c>
    </row>
    <row r="46" customFormat="false" ht="31.5" hidden="false" customHeight="true" outlineLevel="0" collapsed="false">
      <c r="A46" s="5" t="s">
        <v>42</v>
      </c>
      <c r="B46" s="5" t="s">
        <v>43</v>
      </c>
      <c r="C46" s="5" t="s">
        <v>46</v>
      </c>
      <c r="D46" s="5" t="s">
        <v>79</v>
      </c>
      <c r="E46" s="5" t="s">
        <v>80</v>
      </c>
      <c r="F46" s="5" t="s">
        <v>81</v>
      </c>
      <c r="G46" s="5" t="s">
        <v>50</v>
      </c>
      <c r="H46" s="5" t="s">
        <v>301</v>
      </c>
      <c r="I46" s="5" t="s">
        <v>83</v>
      </c>
      <c r="J46" s="5"/>
      <c r="K46" s="5"/>
    </row>
    <row r="47" customFormat="false" ht="30" hidden="false" customHeight="true" outlineLevel="0" collapsed="false">
      <c r="A47" s="19" t="n">
        <v>1</v>
      </c>
      <c r="B47" s="20" t="s">
        <v>277</v>
      </c>
      <c r="C47" s="19" t="s">
        <v>164</v>
      </c>
      <c r="D47" s="21" t="n">
        <v>0.027</v>
      </c>
      <c r="E47" s="29" t="n">
        <v>0.03</v>
      </c>
      <c r="F47" s="30" t="n">
        <f aca="false">D47/(1-E47)</f>
        <v>0.0278350515463918</v>
      </c>
      <c r="G47" s="25" t="n">
        <f aca="false">I18</f>
        <v>83.0508474576271</v>
      </c>
      <c r="H47" s="25" t="n">
        <f aca="false">F47*G47</f>
        <v>2.31172461995457</v>
      </c>
      <c r="I47" s="26" t="s">
        <v>302</v>
      </c>
      <c r="J47" s="26"/>
      <c r="K47" s="26"/>
    </row>
    <row r="48" customFormat="false" ht="30" hidden="false" customHeight="true" outlineLevel="0" collapsed="false">
      <c r="A48" s="19" t="n">
        <v>2</v>
      </c>
      <c r="B48" s="20" t="s">
        <v>280</v>
      </c>
      <c r="C48" s="19" t="s">
        <v>164</v>
      </c>
      <c r="D48" s="21" t="n">
        <v>0.02</v>
      </c>
      <c r="E48" s="29" t="n">
        <v>0.03</v>
      </c>
      <c r="F48" s="30" t="n">
        <f aca="false">D48/(1-E48)</f>
        <v>0.0206185567010309</v>
      </c>
      <c r="G48" s="25" t="n">
        <f aca="false">I19</f>
        <v>18.3050847457627</v>
      </c>
      <c r="H48" s="25" t="n">
        <f aca="false">F48*G48</f>
        <v>0.377424427747685</v>
      </c>
      <c r="I48" s="26" t="s">
        <v>302</v>
      </c>
      <c r="J48" s="26"/>
      <c r="K48" s="26"/>
    </row>
    <row r="49" customFormat="false" ht="30" hidden="false" customHeight="true" outlineLevel="0" collapsed="false">
      <c r="A49" s="19" t="n">
        <v>3</v>
      </c>
      <c r="B49" s="20" t="s">
        <v>283</v>
      </c>
      <c r="C49" s="19" t="s">
        <v>164</v>
      </c>
      <c r="D49" s="21" t="n">
        <v>0.033</v>
      </c>
      <c r="E49" s="29" t="n">
        <v>0.03</v>
      </c>
      <c r="F49" s="30" t="n">
        <f aca="false">D49/(1-E49)</f>
        <v>0.034020618556701</v>
      </c>
      <c r="G49" s="25" t="n">
        <f aca="false">I20</f>
        <v>3.64406779661017</v>
      </c>
      <c r="H49" s="25" t="n">
        <f aca="false">F49*G49</f>
        <v>0.123973440503233</v>
      </c>
      <c r="I49" s="26" t="s">
        <v>302</v>
      </c>
      <c r="J49" s="26"/>
      <c r="K49" s="26"/>
    </row>
    <row r="50" customFormat="false" ht="30" hidden="false" customHeight="true" outlineLevel="0" collapsed="false">
      <c r="A50" s="19" t="n">
        <v>4</v>
      </c>
      <c r="B50" s="20" t="s">
        <v>287</v>
      </c>
      <c r="C50" s="19" t="s">
        <v>164</v>
      </c>
      <c r="D50" s="21" t="n">
        <v>0.009</v>
      </c>
      <c r="E50" s="29" t="n">
        <v>0.05</v>
      </c>
      <c r="F50" s="30" t="n">
        <f aca="false">D50/(1-E50)</f>
        <v>0.00947368421052632</v>
      </c>
      <c r="G50" s="25" t="n">
        <f aca="false">I22</f>
        <v>44.0677966101695</v>
      </c>
      <c r="H50" s="25" t="n">
        <f aca="false">F50*G50</f>
        <v>0.417484388938448</v>
      </c>
      <c r="I50" s="26" t="s">
        <v>309</v>
      </c>
      <c r="J50" s="26"/>
      <c r="K50" s="26"/>
    </row>
    <row r="51" customFormat="false" ht="30" hidden="false" customHeight="true" outlineLevel="0" collapsed="false">
      <c r="A51" s="19" t="n">
        <v>5</v>
      </c>
      <c r="B51" s="20" t="s">
        <v>289</v>
      </c>
      <c r="C51" s="19" t="s">
        <v>164</v>
      </c>
      <c r="D51" s="21" t="n">
        <v>0.008</v>
      </c>
      <c r="E51" s="29" t="n">
        <v>0.05</v>
      </c>
      <c r="F51" s="30" t="n">
        <f aca="false">D51/(1-E51)</f>
        <v>0.00842105263157895</v>
      </c>
      <c r="G51" s="25" t="n">
        <f aca="false">I23</f>
        <v>52.5423728813559</v>
      </c>
      <c r="H51" s="25" t="n">
        <f aca="false">F51*G51</f>
        <v>0.442462087421945</v>
      </c>
      <c r="I51" s="26" t="s">
        <v>310</v>
      </c>
      <c r="J51" s="26"/>
      <c r="K51" s="26"/>
    </row>
    <row r="52" customFormat="false" ht="30" hidden="false" customHeight="true" outlineLevel="0" collapsed="false">
      <c r="A52" s="19" t="n">
        <v>6</v>
      </c>
      <c r="B52" s="20" t="s">
        <v>290</v>
      </c>
      <c r="C52" s="19" t="s">
        <v>72</v>
      </c>
      <c r="D52" s="21" t="n">
        <v>1</v>
      </c>
      <c r="E52" s="29" t="n">
        <v>0.02</v>
      </c>
      <c r="F52" s="30" t="n">
        <f aca="false">D52/(1-E52)</f>
        <v>1.02040816326531</v>
      </c>
      <c r="G52" s="25" t="n">
        <f aca="false">I24</f>
        <v>0.0720338983050848</v>
      </c>
      <c r="H52" s="25" t="n">
        <f aca="false">F52*G52</f>
        <v>0.0735039778623314</v>
      </c>
      <c r="I52" s="26" t="s">
        <v>304</v>
      </c>
      <c r="J52" s="26"/>
      <c r="K52" s="26"/>
    </row>
    <row r="53" customFormat="false" ht="30" hidden="false" customHeight="true" outlineLevel="0" collapsed="false">
      <c r="A53" s="19" t="n">
        <v>7</v>
      </c>
      <c r="B53" s="20" t="s">
        <v>292</v>
      </c>
      <c r="C53" s="19" t="s">
        <v>72</v>
      </c>
      <c r="D53" s="21" t="n">
        <v>1</v>
      </c>
      <c r="E53" s="29" t="n">
        <v>0.02</v>
      </c>
      <c r="F53" s="30" t="n">
        <f aca="false">D53/(1-E53)</f>
        <v>1.02040816326531</v>
      </c>
      <c r="G53" s="25" t="n">
        <f aca="false">I25</f>
        <v>0.440677966101695</v>
      </c>
      <c r="H53" s="25" t="n">
        <f aca="false">F53*G53</f>
        <v>0.449671393981321</v>
      </c>
      <c r="I53" s="26" t="s">
        <v>305</v>
      </c>
      <c r="J53" s="26"/>
      <c r="K53" s="26"/>
    </row>
    <row r="54" customFormat="false" ht="30" hidden="false" customHeight="true" outlineLevel="0" collapsed="false">
      <c r="A54" s="19" t="n">
        <v>8</v>
      </c>
      <c r="B54" s="20" t="s">
        <v>293</v>
      </c>
      <c r="C54" s="19" t="s">
        <v>72</v>
      </c>
      <c r="D54" s="21" t="n">
        <v>1</v>
      </c>
      <c r="E54" s="29" t="n">
        <v>0.02</v>
      </c>
      <c r="F54" s="30" t="n">
        <f aca="false">D54/(1-E54)</f>
        <v>1.02040816326531</v>
      </c>
      <c r="G54" s="25" t="n">
        <f aca="false">I26</f>
        <v>0.0932203389830509</v>
      </c>
      <c r="H54" s="25" t="n">
        <f aca="false">F54*G54</f>
        <v>0.0951227948806641</v>
      </c>
      <c r="I54" s="26" t="s">
        <v>306</v>
      </c>
      <c r="J54" s="26"/>
      <c r="K54" s="26"/>
    </row>
    <row r="55" customFormat="false" ht="25.5" hidden="false" customHeight="true" outlineLevel="0" collapsed="false">
      <c r="A55" s="31"/>
      <c r="B55" s="32" t="s">
        <v>307</v>
      </c>
      <c r="C55" s="31"/>
      <c r="D55" s="31"/>
      <c r="E55" s="31"/>
      <c r="F55" s="31"/>
      <c r="G55" s="31"/>
      <c r="H55" s="33" t="n">
        <f aca="false">SUM(H47:H54)</f>
        <v>4.2913671312902</v>
      </c>
    </row>
    <row r="57" customFormat="false" ht="15" hidden="false" customHeight="false" outlineLevel="0" collapsed="false">
      <c r="B57" s="28" t="s">
        <v>91</v>
      </c>
    </row>
    <row r="58" customFormat="false" ht="31.5" hidden="false" customHeight="true" outlineLevel="0" collapsed="false">
      <c r="A58" s="5" t="s">
        <v>42</v>
      </c>
      <c r="B58" s="5" t="s">
        <v>43</v>
      </c>
      <c r="C58" s="5" t="s">
        <v>92</v>
      </c>
      <c r="D58" s="5" t="s">
        <v>46</v>
      </c>
      <c r="E58" s="5" t="s">
        <v>93</v>
      </c>
      <c r="F58" s="5" t="s">
        <v>94</v>
      </c>
      <c r="G58" s="5" t="s">
        <v>95</v>
      </c>
    </row>
    <row r="59" customFormat="false" ht="25.5" hidden="false" customHeight="true" outlineLevel="0" collapsed="false">
      <c r="A59" s="19" t="n">
        <v>1</v>
      </c>
      <c r="B59" s="20" t="s">
        <v>294</v>
      </c>
      <c r="C59" s="34" t="n">
        <v>1</v>
      </c>
      <c r="D59" s="19" t="s">
        <v>295</v>
      </c>
      <c r="E59" s="35" t="s">
        <v>96</v>
      </c>
      <c r="F59" s="35" t="s">
        <v>97</v>
      </c>
      <c r="G59" s="24" t="n">
        <f aca="false">C59*I27</f>
        <v>32.2033898305085</v>
      </c>
    </row>
    <row r="60" customFormat="false" ht="25.5" hidden="false" customHeight="true" outlineLevel="0" collapsed="false">
      <c r="A60" s="19" t="n">
        <v>2</v>
      </c>
      <c r="B60" s="20" t="s">
        <v>296</v>
      </c>
      <c r="C60" s="34" t="n">
        <v>1</v>
      </c>
      <c r="D60" s="19" t="s">
        <v>295</v>
      </c>
      <c r="E60" s="35" t="s">
        <v>96</v>
      </c>
      <c r="F60" s="35" t="s">
        <v>97</v>
      </c>
      <c r="G60" s="24" t="n">
        <f aca="false">C60*I28</f>
        <v>38.135593220339</v>
      </c>
    </row>
    <row r="61" customFormat="false" ht="25.5" hidden="false" customHeight="true" outlineLevel="0" collapsed="false">
      <c r="A61" s="19" t="n">
        <v>3</v>
      </c>
      <c r="B61" s="20" t="s">
        <v>298</v>
      </c>
      <c r="C61" s="34" t="n">
        <v>2</v>
      </c>
      <c r="D61" s="19" t="s">
        <v>69</v>
      </c>
      <c r="E61" s="35" t="s">
        <v>98</v>
      </c>
      <c r="F61" s="35" t="s">
        <v>99</v>
      </c>
      <c r="G61" s="24" t="n">
        <f aca="false">C61*I29</f>
        <v>120</v>
      </c>
    </row>
    <row r="62" customFormat="false" ht="25.5" hidden="false" customHeight="true" outlineLevel="0" collapsed="false">
      <c r="A62" s="19" t="n">
        <v>4</v>
      </c>
      <c r="B62" s="20" t="s">
        <v>74</v>
      </c>
      <c r="C62" s="34" t="n">
        <v>1</v>
      </c>
      <c r="D62" s="19" t="s">
        <v>69</v>
      </c>
      <c r="E62" s="35" t="s">
        <v>98</v>
      </c>
      <c r="F62" s="35" t="s">
        <v>100</v>
      </c>
      <c r="G62" s="24" t="n">
        <f aca="false">C62*I30</f>
        <v>60</v>
      </c>
    </row>
    <row r="64" customFormat="false" ht="25.5" hidden="false" customHeight="true" outlineLevel="0" collapsed="false">
      <c r="B64" s="6" t="s">
        <v>101</v>
      </c>
      <c r="C64" s="36" t="n">
        <f aca="false">SUMIF(F59:F62,"CIF",G59:G62)</f>
        <v>70.3389830508475</v>
      </c>
    </row>
    <row r="65" customFormat="false" ht="25.5" hidden="false" customHeight="true" outlineLevel="0" collapsed="false">
      <c r="B65" s="6" t="s">
        <v>102</v>
      </c>
      <c r="C65" s="36" t="n">
        <f aca="false">SUMIF(F59:F62,"Gasto administrativo",G59:G62)</f>
        <v>60</v>
      </c>
    </row>
    <row r="66" customFormat="false" ht="25.5" hidden="false" customHeight="true" outlineLevel="0" collapsed="false">
      <c r="B66" s="6" t="s">
        <v>103</v>
      </c>
      <c r="C66" s="36" t="n">
        <f aca="false">SUMIF(F59:F62,"Gasto de ventas",G59:G62)</f>
        <v>120</v>
      </c>
    </row>
    <row r="67" customFormat="false" ht="15" hidden="false" customHeight="false" outlineLevel="0" collapsed="false">
      <c r="B67" s="27" t="s">
        <v>104</v>
      </c>
    </row>
    <row r="69" customFormat="false" ht="19.5" hidden="false" customHeight="true" outlineLevel="0" collapsed="false">
      <c r="A69" s="16" t="s">
        <v>105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customFormat="false" ht="15" hidden="false" customHeight="false" outlineLevel="0" collapsed="false">
      <c r="B70" s="17" t="s">
        <v>106</v>
      </c>
    </row>
    <row r="71" customFormat="false" ht="15" hidden="false" customHeight="false" outlineLevel="0" collapsed="false">
      <c r="B71" s="28" t="s">
        <v>107</v>
      </c>
    </row>
    <row r="72" customFormat="false" ht="30" hidden="false" customHeight="true" outlineLevel="0" collapsed="false">
      <c r="B72" s="5" t="s">
        <v>108</v>
      </c>
      <c r="C72" s="5" t="s">
        <v>311</v>
      </c>
      <c r="D72" s="5" t="s">
        <v>312</v>
      </c>
      <c r="E72" s="5" t="s">
        <v>111</v>
      </c>
    </row>
    <row r="73" customFormat="false" ht="15" hidden="false" customHeight="false" outlineLevel="0" collapsed="false">
      <c r="B73" s="10" t="s">
        <v>112</v>
      </c>
      <c r="C73" s="34" t="n">
        <v>1100</v>
      </c>
      <c r="D73" s="34" t="n">
        <v>500</v>
      </c>
      <c r="E73" s="37" t="n">
        <f aca="false">C73+D73</f>
        <v>1600</v>
      </c>
    </row>
    <row r="74" customFormat="false" ht="15" hidden="false" customHeight="false" outlineLevel="0" collapsed="false">
      <c r="B74" s="10" t="s">
        <v>113</v>
      </c>
      <c r="C74" s="34" t="n">
        <v>1800</v>
      </c>
      <c r="D74" s="34" t="n">
        <v>900</v>
      </c>
      <c r="E74" s="37" t="n">
        <f aca="false">C74+D74</f>
        <v>2700</v>
      </c>
    </row>
    <row r="75" customFormat="false" ht="15" hidden="false" customHeight="false" outlineLevel="0" collapsed="false">
      <c r="B75" s="10" t="s">
        <v>114</v>
      </c>
      <c r="C75" s="34" t="n">
        <v>1100</v>
      </c>
      <c r="D75" s="34" t="n">
        <v>500</v>
      </c>
      <c r="E75" s="37" t="n">
        <f aca="false">C75+D75</f>
        <v>1600</v>
      </c>
    </row>
    <row r="76" customFormat="false" ht="15" hidden="false" customHeight="false" outlineLevel="0" collapsed="false">
      <c r="B76" s="10" t="s">
        <v>115</v>
      </c>
      <c r="C76" s="34" t="n">
        <v>1200</v>
      </c>
      <c r="D76" s="34" t="n">
        <v>550</v>
      </c>
      <c r="E76" s="37" t="n">
        <f aca="false">C76+D76</f>
        <v>1750</v>
      </c>
    </row>
    <row r="77" customFormat="false" ht="15" hidden="false" customHeight="false" outlineLevel="0" collapsed="false">
      <c r="B77" s="10" t="s">
        <v>116</v>
      </c>
      <c r="C77" s="34" t="n">
        <v>1900</v>
      </c>
      <c r="D77" s="34" t="n">
        <v>900</v>
      </c>
      <c r="E77" s="37" t="n">
        <f aca="false">C77+D77</f>
        <v>2800</v>
      </c>
    </row>
    <row r="78" customFormat="false" ht="15" hidden="false" customHeight="false" outlineLevel="0" collapsed="false">
      <c r="B78" s="10" t="s">
        <v>117</v>
      </c>
      <c r="C78" s="34" t="n">
        <v>1600</v>
      </c>
      <c r="D78" s="34" t="n">
        <v>750</v>
      </c>
      <c r="E78" s="37" t="n">
        <f aca="false">C78+D78</f>
        <v>2350</v>
      </c>
    </row>
    <row r="79" customFormat="false" ht="15" hidden="false" customHeight="false" outlineLevel="0" collapsed="false">
      <c r="B79" s="10" t="s">
        <v>118</v>
      </c>
      <c r="C79" s="34" t="n">
        <v>1300</v>
      </c>
      <c r="D79" s="34" t="n">
        <v>600</v>
      </c>
      <c r="E79" s="37" t="n">
        <f aca="false">C79+D79</f>
        <v>1900</v>
      </c>
    </row>
    <row r="80" customFormat="false" ht="15" hidden="false" customHeight="false" outlineLevel="0" collapsed="false">
      <c r="B80" s="10" t="s">
        <v>119</v>
      </c>
      <c r="C80" s="34" t="n">
        <v>1400</v>
      </c>
      <c r="D80" s="34" t="n">
        <v>650</v>
      </c>
      <c r="E80" s="37" t="n">
        <f aca="false">C80+D80</f>
        <v>2050</v>
      </c>
    </row>
    <row r="81" customFormat="false" ht="15" hidden="false" customHeight="false" outlineLevel="0" collapsed="false">
      <c r="B81" s="10" t="s">
        <v>120</v>
      </c>
      <c r="C81" s="34" t="n">
        <v>1300</v>
      </c>
      <c r="D81" s="34" t="n">
        <v>600</v>
      </c>
      <c r="E81" s="37" t="n">
        <f aca="false">C81+D81</f>
        <v>1900</v>
      </c>
    </row>
    <row r="82" customFormat="false" ht="15" hidden="false" customHeight="false" outlineLevel="0" collapsed="false">
      <c r="B82" s="10" t="s">
        <v>121</v>
      </c>
      <c r="C82" s="34" t="n">
        <v>1400</v>
      </c>
      <c r="D82" s="34" t="n">
        <v>650</v>
      </c>
      <c r="E82" s="37" t="n">
        <f aca="false">C82+D82</f>
        <v>2050</v>
      </c>
    </row>
    <row r="83" customFormat="false" ht="15" hidden="false" customHeight="false" outlineLevel="0" collapsed="false">
      <c r="B83" s="10" t="s">
        <v>122</v>
      </c>
      <c r="C83" s="34" t="n">
        <v>1700</v>
      </c>
      <c r="D83" s="34" t="n">
        <v>800</v>
      </c>
      <c r="E83" s="37" t="n">
        <f aca="false">C83+D83</f>
        <v>2500</v>
      </c>
    </row>
    <row r="84" customFormat="false" ht="15" hidden="false" customHeight="false" outlineLevel="0" collapsed="false">
      <c r="B84" s="10" t="s">
        <v>123</v>
      </c>
      <c r="C84" s="34" t="n">
        <v>2600</v>
      </c>
      <c r="D84" s="34" t="n">
        <v>1300</v>
      </c>
      <c r="E84" s="37" t="n">
        <f aca="false">C84+D84</f>
        <v>3900</v>
      </c>
    </row>
    <row r="85" customFormat="false" ht="15" hidden="false" customHeight="false" outlineLevel="0" collapsed="false">
      <c r="B85" s="38" t="s">
        <v>124</v>
      </c>
      <c r="C85" s="39" t="n">
        <f aca="false">SUM(C73:C84)</f>
        <v>18400</v>
      </c>
      <c r="D85" s="39" t="n">
        <f aca="false">SUM(D73:D84)</f>
        <v>8700</v>
      </c>
      <c r="E85" s="39" t="n">
        <f aca="false">SUM(E73:E84)</f>
        <v>27100</v>
      </c>
    </row>
    <row r="86" customFormat="false" ht="15" hidden="false" customHeight="false" outlineLevel="0" collapsed="false">
      <c r="B86" s="10" t="s">
        <v>125</v>
      </c>
      <c r="C86" s="34" t="n">
        <v>1150</v>
      </c>
      <c r="D86" s="34" t="n">
        <v>520</v>
      </c>
      <c r="E86" s="19" t="s">
        <v>126</v>
      </c>
    </row>
    <row r="87" customFormat="false" ht="15" hidden="false" customHeight="false" outlineLevel="0" collapsed="false">
      <c r="B87" s="10" t="s">
        <v>127</v>
      </c>
      <c r="C87" s="34" t="n">
        <v>1850</v>
      </c>
      <c r="D87" s="34" t="n">
        <v>920</v>
      </c>
      <c r="E87" s="19" t="s">
        <v>126</v>
      </c>
    </row>
    <row r="89" customFormat="false" ht="19.5" hidden="false" customHeight="true" outlineLevel="0" collapsed="false">
      <c r="A89" s="16" t="s">
        <v>128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customFormat="false" ht="15" hidden="false" customHeight="false" outlineLevel="0" collapsed="false">
      <c r="B90" s="17" t="s">
        <v>129</v>
      </c>
    </row>
    <row r="91" customFormat="false" ht="25.5" hidden="false" customHeight="true" outlineLevel="0" collapsed="false">
      <c r="B91" s="6" t="s">
        <v>198</v>
      </c>
      <c r="C91" s="29" t="n">
        <v>0.2</v>
      </c>
    </row>
    <row r="92" customFormat="false" ht="25.5" hidden="false" customHeight="true" outlineLevel="0" collapsed="false">
      <c r="B92" s="6" t="s">
        <v>313</v>
      </c>
      <c r="C92" s="34" t="n">
        <v>250</v>
      </c>
    </row>
    <row r="94" customFormat="false" ht="15" hidden="false" customHeight="false" outlineLevel="0" collapsed="false">
      <c r="B94" s="28" t="s">
        <v>314</v>
      </c>
    </row>
    <row r="95" customFormat="false" ht="31.5" hidden="false" customHeight="true" outlineLevel="0" collapsed="false">
      <c r="B95" s="5" t="s">
        <v>108</v>
      </c>
      <c r="C95" s="5" t="s">
        <v>201</v>
      </c>
      <c r="D95" s="5" t="s">
        <v>142</v>
      </c>
      <c r="E95" s="5" t="s">
        <v>202</v>
      </c>
      <c r="F95" s="5" t="s">
        <v>143</v>
      </c>
      <c r="G95" s="5" t="s">
        <v>203</v>
      </c>
    </row>
    <row r="96" customFormat="false" ht="15" hidden="false" customHeight="false" outlineLevel="0" collapsed="false">
      <c r="B96" s="10" t="s">
        <v>112</v>
      </c>
      <c r="C96" s="37" t="n">
        <f aca="false">C73</f>
        <v>1100</v>
      </c>
      <c r="D96" s="37" t="n">
        <f aca="false">ROUND(C74*$C$91,0)</f>
        <v>360</v>
      </c>
      <c r="E96" s="37" t="n">
        <f aca="false">C96+D96</f>
        <v>1460</v>
      </c>
      <c r="F96" s="37" t="n">
        <f aca="false">$C$92</f>
        <v>250</v>
      </c>
      <c r="G96" s="45" t="n">
        <f aca="false">E96-F96</f>
        <v>1210</v>
      </c>
    </row>
    <row r="97" customFormat="false" ht="15" hidden="false" customHeight="false" outlineLevel="0" collapsed="false">
      <c r="B97" s="10" t="s">
        <v>113</v>
      </c>
      <c r="C97" s="37" t="n">
        <f aca="false">C74</f>
        <v>1800</v>
      </c>
      <c r="D97" s="37" t="n">
        <f aca="false">ROUND(C75*$C$91,0)</f>
        <v>220</v>
      </c>
      <c r="E97" s="37" t="n">
        <f aca="false">C97+D97</f>
        <v>2020</v>
      </c>
      <c r="F97" s="37" t="n">
        <f aca="false">D96</f>
        <v>360</v>
      </c>
      <c r="G97" s="45" t="n">
        <f aca="false">E97-F97</f>
        <v>1660</v>
      </c>
    </row>
    <row r="98" customFormat="false" ht="15" hidden="false" customHeight="false" outlineLevel="0" collapsed="false">
      <c r="B98" s="10" t="s">
        <v>114</v>
      </c>
      <c r="C98" s="37" t="n">
        <f aca="false">C75</f>
        <v>1100</v>
      </c>
      <c r="D98" s="37" t="n">
        <f aca="false">ROUND(C76*$C$91,0)</f>
        <v>240</v>
      </c>
      <c r="E98" s="37" t="n">
        <f aca="false">C98+D98</f>
        <v>1340</v>
      </c>
      <c r="F98" s="37" t="n">
        <f aca="false">D97</f>
        <v>220</v>
      </c>
      <c r="G98" s="45" t="n">
        <f aca="false">E98-F98</f>
        <v>1120</v>
      </c>
    </row>
    <row r="99" customFormat="false" ht="15" hidden="false" customHeight="false" outlineLevel="0" collapsed="false">
      <c r="B99" s="10" t="s">
        <v>115</v>
      </c>
      <c r="C99" s="37" t="n">
        <f aca="false">C76</f>
        <v>1200</v>
      </c>
      <c r="D99" s="37" t="n">
        <f aca="false">ROUND(C77*$C$91,0)</f>
        <v>380</v>
      </c>
      <c r="E99" s="37" t="n">
        <f aca="false">C99+D99</f>
        <v>1580</v>
      </c>
      <c r="F99" s="37" t="n">
        <f aca="false">D98</f>
        <v>240</v>
      </c>
      <c r="G99" s="45" t="n">
        <f aca="false">E99-F99</f>
        <v>1340</v>
      </c>
    </row>
    <row r="100" customFormat="false" ht="15" hidden="false" customHeight="false" outlineLevel="0" collapsed="false">
      <c r="B100" s="10" t="s">
        <v>116</v>
      </c>
      <c r="C100" s="37" t="n">
        <f aca="false">C77</f>
        <v>1900</v>
      </c>
      <c r="D100" s="37" t="n">
        <f aca="false">ROUND(C78*$C$91,0)</f>
        <v>320</v>
      </c>
      <c r="E100" s="37" t="n">
        <f aca="false">C100+D100</f>
        <v>2220</v>
      </c>
      <c r="F100" s="37" t="n">
        <f aca="false">D99</f>
        <v>380</v>
      </c>
      <c r="G100" s="45" t="n">
        <f aca="false">E100-F100</f>
        <v>1840</v>
      </c>
    </row>
    <row r="101" customFormat="false" ht="15" hidden="false" customHeight="false" outlineLevel="0" collapsed="false">
      <c r="B101" s="10" t="s">
        <v>117</v>
      </c>
      <c r="C101" s="37" t="n">
        <f aca="false">C78</f>
        <v>1600</v>
      </c>
      <c r="D101" s="37" t="n">
        <f aca="false">ROUND(C79*$C$91,0)</f>
        <v>260</v>
      </c>
      <c r="E101" s="37" t="n">
        <f aca="false">C101+D101</f>
        <v>1860</v>
      </c>
      <c r="F101" s="37" t="n">
        <f aca="false">D100</f>
        <v>320</v>
      </c>
      <c r="G101" s="45" t="n">
        <f aca="false">E101-F101</f>
        <v>1540</v>
      </c>
    </row>
    <row r="102" customFormat="false" ht="15" hidden="false" customHeight="false" outlineLevel="0" collapsed="false">
      <c r="B102" s="10" t="s">
        <v>118</v>
      </c>
      <c r="C102" s="37" t="n">
        <f aca="false">C79</f>
        <v>1300</v>
      </c>
      <c r="D102" s="37" t="n">
        <f aca="false">ROUND(C80*$C$91,0)</f>
        <v>280</v>
      </c>
      <c r="E102" s="37" t="n">
        <f aca="false">C102+D102</f>
        <v>1580</v>
      </c>
      <c r="F102" s="37" t="n">
        <f aca="false">D101</f>
        <v>260</v>
      </c>
      <c r="G102" s="45" t="n">
        <f aca="false">E102-F102</f>
        <v>1320</v>
      </c>
    </row>
    <row r="103" customFormat="false" ht="15" hidden="false" customHeight="false" outlineLevel="0" collapsed="false">
      <c r="B103" s="10" t="s">
        <v>119</v>
      </c>
      <c r="C103" s="37" t="n">
        <f aca="false">C80</f>
        <v>1400</v>
      </c>
      <c r="D103" s="37" t="n">
        <f aca="false">ROUND(C81*$C$91,0)</f>
        <v>260</v>
      </c>
      <c r="E103" s="37" t="n">
        <f aca="false">C103+D103</f>
        <v>1660</v>
      </c>
      <c r="F103" s="37" t="n">
        <f aca="false">D102</f>
        <v>280</v>
      </c>
      <c r="G103" s="45" t="n">
        <f aca="false">E103-F103</f>
        <v>1380</v>
      </c>
    </row>
    <row r="104" customFormat="false" ht="15" hidden="false" customHeight="false" outlineLevel="0" collapsed="false">
      <c r="B104" s="10" t="s">
        <v>120</v>
      </c>
      <c r="C104" s="37" t="n">
        <f aca="false">C81</f>
        <v>1300</v>
      </c>
      <c r="D104" s="37" t="n">
        <f aca="false">ROUND(C82*$C$91,0)</f>
        <v>280</v>
      </c>
      <c r="E104" s="37" t="n">
        <f aca="false">C104+D104</f>
        <v>1580</v>
      </c>
      <c r="F104" s="37" t="n">
        <f aca="false">D103</f>
        <v>260</v>
      </c>
      <c r="G104" s="45" t="n">
        <f aca="false">E104-F104</f>
        <v>1320</v>
      </c>
    </row>
    <row r="105" customFormat="false" ht="15" hidden="false" customHeight="false" outlineLevel="0" collapsed="false">
      <c r="B105" s="10" t="s">
        <v>121</v>
      </c>
      <c r="C105" s="37" t="n">
        <f aca="false">C82</f>
        <v>1400</v>
      </c>
      <c r="D105" s="37" t="n">
        <f aca="false">ROUND(C83*$C$91,0)</f>
        <v>340</v>
      </c>
      <c r="E105" s="37" t="n">
        <f aca="false">C105+D105</f>
        <v>1740</v>
      </c>
      <c r="F105" s="37" t="n">
        <f aca="false">D104</f>
        <v>280</v>
      </c>
      <c r="G105" s="45" t="n">
        <f aca="false">E105-F105</f>
        <v>1460</v>
      </c>
    </row>
    <row r="106" customFormat="false" ht="15" hidden="false" customHeight="false" outlineLevel="0" collapsed="false">
      <c r="B106" s="10" t="s">
        <v>122</v>
      </c>
      <c r="C106" s="37" t="n">
        <f aca="false">C83</f>
        <v>1700</v>
      </c>
      <c r="D106" s="37" t="n">
        <f aca="false">ROUND(C84*$C$91,0)</f>
        <v>520</v>
      </c>
      <c r="E106" s="37" t="n">
        <f aca="false">C106+D106</f>
        <v>2220</v>
      </c>
      <c r="F106" s="37" t="n">
        <f aca="false">D105</f>
        <v>340</v>
      </c>
      <c r="G106" s="45" t="n">
        <f aca="false">E106-F106</f>
        <v>1880</v>
      </c>
    </row>
    <row r="107" customFormat="false" ht="15" hidden="false" customHeight="false" outlineLevel="0" collapsed="false">
      <c r="B107" s="10" t="s">
        <v>123</v>
      </c>
      <c r="C107" s="37" t="n">
        <f aca="false">C84</f>
        <v>2600</v>
      </c>
      <c r="D107" s="37" t="n">
        <f aca="false">ROUND(C86*$C$91,0)</f>
        <v>230</v>
      </c>
      <c r="E107" s="37" t="n">
        <f aca="false">C107+D107</f>
        <v>2830</v>
      </c>
      <c r="F107" s="37" t="n">
        <f aca="false">D106</f>
        <v>520</v>
      </c>
      <c r="G107" s="45" t="n">
        <f aca="false">E107-F107</f>
        <v>2310</v>
      </c>
    </row>
    <row r="108" customFormat="false" ht="15" hidden="false" customHeight="false" outlineLevel="0" collapsed="false">
      <c r="B108" s="38" t="s">
        <v>124</v>
      </c>
      <c r="C108" s="39" t="n">
        <f aca="false">SUM(C96:C107)</f>
        <v>18400</v>
      </c>
      <c r="D108" s="31"/>
      <c r="E108" s="31"/>
      <c r="F108" s="31"/>
      <c r="G108" s="39" t="n">
        <f aca="false">SUM(G96:G107)</f>
        <v>18380</v>
      </c>
    </row>
    <row r="109" customFormat="false" ht="15" hidden="false" customHeight="false" outlineLevel="0" collapsed="false">
      <c r="B109" s="10" t="s">
        <v>132</v>
      </c>
      <c r="C109" s="37" t="n">
        <f aca="false">C86</f>
        <v>1150</v>
      </c>
      <c r="D109" s="37" t="n">
        <f aca="false">ROUND(C87*$C$91,0)</f>
        <v>370</v>
      </c>
      <c r="E109" s="37" t="n">
        <f aca="false">C109+D109</f>
        <v>1520</v>
      </c>
      <c r="F109" s="37" t="n">
        <f aca="false">D107</f>
        <v>230</v>
      </c>
      <c r="G109" s="45" t="n">
        <f aca="false">E109-F109</f>
        <v>1290</v>
      </c>
    </row>
    <row r="111" customFormat="false" ht="25.5" hidden="false" customHeight="true" outlineLevel="0" collapsed="false">
      <c r="B111" s="6" t="s">
        <v>315</v>
      </c>
      <c r="C111" s="34" t="n">
        <v>110</v>
      </c>
    </row>
    <row r="113" customFormat="false" ht="15" hidden="false" customHeight="false" outlineLevel="0" collapsed="false">
      <c r="B113" s="28" t="s">
        <v>316</v>
      </c>
    </row>
    <row r="114" customFormat="false" ht="31.5" hidden="false" customHeight="true" outlineLevel="0" collapsed="false">
      <c r="B114" s="5" t="s">
        <v>108</v>
      </c>
      <c r="C114" s="5" t="s">
        <v>201</v>
      </c>
      <c r="D114" s="5" t="s">
        <v>142</v>
      </c>
      <c r="E114" s="5" t="s">
        <v>202</v>
      </c>
      <c r="F114" s="5" t="s">
        <v>143</v>
      </c>
      <c r="G114" s="5" t="s">
        <v>203</v>
      </c>
    </row>
    <row r="115" customFormat="false" ht="15" hidden="false" customHeight="false" outlineLevel="0" collapsed="false">
      <c r="B115" s="10" t="s">
        <v>112</v>
      </c>
      <c r="C115" s="37" t="n">
        <f aca="false">D73</f>
        <v>500</v>
      </c>
      <c r="D115" s="37" t="n">
        <f aca="false">ROUND(D74*$C$91,0)</f>
        <v>180</v>
      </c>
      <c r="E115" s="37" t="n">
        <f aca="false">C115+D115</f>
        <v>680</v>
      </c>
      <c r="F115" s="37" t="n">
        <f aca="false">$C$111</f>
        <v>110</v>
      </c>
      <c r="G115" s="45" t="n">
        <f aca="false">E115-F115</f>
        <v>570</v>
      </c>
    </row>
    <row r="116" customFormat="false" ht="15" hidden="false" customHeight="false" outlineLevel="0" collapsed="false">
      <c r="B116" s="10" t="s">
        <v>113</v>
      </c>
      <c r="C116" s="37" t="n">
        <f aca="false">D74</f>
        <v>900</v>
      </c>
      <c r="D116" s="37" t="n">
        <f aca="false">ROUND(D75*$C$91,0)</f>
        <v>100</v>
      </c>
      <c r="E116" s="37" t="n">
        <f aca="false">C116+D116</f>
        <v>1000</v>
      </c>
      <c r="F116" s="37" t="n">
        <f aca="false">D115</f>
        <v>180</v>
      </c>
      <c r="G116" s="45" t="n">
        <f aca="false">E116-F116</f>
        <v>820</v>
      </c>
    </row>
    <row r="117" customFormat="false" ht="15" hidden="false" customHeight="false" outlineLevel="0" collapsed="false">
      <c r="B117" s="10" t="s">
        <v>114</v>
      </c>
      <c r="C117" s="37" t="n">
        <f aca="false">D75</f>
        <v>500</v>
      </c>
      <c r="D117" s="37" t="n">
        <f aca="false">ROUND(D76*$C$91,0)</f>
        <v>110</v>
      </c>
      <c r="E117" s="37" t="n">
        <f aca="false">C117+D117</f>
        <v>610</v>
      </c>
      <c r="F117" s="37" t="n">
        <f aca="false">D116</f>
        <v>100</v>
      </c>
      <c r="G117" s="45" t="n">
        <f aca="false">E117-F117</f>
        <v>510</v>
      </c>
    </row>
    <row r="118" customFormat="false" ht="15" hidden="false" customHeight="false" outlineLevel="0" collapsed="false">
      <c r="B118" s="10" t="s">
        <v>115</v>
      </c>
      <c r="C118" s="37" t="n">
        <f aca="false">D76</f>
        <v>550</v>
      </c>
      <c r="D118" s="37" t="n">
        <f aca="false">ROUND(D77*$C$91,0)</f>
        <v>180</v>
      </c>
      <c r="E118" s="37" t="n">
        <f aca="false">C118+D118</f>
        <v>730</v>
      </c>
      <c r="F118" s="37" t="n">
        <f aca="false">D117</f>
        <v>110</v>
      </c>
      <c r="G118" s="45" t="n">
        <f aca="false">E118-F118</f>
        <v>620</v>
      </c>
    </row>
    <row r="119" customFormat="false" ht="15" hidden="false" customHeight="false" outlineLevel="0" collapsed="false">
      <c r="B119" s="10" t="s">
        <v>116</v>
      </c>
      <c r="C119" s="37" t="n">
        <f aca="false">D77</f>
        <v>900</v>
      </c>
      <c r="D119" s="37" t="n">
        <f aca="false">ROUND(D78*$C$91,0)</f>
        <v>150</v>
      </c>
      <c r="E119" s="37" t="n">
        <f aca="false">C119+D119</f>
        <v>1050</v>
      </c>
      <c r="F119" s="37" t="n">
        <f aca="false">D118</f>
        <v>180</v>
      </c>
      <c r="G119" s="45" t="n">
        <f aca="false">E119-F119</f>
        <v>870</v>
      </c>
    </row>
    <row r="120" customFormat="false" ht="15" hidden="false" customHeight="false" outlineLevel="0" collapsed="false">
      <c r="B120" s="10" t="s">
        <v>117</v>
      </c>
      <c r="C120" s="37" t="n">
        <f aca="false">D78</f>
        <v>750</v>
      </c>
      <c r="D120" s="37" t="n">
        <f aca="false">ROUND(D79*$C$91,0)</f>
        <v>120</v>
      </c>
      <c r="E120" s="37" t="n">
        <f aca="false">C120+D120</f>
        <v>870</v>
      </c>
      <c r="F120" s="37" t="n">
        <f aca="false">D119</f>
        <v>150</v>
      </c>
      <c r="G120" s="45" t="n">
        <f aca="false">E120-F120</f>
        <v>720</v>
      </c>
    </row>
    <row r="121" customFormat="false" ht="15" hidden="false" customHeight="false" outlineLevel="0" collapsed="false">
      <c r="B121" s="10" t="s">
        <v>118</v>
      </c>
      <c r="C121" s="37" t="n">
        <f aca="false">D79</f>
        <v>600</v>
      </c>
      <c r="D121" s="37" t="n">
        <f aca="false">ROUND(D80*$C$91,0)</f>
        <v>130</v>
      </c>
      <c r="E121" s="37" t="n">
        <f aca="false">C121+D121</f>
        <v>730</v>
      </c>
      <c r="F121" s="37" t="n">
        <f aca="false">D120</f>
        <v>120</v>
      </c>
      <c r="G121" s="45" t="n">
        <f aca="false">E121-F121</f>
        <v>610</v>
      </c>
    </row>
    <row r="122" customFormat="false" ht="15" hidden="false" customHeight="false" outlineLevel="0" collapsed="false">
      <c r="B122" s="10" t="s">
        <v>119</v>
      </c>
      <c r="C122" s="37" t="n">
        <f aca="false">D80</f>
        <v>650</v>
      </c>
      <c r="D122" s="37" t="n">
        <f aca="false">ROUND(D81*$C$91,0)</f>
        <v>120</v>
      </c>
      <c r="E122" s="37" t="n">
        <f aca="false">C122+D122</f>
        <v>770</v>
      </c>
      <c r="F122" s="37" t="n">
        <f aca="false">D121</f>
        <v>130</v>
      </c>
      <c r="G122" s="45" t="n">
        <f aca="false">E122-F122</f>
        <v>640</v>
      </c>
    </row>
    <row r="123" customFormat="false" ht="15" hidden="false" customHeight="false" outlineLevel="0" collapsed="false">
      <c r="B123" s="10" t="s">
        <v>120</v>
      </c>
      <c r="C123" s="37" t="n">
        <f aca="false">D81</f>
        <v>600</v>
      </c>
      <c r="D123" s="37" t="n">
        <f aca="false">ROUND(D82*$C$91,0)</f>
        <v>130</v>
      </c>
      <c r="E123" s="37" t="n">
        <f aca="false">C123+D123</f>
        <v>730</v>
      </c>
      <c r="F123" s="37" t="n">
        <f aca="false">D122</f>
        <v>120</v>
      </c>
      <c r="G123" s="45" t="n">
        <f aca="false">E123-F123</f>
        <v>610</v>
      </c>
    </row>
    <row r="124" customFormat="false" ht="15" hidden="false" customHeight="false" outlineLevel="0" collapsed="false">
      <c r="B124" s="10" t="s">
        <v>121</v>
      </c>
      <c r="C124" s="37" t="n">
        <f aca="false">D82</f>
        <v>650</v>
      </c>
      <c r="D124" s="37" t="n">
        <f aca="false">ROUND(D83*$C$91,0)</f>
        <v>160</v>
      </c>
      <c r="E124" s="37" t="n">
        <f aca="false">C124+D124</f>
        <v>810</v>
      </c>
      <c r="F124" s="37" t="n">
        <f aca="false">D123</f>
        <v>130</v>
      </c>
      <c r="G124" s="45" t="n">
        <f aca="false">E124-F124</f>
        <v>680</v>
      </c>
    </row>
    <row r="125" customFormat="false" ht="15" hidden="false" customHeight="false" outlineLevel="0" collapsed="false">
      <c r="B125" s="10" t="s">
        <v>122</v>
      </c>
      <c r="C125" s="37" t="n">
        <f aca="false">D83</f>
        <v>800</v>
      </c>
      <c r="D125" s="37" t="n">
        <f aca="false">ROUND(D84*$C$91,0)</f>
        <v>260</v>
      </c>
      <c r="E125" s="37" t="n">
        <f aca="false">C125+D125</f>
        <v>1060</v>
      </c>
      <c r="F125" s="37" t="n">
        <f aca="false">D124</f>
        <v>160</v>
      </c>
      <c r="G125" s="45" t="n">
        <f aca="false">E125-F125</f>
        <v>900</v>
      </c>
    </row>
    <row r="126" customFormat="false" ht="15" hidden="false" customHeight="false" outlineLevel="0" collapsed="false">
      <c r="B126" s="10" t="s">
        <v>123</v>
      </c>
      <c r="C126" s="37" t="n">
        <f aca="false">D84</f>
        <v>1300</v>
      </c>
      <c r="D126" s="37" t="n">
        <f aca="false">ROUND(D86*$C$91,0)</f>
        <v>104</v>
      </c>
      <c r="E126" s="37" t="n">
        <f aca="false">C126+D126</f>
        <v>1404</v>
      </c>
      <c r="F126" s="37" t="n">
        <f aca="false">D125</f>
        <v>260</v>
      </c>
      <c r="G126" s="45" t="n">
        <f aca="false">E126-F126</f>
        <v>1144</v>
      </c>
    </row>
    <row r="127" customFormat="false" ht="15" hidden="false" customHeight="false" outlineLevel="0" collapsed="false">
      <c r="B127" s="38" t="s">
        <v>124</v>
      </c>
      <c r="C127" s="39" t="n">
        <f aca="false">SUM(C115:C126)</f>
        <v>8700</v>
      </c>
      <c r="D127" s="31"/>
      <c r="E127" s="31"/>
      <c r="F127" s="31"/>
      <c r="G127" s="39" t="n">
        <f aca="false">SUM(G115:G126)</f>
        <v>8694</v>
      </c>
    </row>
    <row r="128" customFormat="false" ht="15" hidden="false" customHeight="false" outlineLevel="0" collapsed="false">
      <c r="B128" s="10" t="s">
        <v>132</v>
      </c>
      <c r="C128" s="37" t="n">
        <f aca="false">D86</f>
        <v>520</v>
      </c>
      <c r="D128" s="37" t="n">
        <f aca="false">ROUND(D87*$C$91,0)</f>
        <v>184</v>
      </c>
      <c r="E128" s="37" t="n">
        <f aca="false">C128+D128</f>
        <v>704</v>
      </c>
      <c r="F128" s="37" t="n">
        <f aca="false">D126</f>
        <v>104</v>
      </c>
      <c r="G128" s="45" t="n">
        <f aca="false">E128-F128</f>
        <v>600</v>
      </c>
    </row>
    <row r="130" customFormat="false" ht="19.5" hidden="false" customHeight="true" outlineLevel="0" collapsed="false">
      <c r="A130" s="16" t="s">
        <v>133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customFormat="false" ht="15" hidden="false" customHeight="false" outlineLevel="0" collapsed="false">
      <c r="B131" s="17" t="s">
        <v>134</v>
      </c>
    </row>
    <row r="132" customFormat="false" ht="15" hidden="false" customHeight="false" outlineLevel="0" collapsed="false">
      <c r="B132" s="27" t="s">
        <v>135</v>
      </c>
    </row>
    <row r="134" customFormat="false" ht="15" hidden="false" customHeight="false" outlineLevel="0" collapsed="false">
      <c r="B134" s="18" t="s">
        <v>317</v>
      </c>
    </row>
    <row r="135" customFormat="false" ht="25.5" hidden="false" customHeight="true" outlineLevel="0" collapsed="false">
      <c r="B135" s="20" t="s">
        <v>137</v>
      </c>
      <c r="C135" s="29" t="n">
        <v>0.2</v>
      </c>
    </row>
    <row r="136" customFormat="false" ht="15" hidden="false" customHeight="false" outlineLevel="0" collapsed="false">
      <c r="B136" s="10" t="s">
        <v>209</v>
      </c>
      <c r="C136" s="21" t="n">
        <v>15</v>
      </c>
    </row>
    <row r="137" customFormat="false" ht="39.75" hidden="false" customHeight="true" outlineLevel="0" collapsed="false">
      <c r="B137" s="5" t="s">
        <v>108</v>
      </c>
      <c r="C137" s="5" t="s">
        <v>139</v>
      </c>
      <c r="D137" s="5" t="s">
        <v>140</v>
      </c>
      <c r="E137" s="5" t="s">
        <v>141</v>
      </c>
      <c r="F137" s="5" t="s">
        <v>142</v>
      </c>
      <c r="G137" s="5" t="s">
        <v>143</v>
      </c>
      <c r="H137" s="5" t="s">
        <v>144</v>
      </c>
      <c r="I137" s="5" t="s">
        <v>49</v>
      </c>
      <c r="J137" s="5" t="s">
        <v>145</v>
      </c>
      <c r="K137" s="5" t="s">
        <v>146</v>
      </c>
    </row>
    <row r="138" customFormat="false" ht="15" hidden="false" customHeight="false" outlineLevel="0" collapsed="false">
      <c r="B138" s="10" t="s">
        <v>112</v>
      </c>
      <c r="C138" s="40" t="n">
        <f aca="false">$G$96*$F$36</f>
        <v>36.1752577319588</v>
      </c>
      <c r="D138" s="40" t="n">
        <f aca="false">$G$115*$F$47</f>
        <v>15.8659793814433</v>
      </c>
      <c r="E138" s="40" t="n">
        <f aca="false">C138+D138</f>
        <v>52.0412371134021</v>
      </c>
      <c r="F138" s="40" t="n">
        <f aca="false">E139*$C$135</f>
        <v>14.4907216494845</v>
      </c>
      <c r="G138" s="40" t="n">
        <f aca="false">$C$136</f>
        <v>15</v>
      </c>
      <c r="H138" s="42" t="n">
        <f aca="false">E138+F138-G138</f>
        <v>51.5319587628866</v>
      </c>
      <c r="I138" s="24" t="n">
        <f aca="false">H138*$I$18</f>
        <v>4279.77284640923</v>
      </c>
      <c r="J138" s="24" t="n">
        <f aca="false">I138*IF($G$18="Sí",$C$9,0)</f>
        <v>770.359112353661</v>
      </c>
      <c r="K138" s="36" t="n">
        <f aca="false">I138+J138</f>
        <v>5050.13195876289</v>
      </c>
    </row>
    <row r="139" customFormat="false" ht="15" hidden="false" customHeight="false" outlineLevel="0" collapsed="false">
      <c r="B139" s="10" t="s">
        <v>113</v>
      </c>
      <c r="C139" s="40" t="n">
        <f aca="false">$G$97*$F$36</f>
        <v>49.6288659793814</v>
      </c>
      <c r="D139" s="40" t="n">
        <f aca="false">$G$116*$F$47</f>
        <v>22.8247422680412</v>
      </c>
      <c r="E139" s="40" t="n">
        <f aca="false">C139+D139</f>
        <v>72.4536082474227</v>
      </c>
      <c r="F139" s="40" t="n">
        <f aca="false">E140*$C$135</f>
        <v>9.53608247422681</v>
      </c>
      <c r="G139" s="40" t="n">
        <f aca="false">F138</f>
        <v>14.4907216494845</v>
      </c>
      <c r="H139" s="42" t="n">
        <f aca="false">E139+F139-G139</f>
        <v>67.4989690721649</v>
      </c>
      <c r="I139" s="24" t="n">
        <f aca="false">H139*$I$18</f>
        <v>5605.84658395946</v>
      </c>
      <c r="J139" s="24" t="n">
        <f aca="false">I139*IF($G$18="Sí",$C$9,0)</f>
        <v>1009.0523851127</v>
      </c>
      <c r="K139" s="36" t="n">
        <f aca="false">I139+J139</f>
        <v>6614.89896907216</v>
      </c>
    </row>
    <row r="140" customFormat="false" ht="15" hidden="false" customHeight="false" outlineLevel="0" collapsed="false">
      <c r="B140" s="10" t="s">
        <v>114</v>
      </c>
      <c r="C140" s="40" t="n">
        <f aca="false">$G$98*$F$36</f>
        <v>33.4845360824742</v>
      </c>
      <c r="D140" s="40" t="n">
        <f aca="false">$G$117*$F$47</f>
        <v>14.1958762886598</v>
      </c>
      <c r="E140" s="40" t="n">
        <f aca="false">C140+D140</f>
        <v>47.680412371134</v>
      </c>
      <c r="F140" s="40" t="n">
        <f aca="false">E141*$C$135</f>
        <v>11.4639175257732</v>
      </c>
      <c r="G140" s="40" t="n">
        <f aca="false">F139</f>
        <v>9.53608247422681</v>
      </c>
      <c r="H140" s="42" t="n">
        <f aca="false">E140+F140-G140</f>
        <v>49.6082474226804</v>
      </c>
      <c r="I140" s="24" t="n">
        <f aca="false">H140*$I$18</f>
        <v>4120.00698934126</v>
      </c>
      <c r="J140" s="24" t="n">
        <f aca="false">I140*IF($G$18="Sí",$C$9,0)</f>
        <v>741.601258081426</v>
      </c>
      <c r="K140" s="36" t="n">
        <f aca="false">I140+J140</f>
        <v>4861.60824742268</v>
      </c>
    </row>
    <row r="141" customFormat="false" ht="15" hidden="false" customHeight="false" outlineLevel="0" collapsed="false">
      <c r="B141" s="10" t="s">
        <v>115</v>
      </c>
      <c r="C141" s="40" t="n">
        <f aca="false">$G$99*$F$36</f>
        <v>40.0618556701031</v>
      </c>
      <c r="D141" s="40" t="n">
        <f aca="false">$G$118*$F$47</f>
        <v>17.2577319587629</v>
      </c>
      <c r="E141" s="40" t="n">
        <f aca="false">C141+D141</f>
        <v>57.319587628866</v>
      </c>
      <c r="F141" s="40" t="n">
        <f aca="false">E142*$C$135</f>
        <v>15.8453608247423</v>
      </c>
      <c r="G141" s="40" t="n">
        <f aca="false">F140</f>
        <v>11.4639175257732</v>
      </c>
      <c r="H141" s="42" t="n">
        <f aca="false">E141+F141-G141</f>
        <v>61.7010309278351</v>
      </c>
      <c r="I141" s="24" t="n">
        <f aca="false">H141*$I$18</f>
        <v>5124.32290756596</v>
      </c>
      <c r="J141" s="24" t="n">
        <f aca="false">I141*IF($G$18="Sí",$C$9,0)</f>
        <v>922.378123361873</v>
      </c>
      <c r="K141" s="36" t="n">
        <f aca="false">I141+J141</f>
        <v>6046.70103092783</v>
      </c>
    </row>
    <row r="142" customFormat="false" ht="15" hidden="false" customHeight="false" outlineLevel="0" collapsed="false">
      <c r="B142" s="10" t="s">
        <v>116</v>
      </c>
      <c r="C142" s="40" t="n">
        <f aca="false">$G$100*$F$36</f>
        <v>55.0103092783505</v>
      </c>
      <c r="D142" s="40" t="n">
        <f aca="false">$G$119*$F$47</f>
        <v>24.2164948453608</v>
      </c>
      <c r="E142" s="40" t="n">
        <f aca="false">C142+D142</f>
        <v>79.2268041237114</v>
      </c>
      <c r="F142" s="40" t="n">
        <f aca="false">E143*$C$135</f>
        <v>13.2164948453608</v>
      </c>
      <c r="G142" s="40" t="n">
        <f aca="false">F141</f>
        <v>15.8453608247423</v>
      </c>
      <c r="H142" s="42" t="n">
        <f aca="false">E142+F142-G142</f>
        <v>76.5979381443299</v>
      </c>
      <c r="I142" s="24" t="n">
        <f aca="false">H142*$I$18</f>
        <v>6361.5236763935</v>
      </c>
      <c r="J142" s="24" t="n">
        <f aca="false">I142*IF($G$18="Sí",$C$9,0)</f>
        <v>1145.07426175083</v>
      </c>
      <c r="K142" s="36" t="n">
        <f aca="false">I142+J142</f>
        <v>7506.59793814433</v>
      </c>
    </row>
    <row r="143" customFormat="false" ht="15" hidden="false" customHeight="false" outlineLevel="0" collapsed="false">
      <c r="B143" s="10" t="s">
        <v>117</v>
      </c>
      <c r="C143" s="40" t="n">
        <f aca="false">$G$101*$F$36</f>
        <v>46.0412371134021</v>
      </c>
      <c r="D143" s="40" t="n">
        <f aca="false">$G$120*$F$47</f>
        <v>20.0412371134021</v>
      </c>
      <c r="E143" s="40" t="n">
        <f aca="false">C143+D143</f>
        <v>66.0824742268041</v>
      </c>
      <c r="F143" s="40" t="n">
        <f aca="false">E144*$C$135</f>
        <v>11.2886597938144</v>
      </c>
      <c r="G143" s="40" t="n">
        <f aca="false">F142</f>
        <v>13.2164948453608</v>
      </c>
      <c r="H143" s="42" t="n">
        <f aca="false">E143+F143-G143</f>
        <v>64.1546391752577</v>
      </c>
      <c r="I143" s="24" t="n">
        <f aca="false">H143*$I$18</f>
        <v>5328.09715184344</v>
      </c>
      <c r="J143" s="24" t="n">
        <f aca="false">I143*IF($G$18="Sí",$C$9,0)</f>
        <v>959.057487331819</v>
      </c>
      <c r="K143" s="36" t="n">
        <f aca="false">I143+J143</f>
        <v>6287.15463917526</v>
      </c>
    </row>
    <row r="144" customFormat="false" ht="15" hidden="false" customHeight="false" outlineLevel="0" collapsed="false">
      <c r="B144" s="10" t="s">
        <v>118</v>
      </c>
      <c r="C144" s="40" t="n">
        <f aca="false">$G$102*$F$36</f>
        <v>39.4639175257732</v>
      </c>
      <c r="D144" s="40" t="n">
        <f aca="false">$G$121*$F$47</f>
        <v>16.979381443299</v>
      </c>
      <c r="E144" s="40" t="n">
        <f aca="false">C144+D144</f>
        <v>56.4432989690722</v>
      </c>
      <c r="F144" s="40" t="n">
        <f aca="false">E145*$C$135</f>
        <v>11.8144329896907</v>
      </c>
      <c r="G144" s="40" t="n">
        <f aca="false">F143</f>
        <v>11.2886597938144</v>
      </c>
      <c r="H144" s="42" t="n">
        <f aca="false">E144+F144-G144</f>
        <v>56.9690721649485</v>
      </c>
      <c r="I144" s="24" t="n">
        <f aca="false">H144*$I$18</f>
        <v>4731.32972217369</v>
      </c>
      <c r="J144" s="24" t="n">
        <f aca="false">I144*IF($G$18="Sí",$C$9,0)</f>
        <v>851.639349991263</v>
      </c>
      <c r="K144" s="36" t="n">
        <f aca="false">I144+J144</f>
        <v>5582.96907216495</v>
      </c>
    </row>
    <row r="145" customFormat="false" ht="15" hidden="false" customHeight="false" outlineLevel="0" collapsed="false">
      <c r="B145" s="10" t="s">
        <v>119</v>
      </c>
      <c r="C145" s="40" t="n">
        <f aca="false">$G$103*$F$36</f>
        <v>41.2577319587629</v>
      </c>
      <c r="D145" s="40" t="n">
        <f aca="false">$G$122*$F$47</f>
        <v>17.8144329896907</v>
      </c>
      <c r="E145" s="40" t="n">
        <f aca="false">C145+D145</f>
        <v>59.0721649484536</v>
      </c>
      <c r="F145" s="40" t="n">
        <f aca="false">E146*$C$135</f>
        <v>11.2886597938144</v>
      </c>
      <c r="G145" s="40" t="n">
        <f aca="false">F144</f>
        <v>11.8144329896907</v>
      </c>
      <c r="H145" s="42" t="n">
        <f aca="false">E145+F145-G145</f>
        <v>58.5463917525773</v>
      </c>
      <c r="I145" s="24" t="n">
        <f aca="false">H145*$I$18</f>
        <v>4862.32745063778</v>
      </c>
      <c r="J145" s="24" t="n">
        <f aca="false">I145*IF($G$18="Sí",$C$9,0)</f>
        <v>875.2189411148</v>
      </c>
      <c r="K145" s="36" t="n">
        <f aca="false">I145+J145</f>
        <v>5737.54639175258</v>
      </c>
    </row>
    <row r="146" customFormat="false" ht="15" hidden="false" customHeight="false" outlineLevel="0" collapsed="false">
      <c r="B146" s="10" t="s">
        <v>120</v>
      </c>
      <c r="C146" s="40" t="n">
        <f aca="false">$G$104*$F$36</f>
        <v>39.4639175257732</v>
      </c>
      <c r="D146" s="40" t="n">
        <f aca="false">$G$123*$F$47</f>
        <v>16.979381443299</v>
      </c>
      <c r="E146" s="40" t="n">
        <f aca="false">C146+D146</f>
        <v>56.4432989690722</v>
      </c>
      <c r="F146" s="40" t="n">
        <f aca="false">E147*$C$135</f>
        <v>12.5154639175258</v>
      </c>
      <c r="G146" s="40" t="n">
        <f aca="false">F145</f>
        <v>11.2886597938144</v>
      </c>
      <c r="H146" s="42" t="n">
        <f aca="false">E146+F146-G146</f>
        <v>57.6701030927835</v>
      </c>
      <c r="I146" s="24" t="n">
        <f aca="false">H146*$I$18</f>
        <v>4789.55093482439</v>
      </c>
      <c r="J146" s="24" t="n">
        <f aca="false">I146*IF($G$18="Sí",$C$9,0)</f>
        <v>862.119168268391</v>
      </c>
      <c r="K146" s="36" t="n">
        <f aca="false">I146+J146</f>
        <v>5651.67010309278</v>
      </c>
    </row>
    <row r="147" customFormat="false" ht="15" hidden="false" customHeight="false" outlineLevel="0" collapsed="false">
      <c r="B147" s="10" t="s">
        <v>121</v>
      </c>
      <c r="C147" s="40" t="n">
        <f aca="false">$G$105*$F$36</f>
        <v>43.6494845360825</v>
      </c>
      <c r="D147" s="40" t="n">
        <f aca="false">$G$124*$F$47</f>
        <v>18.9278350515464</v>
      </c>
      <c r="E147" s="40" t="n">
        <f aca="false">C147+D147</f>
        <v>62.5773195876289</v>
      </c>
      <c r="F147" s="40" t="n">
        <f aca="false">E148*$C$135</f>
        <v>16.2515463917526</v>
      </c>
      <c r="G147" s="40" t="n">
        <f aca="false">F146</f>
        <v>12.5154639175258</v>
      </c>
      <c r="H147" s="42" t="n">
        <f aca="false">E147+F147-G147</f>
        <v>66.3134020618557</v>
      </c>
      <c r="I147" s="24" t="n">
        <f aca="false">H147*$I$18</f>
        <v>5507.38423903547</v>
      </c>
      <c r="J147" s="24" t="n">
        <f aca="false">I147*IF($G$18="Sí",$C$9,0)</f>
        <v>991.329163026385</v>
      </c>
      <c r="K147" s="36" t="n">
        <f aca="false">I147+J147</f>
        <v>6498.71340206186</v>
      </c>
    </row>
    <row r="148" customFormat="false" ht="15" hidden="false" customHeight="false" outlineLevel="0" collapsed="false">
      <c r="B148" s="10" t="s">
        <v>122</v>
      </c>
      <c r="C148" s="40" t="n">
        <f aca="false">$G$106*$F$36</f>
        <v>56.2061855670103</v>
      </c>
      <c r="D148" s="40" t="n">
        <f aca="false">$G$125*$F$47</f>
        <v>25.0515463917526</v>
      </c>
      <c r="E148" s="40" t="n">
        <f aca="false">C148+D148</f>
        <v>81.2577319587629</v>
      </c>
      <c r="F148" s="40" t="n">
        <f aca="false">E149*$C$135</f>
        <v>20.1810309278351</v>
      </c>
      <c r="G148" s="40" t="n">
        <f aca="false">F147</f>
        <v>16.2515463917526</v>
      </c>
      <c r="H148" s="42" t="n">
        <f aca="false">E148+F148-G148</f>
        <v>85.1872164948454</v>
      </c>
      <c r="I148" s="24" t="n">
        <f aca="false">H148*$I$18</f>
        <v>7074.87052245326</v>
      </c>
      <c r="J148" s="24" t="n">
        <f aca="false">I148*IF($G$18="Sí",$C$9,0)</f>
        <v>1273.47669404159</v>
      </c>
      <c r="K148" s="36" t="n">
        <f aca="false">I148+J148</f>
        <v>8348.34721649484</v>
      </c>
    </row>
    <row r="149" customFormat="false" ht="15" hidden="false" customHeight="false" outlineLevel="0" collapsed="false">
      <c r="B149" s="10" t="s">
        <v>123</v>
      </c>
      <c r="C149" s="40" t="n">
        <f aca="false">$G$107*$F$36</f>
        <v>69.0618556701031</v>
      </c>
      <c r="D149" s="40" t="n">
        <f aca="false">$G$126*$F$47</f>
        <v>31.8432989690722</v>
      </c>
      <c r="E149" s="40" t="n">
        <f aca="false">C149+D149</f>
        <v>100.905154639175</v>
      </c>
      <c r="F149" s="40" t="n">
        <f aca="false">E151*$C$135</f>
        <v>11.0536082474227</v>
      </c>
      <c r="G149" s="40" t="n">
        <f aca="false">F148</f>
        <v>20.1810309278351</v>
      </c>
      <c r="H149" s="42" t="n">
        <f aca="false">E149+F149-G149</f>
        <v>91.7777319587629</v>
      </c>
      <c r="I149" s="24" t="n">
        <f aca="false">H149*$I$18</f>
        <v>7622.21841691421</v>
      </c>
      <c r="J149" s="24" t="n">
        <f aca="false">I149*IF($G$18="Sí",$C$9,0)</f>
        <v>1371.99931504456</v>
      </c>
      <c r="K149" s="36" t="n">
        <f aca="false">I149+J149</f>
        <v>8994.21773195876</v>
      </c>
    </row>
    <row r="150" customFormat="false" ht="15" hidden="false" customHeight="false" outlineLevel="0" collapsed="false">
      <c r="B150" s="38" t="s">
        <v>124</v>
      </c>
      <c r="C150" s="31"/>
      <c r="D150" s="31"/>
      <c r="E150" s="43" t="n">
        <f aca="false">SUM(E138:E149)</f>
        <v>791.503092783505</v>
      </c>
      <c r="F150" s="31"/>
      <c r="G150" s="31"/>
      <c r="H150" s="43" t="n">
        <f aca="false">SUM(H138:H149)</f>
        <v>787.556701030928</v>
      </c>
      <c r="I150" s="44" t="n">
        <f aca="false">SUM(I138:I149)</f>
        <v>65407.2514415516</v>
      </c>
      <c r="J150" s="44" t="n">
        <f aca="false">SUM(J138:J149)</f>
        <v>11773.3052594793</v>
      </c>
      <c r="K150" s="44" t="n">
        <f aca="false">SUM(K138:K149)</f>
        <v>77180.5567010309</v>
      </c>
    </row>
    <row r="151" customFormat="false" ht="15" hidden="false" customHeight="false" outlineLevel="0" collapsed="false">
      <c r="B151" s="10" t="s">
        <v>147</v>
      </c>
      <c r="C151" s="40" t="n">
        <f aca="false">$G$109*$F$36</f>
        <v>38.5670103092784</v>
      </c>
      <c r="D151" s="40" t="n">
        <f aca="false">$G$128*$F$47</f>
        <v>16.7010309278351</v>
      </c>
      <c r="E151" s="40" t="n">
        <f aca="false">C151+D151</f>
        <v>55.2680412371134</v>
      </c>
      <c r="F151" s="19" t="s">
        <v>126</v>
      </c>
      <c r="G151" s="19" t="s">
        <v>126</v>
      </c>
      <c r="H151" s="19" t="s">
        <v>126</v>
      </c>
      <c r="I151" s="19" t="s">
        <v>126</v>
      </c>
      <c r="J151" s="19" t="s">
        <v>126</v>
      </c>
      <c r="K151" s="19" t="s">
        <v>126</v>
      </c>
    </row>
    <row r="153" customFormat="false" ht="15" hidden="false" customHeight="false" outlineLevel="0" collapsed="false">
      <c r="B153" s="18" t="s">
        <v>318</v>
      </c>
    </row>
    <row r="154" customFormat="false" ht="25.5" hidden="false" customHeight="true" outlineLevel="0" collapsed="false">
      <c r="B154" s="20" t="s">
        <v>137</v>
      </c>
      <c r="C154" s="29" t="n">
        <v>0.2</v>
      </c>
    </row>
    <row r="155" customFormat="false" ht="15" hidden="false" customHeight="false" outlineLevel="0" collapsed="false">
      <c r="B155" s="10" t="s">
        <v>209</v>
      </c>
      <c r="C155" s="21" t="n">
        <v>10</v>
      </c>
    </row>
    <row r="156" customFormat="false" ht="39.75" hidden="false" customHeight="true" outlineLevel="0" collapsed="false">
      <c r="B156" s="5" t="s">
        <v>108</v>
      </c>
      <c r="C156" s="5" t="s">
        <v>139</v>
      </c>
      <c r="D156" s="5" t="s">
        <v>140</v>
      </c>
      <c r="E156" s="5" t="s">
        <v>141</v>
      </c>
      <c r="F156" s="5" t="s">
        <v>142</v>
      </c>
      <c r="G156" s="5" t="s">
        <v>143</v>
      </c>
      <c r="H156" s="5" t="s">
        <v>144</v>
      </c>
      <c r="I156" s="5" t="s">
        <v>49</v>
      </c>
      <c r="J156" s="5" t="s">
        <v>145</v>
      </c>
      <c r="K156" s="5" t="s">
        <v>146</v>
      </c>
    </row>
    <row r="157" customFormat="false" ht="15" hidden="false" customHeight="false" outlineLevel="0" collapsed="false">
      <c r="B157" s="10" t="s">
        <v>112</v>
      </c>
      <c r="C157" s="40" t="n">
        <f aca="false">$G$96*$F$37</f>
        <v>27.4432989690722</v>
      </c>
      <c r="D157" s="40" t="n">
        <f aca="false">$G$115*$F$48</f>
        <v>11.7525773195876</v>
      </c>
      <c r="E157" s="40" t="n">
        <f aca="false">C157+D157</f>
        <v>39.1958762886598</v>
      </c>
      <c r="F157" s="40" t="n">
        <f aca="false">E158*$C$154</f>
        <v>10.9113402061856</v>
      </c>
      <c r="G157" s="40" t="n">
        <f aca="false">$C$155</f>
        <v>10</v>
      </c>
      <c r="H157" s="42" t="n">
        <f aca="false">E157+F157-G157</f>
        <v>40.1072164948454</v>
      </c>
      <c r="I157" s="24" t="n">
        <f aca="false">H157*$I$19</f>
        <v>734.165996854797</v>
      </c>
      <c r="J157" s="24" t="n">
        <f aca="false">I157*IF($G$19="Sí",$C$9,0)</f>
        <v>132.149879433863</v>
      </c>
      <c r="K157" s="36" t="n">
        <f aca="false">I157+J157</f>
        <v>866.31587628866</v>
      </c>
    </row>
    <row r="158" customFormat="false" ht="15" hidden="false" customHeight="false" outlineLevel="0" collapsed="false">
      <c r="B158" s="10" t="s">
        <v>113</v>
      </c>
      <c r="C158" s="40" t="n">
        <f aca="false">$G$97*$F$37</f>
        <v>37.6494845360825</v>
      </c>
      <c r="D158" s="40" t="n">
        <f aca="false">$G$116*$F$48</f>
        <v>16.9072164948454</v>
      </c>
      <c r="E158" s="40" t="n">
        <f aca="false">C158+D158</f>
        <v>54.5567010309278</v>
      </c>
      <c r="F158" s="40" t="n">
        <f aca="false">E159*$C$154</f>
        <v>7.18350515463918</v>
      </c>
      <c r="G158" s="40" t="n">
        <f aca="false">F157</f>
        <v>10.9113402061856</v>
      </c>
      <c r="H158" s="42" t="n">
        <f aca="false">E158+F158-G158</f>
        <v>50.8288659793815</v>
      </c>
      <c r="I158" s="24" t="n">
        <f aca="false">H158*$I$19</f>
        <v>930.426699283593</v>
      </c>
      <c r="J158" s="24" t="n">
        <f aca="false">I158*IF($G$19="Sí",$C$9,0)</f>
        <v>167.476805871047</v>
      </c>
      <c r="K158" s="36" t="n">
        <f aca="false">I158+J158</f>
        <v>1097.90350515464</v>
      </c>
    </row>
    <row r="159" customFormat="false" ht="15" hidden="false" customHeight="false" outlineLevel="0" collapsed="false">
      <c r="B159" s="10" t="s">
        <v>114</v>
      </c>
      <c r="C159" s="40" t="n">
        <f aca="false">$G$98*$F$37</f>
        <v>25.4020618556701</v>
      </c>
      <c r="D159" s="40" t="n">
        <f aca="false">$G$117*$F$48</f>
        <v>10.5154639175258</v>
      </c>
      <c r="E159" s="40" t="n">
        <f aca="false">C159+D159</f>
        <v>35.9175257731959</v>
      </c>
      <c r="F159" s="40" t="n">
        <f aca="false">E160*$C$154</f>
        <v>8.63505154639175</v>
      </c>
      <c r="G159" s="40" t="n">
        <f aca="false">F158</f>
        <v>7.18350515463918</v>
      </c>
      <c r="H159" s="42" t="n">
        <f aca="false">E159+F159-G159</f>
        <v>37.3690721649485</v>
      </c>
      <c r="I159" s="24" t="n">
        <f aca="false">H159*$I$19</f>
        <v>684.044032849904</v>
      </c>
      <c r="J159" s="24" t="n">
        <f aca="false">I159*IF($G$19="Sí",$C$9,0)</f>
        <v>123.127925912983</v>
      </c>
      <c r="K159" s="36" t="n">
        <f aca="false">I159+J159</f>
        <v>807.171958762887</v>
      </c>
    </row>
    <row r="160" customFormat="false" ht="15" hidden="false" customHeight="false" outlineLevel="0" collapsed="false">
      <c r="B160" s="10" t="s">
        <v>115</v>
      </c>
      <c r="C160" s="40" t="n">
        <f aca="false">$G$99*$F$37</f>
        <v>30.3917525773196</v>
      </c>
      <c r="D160" s="40" t="n">
        <f aca="false">$G$118*$F$48</f>
        <v>12.7835051546392</v>
      </c>
      <c r="E160" s="40" t="n">
        <f aca="false">C160+D160</f>
        <v>43.1752577319588</v>
      </c>
      <c r="F160" s="40" t="n">
        <f aca="false">E161*$C$154</f>
        <v>11.9340206185567</v>
      </c>
      <c r="G160" s="40" t="n">
        <f aca="false">F159</f>
        <v>8.63505154639175</v>
      </c>
      <c r="H160" s="42" t="n">
        <f aca="false">E160+F160-G160</f>
        <v>46.4742268041237</v>
      </c>
      <c r="I160" s="24" t="n">
        <f aca="false">H160*$I$19</f>
        <v>850.714660143282</v>
      </c>
      <c r="J160" s="24" t="n">
        <f aca="false">I160*IF($G$19="Sí",$C$9,0)</f>
        <v>153.128638825791</v>
      </c>
      <c r="K160" s="36" t="n">
        <f aca="false">I160+J160</f>
        <v>1003.84329896907</v>
      </c>
    </row>
    <row r="161" customFormat="false" ht="15" hidden="false" customHeight="false" outlineLevel="0" collapsed="false">
      <c r="B161" s="10" t="s">
        <v>116</v>
      </c>
      <c r="C161" s="40" t="n">
        <f aca="false">$G$100*$F$37</f>
        <v>41.7319587628866</v>
      </c>
      <c r="D161" s="40" t="n">
        <f aca="false">$G$119*$F$48</f>
        <v>17.9381443298969</v>
      </c>
      <c r="E161" s="40" t="n">
        <f aca="false">C161+D161</f>
        <v>59.6701030927835</v>
      </c>
      <c r="F161" s="40" t="n">
        <f aca="false">E162*$C$154</f>
        <v>9.95463917525773</v>
      </c>
      <c r="G161" s="40" t="n">
        <f aca="false">F160</f>
        <v>11.9340206185567</v>
      </c>
      <c r="H161" s="42" t="n">
        <f aca="false">E161+F161-G161</f>
        <v>57.6907216494845</v>
      </c>
      <c r="I161" s="24" t="n">
        <f aca="false">H161*$I$19</f>
        <v>1056.03354883802</v>
      </c>
      <c r="J161" s="24" t="n">
        <f aca="false">I161*IF($G$19="Sí",$C$9,0)</f>
        <v>190.086038790844</v>
      </c>
      <c r="K161" s="36" t="n">
        <f aca="false">I161+J161</f>
        <v>1246.11958762887</v>
      </c>
    </row>
    <row r="162" customFormat="false" ht="15" hidden="false" customHeight="false" outlineLevel="0" collapsed="false">
      <c r="B162" s="10" t="s">
        <v>117</v>
      </c>
      <c r="C162" s="40" t="n">
        <f aca="false">$G$101*$F$37</f>
        <v>34.9278350515464</v>
      </c>
      <c r="D162" s="40" t="n">
        <f aca="false">$G$120*$F$48</f>
        <v>14.8453608247423</v>
      </c>
      <c r="E162" s="40" t="n">
        <f aca="false">C162+D162</f>
        <v>49.7731958762887</v>
      </c>
      <c r="F162" s="40" t="n">
        <f aca="false">E163*$C$154</f>
        <v>8.50309278350516</v>
      </c>
      <c r="G162" s="40" t="n">
        <f aca="false">F161</f>
        <v>9.95463917525773</v>
      </c>
      <c r="H162" s="42" t="n">
        <f aca="false">E162+F162-G162</f>
        <v>48.3216494845361</v>
      </c>
      <c r="I162" s="24" t="n">
        <f aca="false">H162*$I$19</f>
        <v>884.531888869474</v>
      </c>
      <c r="J162" s="24" t="n">
        <f aca="false">I162*IF($G$19="Sí",$C$9,0)</f>
        <v>159.215739996505</v>
      </c>
      <c r="K162" s="36" t="n">
        <f aca="false">I162+J162</f>
        <v>1043.74762886598</v>
      </c>
    </row>
    <row r="163" customFormat="false" ht="15" hidden="false" customHeight="false" outlineLevel="0" collapsed="false">
      <c r="B163" s="10" t="s">
        <v>118</v>
      </c>
      <c r="C163" s="40" t="n">
        <f aca="false">$G$102*$F$37</f>
        <v>29.9381443298969</v>
      </c>
      <c r="D163" s="40" t="n">
        <f aca="false">$G$121*$F$48</f>
        <v>12.5773195876289</v>
      </c>
      <c r="E163" s="40" t="n">
        <f aca="false">C163+D163</f>
        <v>42.5154639175258</v>
      </c>
      <c r="F163" s="40" t="n">
        <f aca="false">E164*$C$154</f>
        <v>8.89896907216495</v>
      </c>
      <c r="G163" s="40" t="n">
        <f aca="false">F162</f>
        <v>8.50309278350516</v>
      </c>
      <c r="H163" s="42" t="n">
        <f aca="false">E163+F163-G163</f>
        <v>42.9113402061856</v>
      </c>
      <c r="I163" s="24" t="n">
        <f aca="false">H163*$I$19</f>
        <v>785.495719028482</v>
      </c>
      <c r="J163" s="24" t="n">
        <f aca="false">I163*IF($G$19="Sí",$C$9,0)</f>
        <v>141.389229425127</v>
      </c>
      <c r="K163" s="36" t="n">
        <f aca="false">I163+J163</f>
        <v>926.884948453608</v>
      </c>
    </row>
    <row r="164" customFormat="false" ht="15" hidden="false" customHeight="false" outlineLevel="0" collapsed="false">
      <c r="B164" s="10" t="s">
        <v>119</v>
      </c>
      <c r="C164" s="40" t="n">
        <f aca="false">$G$103*$F$37</f>
        <v>31.2989690721649</v>
      </c>
      <c r="D164" s="40" t="n">
        <f aca="false">$G$122*$F$48</f>
        <v>13.1958762886598</v>
      </c>
      <c r="E164" s="40" t="n">
        <f aca="false">C164+D164</f>
        <v>44.4948453608247</v>
      </c>
      <c r="F164" s="40" t="n">
        <f aca="false">E165*$C$154</f>
        <v>8.50309278350516</v>
      </c>
      <c r="G164" s="40" t="n">
        <f aca="false">F163</f>
        <v>8.89896907216495</v>
      </c>
      <c r="H164" s="42" t="n">
        <f aca="false">E164+F164-G164</f>
        <v>44.098969072165</v>
      </c>
      <c r="I164" s="24" t="n">
        <f aca="false">H164*$I$19</f>
        <v>807.235366066748</v>
      </c>
      <c r="J164" s="24" t="n">
        <f aca="false">I164*IF($G$19="Sí",$C$9,0)</f>
        <v>145.302365892015</v>
      </c>
      <c r="K164" s="36" t="n">
        <f aca="false">I164+J164</f>
        <v>952.537731958763</v>
      </c>
    </row>
    <row r="165" customFormat="false" ht="15" hidden="false" customHeight="false" outlineLevel="0" collapsed="false">
      <c r="B165" s="10" t="s">
        <v>120</v>
      </c>
      <c r="C165" s="40" t="n">
        <f aca="false">$G$104*$F$37</f>
        <v>29.9381443298969</v>
      </c>
      <c r="D165" s="40" t="n">
        <f aca="false">$G$123*$F$48</f>
        <v>12.5773195876289</v>
      </c>
      <c r="E165" s="40" t="n">
        <f aca="false">C165+D165</f>
        <v>42.5154639175258</v>
      </c>
      <c r="F165" s="40" t="n">
        <f aca="false">E166*$C$154</f>
        <v>9.42680412371134</v>
      </c>
      <c r="G165" s="40" t="n">
        <f aca="false">F164</f>
        <v>8.50309278350516</v>
      </c>
      <c r="H165" s="42" t="n">
        <f aca="false">E165+F165-G165</f>
        <v>43.439175257732</v>
      </c>
      <c r="I165" s="24" t="n">
        <f aca="false">H165*$I$19</f>
        <v>795.157784378822</v>
      </c>
      <c r="J165" s="24" t="n">
        <f aca="false">I165*IF($G$19="Sí",$C$9,0)</f>
        <v>143.128401188188</v>
      </c>
      <c r="K165" s="36" t="n">
        <f aca="false">I165+J165</f>
        <v>938.28618556701</v>
      </c>
    </row>
    <row r="166" customFormat="false" ht="15" hidden="false" customHeight="false" outlineLevel="0" collapsed="false">
      <c r="B166" s="10" t="s">
        <v>121</v>
      </c>
      <c r="C166" s="40" t="n">
        <f aca="false">$G$105*$F$37</f>
        <v>33.1134020618557</v>
      </c>
      <c r="D166" s="40" t="n">
        <f aca="false">$G$124*$F$48</f>
        <v>14.020618556701</v>
      </c>
      <c r="E166" s="40" t="n">
        <f aca="false">C166+D166</f>
        <v>47.1340206185567</v>
      </c>
      <c r="F166" s="40" t="n">
        <f aca="false">E167*$C$154</f>
        <v>12.239175257732</v>
      </c>
      <c r="G166" s="40" t="n">
        <f aca="false">F165</f>
        <v>9.42680412371134</v>
      </c>
      <c r="H166" s="42" t="n">
        <f aca="false">E166+F166-G166</f>
        <v>49.9463917525773</v>
      </c>
      <c r="I166" s="24" t="n">
        <f aca="false">H166*$I$19</f>
        <v>914.272933775992</v>
      </c>
      <c r="J166" s="24" t="n">
        <f aca="false">I166*IF($G$19="Sí",$C$9,0)</f>
        <v>164.569128079678</v>
      </c>
      <c r="K166" s="36" t="n">
        <f aca="false">I166+J166</f>
        <v>1078.84206185567</v>
      </c>
    </row>
    <row r="167" customFormat="false" ht="15" hidden="false" customHeight="false" outlineLevel="0" collapsed="false">
      <c r="B167" s="10" t="s">
        <v>122</v>
      </c>
      <c r="C167" s="40" t="n">
        <f aca="false">$G$106*$F$37</f>
        <v>42.639175257732</v>
      </c>
      <c r="D167" s="40" t="n">
        <f aca="false">$G$125*$F$48</f>
        <v>18.5567010309278</v>
      </c>
      <c r="E167" s="40" t="n">
        <f aca="false">C167+D167</f>
        <v>61.1958762886598</v>
      </c>
      <c r="F167" s="40" t="n">
        <f aca="false">E168*$C$154</f>
        <v>15.1958762886598</v>
      </c>
      <c r="G167" s="40" t="n">
        <f aca="false">F166</f>
        <v>12.239175257732</v>
      </c>
      <c r="H167" s="42" t="n">
        <f aca="false">E167+F167-G167</f>
        <v>64.1525773195876</v>
      </c>
      <c r="I167" s="24" t="n">
        <f aca="false">H167*$I$19</f>
        <v>1174.31836449415</v>
      </c>
      <c r="J167" s="24" t="n">
        <f aca="false">I167*IF($G$19="Sí",$C$9,0)</f>
        <v>211.377305608946</v>
      </c>
      <c r="K167" s="36" t="n">
        <f aca="false">I167+J167</f>
        <v>1385.69567010309</v>
      </c>
    </row>
    <row r="168" customFormat="false" ht="15" hidden="false" customHeight="false" outlineLevel="0" collapsed="false">
      <c r="B168" s="10" t="s">
        <v>123</v>
      </c>
      <c r="C168" s="40" t="n">
        <f aca="false">$G$107*$F$37</f>
        <v>52.3917525773196</v>
      </c>
      <c r="D168" s="40" t="n">
        <f aca="false">$G$126*$F$48</f>
        <v>23.5876288659794</v>
      </c>
      <c r="E168" s="40" t="n">
        <f aca="false">C168+D168</f>
        <v>75.979381443299</v>
      </c>
      <c r="F168" s="40" t="n">
        <f aca="false">E170*$C$154</f>
        <v>8.32577319587629</v>
      </c>
      <c r="G168" s="40" t="n">
        <f aca="false">F167</f>
        <v>15.1958762886598</v>
      </c>
      <c r="H168" s="42" t="n">
        <f aca="false">E168+F168-G168</f>
        <v>69.1092783505155</v>
      </c>
      <c r="I168" s="24" t="n">
        <f aca="false">H168*$I$19</f>
        <v>1265.05119692469</v>
      </c>
      <c r="J168" s="24" t="n">
        <f aca="false">I168*IF($G$19="Sí",$C$9,0)</f>
        <v>227.709215446444</v>
      </c>
      <c r="K168" s="36" t="n">
        <f aca="false">I168+J168</f>
        <v>1492.76041237113</v>
      </c>
    </row>
    <row r="169" customFormat="false" ht="15" hidden="false" customHeight="false" outlineLevel="0" collapsed="false">
      <c r="B169" s="38" t="s">
        <v>124</v>
      </c>
      <c r="C169" s="31"/>
      <c r="D169" s="31"/>
      <c r="E169" s="43" t="n">
        <f aca="false">SUM(E157:E168)</f>
        <v>596.123711340206</v>
      </c>
      <c r="F169" s="31"/>
      <c r="G169" s="31"/>
      <c r="H169" s="43" t="n">
        <f aca="false">SUM(H157:H168)</f>
        <v>594.449484536083</v>
      </c>
      <c r="I169" s="44" t="n">
        <f aca="false">SUM(I157:I168)</f>
        <v>10881.448191508</v>
      </c>
      <c r="J169" s="44" t="n">
        <f aca="false">SUM(J157:J168)</f>
        <v>1958.66067447143</v>
      </c>
      <c r="K169" s="44" t="n">
        <f aca="false">SUM(K157:K168)</f>
        <v>12840.1088659794</v>
      </c>
    </row>
    <row r="170" customFormat="false" ht="15" hidden="false" customHeight="false" outlineLevel="0" collapsed="false">
      <c r="B170" s="10" t="s">
        <v>147</v>
      </c>
      <c r="C170" s="40" t="n">
        <f aca="false">$G$109*$F$37</f>
        <v>29.2577319587629</v>
      </c>
      <c r="D170" s="40" t="n">
        <f aca="false">$G$128*$F$48</f>
        <v>12.3711340206186</v>
      </c>
      <c r="E170" s="40" t="n">
        <f aca="false">C170+D170</f>
        <v>41.6288659793814</v>
      </c>
      <c r="F170" s="19" t="s">
        <v>126</v>
      </c>
      <c r="G170" s="19" t="s">
        <v>126</v>
      </c>
      <c r="H170" s="19" t="s">
        <v>126</v>
      </c>
      <c r="I170" s="19" t="s">
        <v>126</v>
      </c>
      <c r="J170" s="19" t="s">
        <v>126</v>
      </c>
      <c r="K170" s="19" t="s">
        <v>126</v>
      </c>
    </row>
    <row r="172" customFormat="false" ht="15" hidden="false" customHeight="false" outlineLevel="0" collapsed="false">
      <c r="B172" s="18" t="s">
        <v>319</v>
      </c>
    </row>
    <row r="173" customFormat="false" ht="25.5" hidden="false" customHeight="true" outlineLevel="0" collapsed="false">
      <c r="B173" s="20" t="s">
        <v>137</v>
      </c>
      <c r="C173" s="29" t="n">
        <v>0.2</v>
      </c>
    </row>
    <row r="174" customFormat="false" ht="15" hidden="false" customHeight="false" outlineLevel="0" collapsed="false">
      <c r="B174" s="10" t="s">
        <v>209</v>
      </c>
      <c r="C174" s="21" t="n">
        <v>20</v>
      </c>
    </row>
    <row r="175" customFormat="false" ht="39.75" hidden="false" customHeight="true" outlineLevel="0" collapsed="false">
      <c r="B175" s="5" t="s">
        <v>108</v>
      </c>
      <c r="C175" s="5" t="s">
        <v>139</v>
      </c>
      <c r="D175" s="5" t="s">
        <v>140</v>
      </c>
      <c r="E175" s="5" t="s">
        <v>141</v>
      </c>
      <c r="F175" s="5" t="s">
        <v>142</v>
      </c>
      <c r="G175" s="5" t="s">
        <v>143</v>
      </c>
      <c r="H175" s="5" t="s">
        <v>144</v>
      </c>
      <c r="I175" s="5" t="s">
        <v>49</v>
      </c>
      <c r="J175" s="5" t="s">
        <v>145</v>
      </c>
      <c r="K175" s="5" t="s">
        <v>146</v>
      </c>
    </row>
    <row r="176" customFormat="false" ht="15" hidden="false" customHeight="false" outlineLevel="0" collapsed="false">
      <c r="B176" s="10" t="s">
        <v>112</v>
      </c>
      <c r="C176" s="40" t="n">
        <f aca="false">$G$96*$F$38</f>
        <v>44.9072164948454</v>
      </c>
      <c r="D176" s="40" t="n">
        <f aca="false">$G$115*$F$49</f>
        <v>19.3917525773196</v>
      </c>
      <c r="E176" s="40" t="n">
        <f aca="false">C176+D176</f>
        <v>64.298969072165</v>
      </c>
      <c r="F176" s="40" t="n">
        <f aca="false">E177*$C$173</f>
        <v>17.9010309278351</v>
      </c>
      <c r="G176" s="40" t="n">
        <f aca="false">$C$174</f>
        <v>20</v>
      </c>
      <c r="H176" s="42" t="n">
        <f aca="false">E176+F176-G176</f>
        <v>62.2</v>
      </c>
      <c r="I176" s="24" t="n">
        <f aca="false">H176*$I$20</f>
        <v>226.661016949153</v>
      </c>
      <c r="J176" s="24" t="n">
        <f aca="false">I176*IF($G$20="Sí",$C$9,0)</f>
        <v>40.7989830508475</v>
      </c>
      <c r="K176" s="36" t="n">
        <f aca="false">I176+J176</f>
        <v>267.46</v>
      </c>
    </row>
    <row r="177" customFormat="false" ht="15" hidden="false" customHeight="false" outlineLevel="0" collapsed="false">
      <c r="B177" s="10" t="s">
        <v>113</v>
      </c>
      <c r="C177" s="40" t="n">
        <f aca="false">$G$97*$F$38</f>
        <v>61.6082474226804</v>
      </c>
      <c r="D177" s="40" t="n">
        <f aca="false">$G$116*$F$49</f>
        <v>27.8969072164949</v>
      </c>
      <c r="E177" s="40" t="n">
        <f aca="false">C177+D177</f>
        <v>89.5051546391753</v>
      </c>
      <c r="F177" s="40" t="n">
        <f aca="false">E178*$C$173</f>
        <v>11.7835051546392</v>
      </c>
      <c r="G177" s="40" t="n">
        <f aca="false">F176</f>
        <v>17.9010309278351</v>
      </c>
      <c r="H177" s="42" t="n">
        <f aca="false">E177+F177-G177</f>
        <v>83.3876288659794</v>
      </c>
      <c r="I177" s="24" t="n">
        <f aca="false">H177*$I$20</f>
        <v>303.870172986196</v>
      </c>
      <c r="J177" s="24" t="n">
        <f aca="false">I177*IF($G$20="Sí",$C$9,0)</f>
        <v>54.6966311375153</v>
      </c>
      <c r="K177" s="36" t="n">
        <f aca="false">I177+J177</f>
        <v>358.566804123711</v>
      </c>
    </row>
    <row r="178" customFormat="false" ht="15" hidden="false" customHeight="false" outlineLevel="0" collapsed="false">
      <c r="B178" s="10" t="s">
        <v>114</v>
      </c>
      <c r="C178" s="40" t="n">
        <f aca="false">$G$98*$F$38</f>
        <v>41.5670103092784</v>
      </c>
      <c r="D178" s="40" t="n">
        <f aca="false">$G$117*$F$49</f>
        <v>17.3505154639175</v>
      </c>
      <c r="E178" s="40" t="n">
        <f aca="false">C178+D178</f>
        <v>58.9175257731959</v>
      </c>
      <c r="F178" s="40" t="n">
        <f aca="false">E179*$C$173</f>
        <v>14.1649484536082</v>
      </c>
      <c r="G178" s="40" t="n">
        <f aca="false">F177</f>
        <v>11.7835051546392</v>
      </c>
      <c r="H178" s="42" t="n">
        <f aca="false">E178+F178-G178</f>
        <v>61.298969072165</v>
      </c>
      <c r="I178" s="24" t="n">
        <f aca="false">H178*$I$20</f>
        <v>223.377599161279</v>
      </c>
      <c r="J178" s="24" t="n">
        <f aca="false">I178*IF($G$20="Sí",$C$9,0)</f>
        <v>40.2079678490302</v>
      </c>
      <c r="K178" s="36" t="n">
        <f aca="false">I178+J178</f>
        <v>263.585567010309</v>
      </c>
    </row>
    <row r="179" customFormat="false" ht="15" hidden="false" customHeight="false" outlineLevel="0" collapsed="false">
      <c r="B179" s="10" t="s">
        <v>115</v>
      </c>
      <c r="C179" s="40" t="n">
        <f aca="false">$G$99*$F$38</f>
        <v>49.7319587628866</v>
      </c>
      <c r="D179" s="40" t="n">
        <f aca="false">$G$118*$F$49</f>
        <v>21.0927835051546</v>
      </c>
      <c r="E179" s="40" t="n">
        <f aca="false">C179+D179</f>
        <v>70.8247422680412</v>
      </c>
      <c r="F179" s="40" t="n">
        <f aca="false">E180*$C$173</f>
        <v>19.5773195876289</v>
      </c>
      <c r="G179" s="40" t="n">
        <f aca="false">F178</f>
        <v>14.1649484536082</v>
      </c>
      <c r="H179" s="42" t="n">
        <f aca="false">E179+F179-G179</f>
        <v>76.2371134020619</v>
      </c>
      <c r="I179" s="24" t="n">
        <f aca="false">H179*$I$20</f>
        <v>277.813209854971</v>
      </c>
      <c r="J179" s="24" t="n">
        <f aca="false">I179*IF($G$20="Sí",$C$9,0)</f>
        <v>50.0063777738948</v>
      </c>
      <c r="K179" s="36" t="n">
        <f aca="false">I179+J179</f>
        <v>327.819587628866</v>
      </c>
    </row>
    <row r="180" customFormat="false" ht="15" hidden="false" customHeight="false" outlineLevel="0" collapsed="false">
      <c r="B180" s="10" t="s">
        <v>116</v>
      </c>
      <c r="C180" s="40" t="n">
        <f aca="false">$G$100*$F$38</f>
        <v>68.2886597938144</v>
      </c>
      <c r="D180" s="40" t="n">
        <f aca="false">$G$119*$F$49</f>
        <v>29.5979381443299</v>
      </c>
      <c r="E180" s="40" t="n">
        <f aca="false">C180+D180</f>
        <v>97.8865979381443</v>
      </c>
      <c r="F180" s="40" t="n">
        <f aca="false">E181*$C$173</f>
        <v>16.3298969072165</v>
      </c>
      <c r="G180" s="40" t="n">
        <f aca="false">F179</f>
        <v>19.5773195876289</v>
      </c>
      <c r="H180" s="42" t="n">
        <f aca="false">E180+F180-G180</f>
        <v>94.639175257732</v>
      </c>
      <c r="I180" s="24" t="n">
        <f aca="false">H180*$I$20</f>
        <v>344.871570854447</v>
      </c>
      <c r="J180" s="24" t="n">
        <f aca="false">I180*IF($G$20="Sí",$C$9,0)</f>
        <v>62.0768827538005</v>
      </c>
      <c r="K180" s="36" t="n">
        <f aca="false">I180+J180</f>
        <v>406.948453608247</v>
      </c>
    </row>
    <row r="181" customFormat="false" ht="15" hidden="false" customHeight="false" outlineLevel="0" collapsed="false">
      <c r="B181" s="10" t="s">
        <v>117</v>
      </c>
      <c r="C181" s="40" t="n">
        <f aca="false">$G$101*$F$38</f>
        <v>57.1546391752577</v>
      </c>
      <c r="D181" s="40" t="n">
        <f aca="false">$G$120*$F$49</f>
        <v>24.4948453608247</v>
      </c>
      <c r="E181" s="40" t="n">
        <f aca="false">C181+D181</f>
        <v>81.6494845360825</v>
      </c>
      <c r="F181" s="40" t="n">
        <f aca="false">E182*$C$173</f>
        <v>13.9484536082474</v>
      </c>
      <c r="G181" s="40" t="n">
        <f aca="false">F180</f>
        <v>16.3298969072165</v>
      </c>
      <c r="H181" s="42" t="n">
        <f aca="false">E181+F181-G181</f>
        <v>79.2680412371134</v>
      </c>
      <c r="I181" s="24" t="n">
        <f aca="false">H181*$I$20</f>
        <v>288.858116372532</v>
      </c>
      <c r="J181" s="24" t="n">
        <f aca="false">I181*IF($G$20="Sí",$C$9,0)</f>
        <v>51.9944609470557</v>
      </c>
      <c r="K181" s="36" t="n">
        <f aca="false">I181+J181</f>
        <v>340.852577319588</v>
      </c>
    </row>
    <row r="182" customFormat="false" ht="15" hidden="false" customHeight="false" outlineLevel="0" collapsed="false">
      <c r="B182" s="10" t="s">
        <v>118</v>
      </c>
      <c r="C182" s="40" t="n">
        <f aca="false">$G$102*$F$38</f>
        <v>48.9896907216495</v>
      </c>
      <c r="D182" s="40" t="n">
        <f aca="false">$G$121*$F$49</f>
        <v>20.7525773195876</v>
      </c>
      <c r="E182" s="40" t="n">
        <f aca="false">C182+D182</f>
        <v>69.7422680412371</v>
      </c>
      <c r="F182" s="40" t="n">
        <f aca="false">E183*$C$173</f>
        <v>14.5979381443299</v>
      </c>
      <c r="G182" s="40" t="n">
        <f aca="false">F181</f>
        <v>13.9484536082474</v>
      </c>
      <c r="H182" s="42" t="n">
        <f aca="false">E182+F182-G182</f>
        <v>70.3917525773196</v>
      </c>
      <c r="I182" s="24" t="n">
        <f aca="false">H182*$I$20</f>
        <v>256.512318713961</v>
      </c>
      <c r="J182" s="24" t="n">
        <f aca="false">I182*IF($G$20="Sí",$C$9,0)</f>
        <v>46.172217368513</v>
      </c>
      <c r="K182" s="36" t="n">
        <f aca="false">I182+J182</f>
        <v>302.684536082474</v>
      </c>
    </row>
    <row r="183" customFormat="false" ht="15" hidden="false" customHeight="false" outlineLevel="0" collapsed="false">
      <c r="B183" s="10" t="s">
        <v>119</v>
      </c>
      <c r="C183" s="40" t="n">
        <f aca="false">$G$103*$F$38</f>
        <v>51.2164948453608</v>
      </c>
      <c r="D183" s="40" t="n">
        <f aca="false">$G$122*$F$49</f>
        <v>21.7731958762887</v>
      </c>
      <c r="E183" s="40" t="n">
        <f aca="false">C183+D183</f>
        <v>72.9896907216495</v>
      </c>
      <c r="F183" s="40" t="n">
        <f aca="false">E184*$C$173</f>
        <v>13.9484536082474</v>
      </c>
      <c r="G183" s="40" t="n">
        <f aca="false">F182</f>
        <v>14.5979381443299</v>
      </c>
      <c r="H183" s="42" t="n">
        <f aca="false">E183+F183-G183</f>
        <v>72.340206185567</v>
      </c>
      <c r="I183" s="24" t="n">
        <f aca="false">H183*$I$20</f>
        <v>263.612615760965</v>
      </c>
      <c r="J183" s="24" t="n">
        <f aca="false">I183*IF($G$20="Sí",$C$9,0)</f>
        <v>47.4502708369736</v>
      </c>
      <c r="K183" s="36" t="n">
        <f aca="false">I183+J183</f>
        <v>311.062886597938</v>
      </c>
    </row>
    <row r="184" customFormat="false" ht="15" hidden="false" customHeight="false" outlineLevel="0" collapsed="false">
      <c r="B184" s="10" t="s">
        <v>120</v>
      </c>
      <c r="C184" s="40" t="n">
        <f aca="false">$G$104*$F$38</f>
        <v>48.9896907216495</v>
      </c>
      <c r="D184" s="40" t="n">
        <f aca="false">$G$123*$F$49</f>
        <v>20.7525773195876</v>
      </c>
      <c r="E184" s="40" t="n">
        <f aca="false">C184+D184</f>
        <v>69.7422680412371</v>
      </c>
      <c r="F184" s="40" t="n">
        <f aca="false">E185*$C$173</f>
        <v>15.4639175257732</v>
      </c>
      <c r="G184" s="40" t="n">
        <f aca="false">F183</f>
        <v>13.9484536082474</v>
      </c>
      <c r="H184" s="42" t="n">
        <f aca="false">E184+F184-G184</f>
        <v>71.2577319587629</v>
      </c>
      <c r="I184" s="24" t="n">
        <f aca="false">H184*$I$20</f>
        <v>259.668006290407</v>
      </c>
      <c r="J184" s="24" t="n">
        <f aca="false">I184*IF($G$20="Sí",$C$9,0)</f>
        <v>46.7402411322733</v>
      </c>
      <c r="K184" s="36" t="n">
        <f aca="false">I184+J184</f>
        <v>306.40824742268</v>
      </c>
    </row>
    <row r="185" customFormat="false" ht="15" hidden="false" customHeight="false" outlineLevel="0" collapsed="false">
      <c r="B185" s="10" t="s">
        <v>121</v>
      </c>
      <c r="C185" s="40" t="n">
        <f aca="false">$G$105*$F$38</f>
        <v>54.1855670103093</v>
      </c>
      <c r="D185" s="40" t="n">
        <f aca="false">$G$124*$F$49</f>
        <v>23.1340206185567</v>
      </c>
      <c r="E185" s="40" t="n">
        <f aca="false">C185+D185</f>
        <v>77.319587628866</v>
      </c>
      <c r="F185" s="40" t="n">
        <f aca="false">E186*$C$173</f>
        <v>20.0783505154639</v>
      </c>
      <c r="G185" s="40" t="n">
        <f aca="false">F184</f>
        <v>15.4639175257732</v>
      </c>
      <c r="H185" s="42" t="n">
        <f aca="false">E185+F185-G185</f>
        <v>81.9340206185567</v>
      </c>
      <c r="I185" s="24" t="n">
        <f aca="false">H185*$I$20</f>
        <v>298.573125982876</v>
      </c>
      <c r="J185" s="24" t="n">
        <f aca="false">I185*IF($G$20="Sí",$C$9,0)</f>
        <v>53.7431626769177</v>
      </c>
      <c r="K185" s="36" t="n">
        <f aca="false">I185+J185</f>
        <v>352.316288659794</v>
      </c>
    </row>
    <row r="186" customFormat="false" ht="15" hidden="false" customHeight="false" outlineLevel="0" collapsed="false">
      <c r="B186" s="10" t="s">
        <v>122</v>
      </c>
      <c r="C186" s="40" t="n">
        <f aca="false">$G$106*$F$38</f>
        <v>69.7731958762887</v>
      </c>
      <c r="D186" s="40" t="n">
        <f aca="false">$G$125*$F$49</f>
        <v>30.6185567010309</v>
      </c>
      <c r="E186" s="40" t="n">
        <f aca="false">C186+D186</f>
        <v>100.39175257732</v>
      </c>
      <c r="F186" s="40" t="n">
        <f aca="false">E187*$C$173</f>
        <v>24.9303092783505</v>
      </c>
      <c r="G186" s="40" t="n">
        <f aca="false">F185</f>
        <v>20.0783505154639</v>
      </c>
      <c r="H186" s="42" t="n">
        <f aca="false">E186+F186-G186</f>
        <v>105.243711340206</v>
      </c>
      <c r="I186" s="24" t="n">
        <f aca="false">H186*$I$20</f>
        <v>383.515219290582</v>
      </c>
      <c r="J186" s="24" t="n">
        <f aca="false">I186*IF($G$20="Sí",$C$9,0)</f>
        <v>69.0327394723047</v>
      </c>
      <c r="K186" s="36" t="n">
        <f aca="false">I186+J186</f>
        <v>452.547958762887</v>
      </c>
    </row>
    <row r="187" customFormat="false" ht="15" hidden="false" customHeight="false" outlineLevel="0" collapsed="false">
      <c r="B187" s="10" t="s">
        <v>123</v>
      </c>
      <c r="C187" s="40" t="n">
        <f aca="false">$G$107*$F$38</f>
        <v>85.7319587628866</v>
      </c>
      <c r="D187" s="40" t="n">
        <f aca="false">$G$126*$F$49</f>
        <v>38.919587628866</v>
      </c>
      <c r="E187" s="40" t="n">
        <f aca="false">C187+D187</f>
        <v>124.651546391753</v>
      </c>
      <c r="F187" s="40" t="n">
        <f aca="false">E189*$C$173</f>
        <v>13.6577319587629</v>
      </c>
      <c r="G187" s="40" t="n">
        <f aca="false">F186</f>
        <v>24.9303092783505</v>
      </c>
      <c r="H187" s="42" t="n">
        <f aca="false">E187+F187-G187</f>
        <v>113.378969072165</v>
      </c>
      <c r="I187" s="24" t="n">
        <f aca="false">H187*$I$20</f>
        <v>413.160650008737</v>
      </c>
      <c r="J187" s="24" t="n">
        <f aca="false">I187*IF($G$20="Sí",$C$9,0)</f>
        <v>74.3689170015726</v>
      </c>
      <c r="K187" s="36" t="n">
        <f aca="false">I187+J187</f>
        <v>487.529567010309</v>
      </c>
    </row>
    <row r="188" customFormat="false" ht="15" hidden="false" customHeight="false" outlineLevel="0" collapsed="false">
      <c r="B188" s="38" t="s">
        <v>124</v>
      </c>
      <c r="C188" s="31"/>
      <c r="D188" s="31"/>
      <c r="E188" s="43" t="n">
        <f aca="false">SUM(E176:E187)</f>
        <v>977.919587628866</v>
      </c>
      <c r="F188" s="31"/>
      <c r="G188" s="31"/>
      <c r="H188" s="43" t="n">
        <f aca="false">SUM(H176:H187)</f>
        <v>971.577319587629</v>
      </c>
      <c r="I188" s="44" t="n">
        <f aca="false">SUM(I176:I187)</f>
        <v>3540.49362222611</v>
      </c>
      <c r="J188" s="44" t="n">
        <f aca="false">SUM(J176:J187)</f>
        <v>637.288852000699</v>
      </c>
      <c r="K188" s="44" t="n">
        <f aca="false">SUM(K176:K187)</f>
        <v>4177.7824742268</v>
      </c>
    </row>
    <row r="189" customFormat="false" ht="15" hidden="false" customHeight="false" outlineLevel="0" collapsed="false">
      <c r="B189" s="10" t="s">
        <v>147</v>
      </c>
      <c r="C189" s="40" t="n">
        <f aca="false">$G$109*$F$38</f>
        <v>47.8762886597938</v>
      </c>
      <c r="D189" s="40" t="n">
        <f aca="false">$G$128*$F$49</f>
        <v>20.4123711340206</v>
      </c>
      <c r="E189" s="40" t="n">
        <f aca="false">C189+D189</f>
        <v>68.2886597938144</v>
      </c>
      <c r="F189" s="19" t="s">
        <v>126</v>
      </c>
      <c r="G189" s="19" t="s">
        <v>126</v>
      </c>
      <c r="H189" s="19" t="s">
        <v>126</v>
      </c>
      <c r="I189" s="19" t="s">
        <v>126</v>
      </c>
      <c r="J189" s="19" t="s">
        <v>126</v>
      </c>
      <c r="K189" s="19" t="s">
        <v>126</v>
      </c>
    </row>
    <row r="191" customFormat="false" ht="15" hidden="false" customHeight="false" outlineLevel="0" collapsed="false">
      <c r="B191" s="18" t="s">
        <v>320</v>
      </c>
    </row>
    <row r="192" customFormat="false" ht="25.5" hidden="false" customHeight="true" outlineLevel="0" collapsed="false">
      <c r="B192" s="20" t="s">
        <v>137</v>
      </c>
      <c r="C192" s="29" t="n">
        <v>0.2</v>
      </c>
    </row>
    <row r="193" customFormat="false" ht="15" hidden="false" customHeight="false" outlineLevel="0" collapsed="false">
      <c r="B193" s="10" t="s">
        <v>209</v>
      </c>
      <c r="C193" s="21" t="n">
        <v>3</v>
      </c>
    </row>
    <row r="194" customFormat="false" ht="39.75" hidden="false" customHeight="true" outlineLevel="0" collapsed="false">
      <c r="B194" s="5" t="s">
        <v>108</v>
      </c>
      <c r="C194" s="5" t="s">
        <v>139</v>
      </c>
      <c r="D194" s="5" t="s">
        <v>140</v>
      </c>
      <c r="E194" s="5" t="s">
        <v>141</v>
      </c>
      <c r="F194" s="5" t="s">
        <v>142</v>
      </c>
      <c r="G194" s="5" t="s">
        <v>143</v>
      </c>
      <c r="H194" s="5" t="s">
        <v>144</v>
      </c>
      <c r="I194" s="5" t="s">
        <v>49</v>
      </c>
      <c r="J194" s="5" t="s">
        <v>145</v>
      </c>
      <c r="K194" s="5" t="s">
        <v>146</v>
      </c>
    </row>
    <row r="195" customFormat="false" ht="15" hidden="false" customHeight="false" outlineLevel="0" collapsed="false">
      <c r="B195" s="10" t="s">
        <v>112</v>
      </c>
      <c r="C195" s="40" t="n">
        <f aca="false">$G$96*$F$39</f>
        <v>12.7368421052632</v>
      </c>
      <c r="D195" s="41" t="n">
        <v>0</v>
      </c>
      <c r="E195" s="40" t="n">
        <f aca="false">C195+D195</f>
        <v>12.7368421052632</v>
      </c>
      <c r="F195" s="40" t="n">
        <f aca="false">E196*$C$192</f>
        <v>3.49473684210526</v>
      </c>
      <c r="G195" s="40" t="n">
        <f aca="false">$C$193</f>
        <v>3</v>
      </c>
      <c r="H195" s="42" t="n">
        <f aca="false">E195+F195-G195</f>
        <v>13.2315789473684</v>
      </c>
      <c r="I195" s="24" t="n">
        <f aca="false">H195*$I$21</f>
        <v>235.477252453167</v>
      </c>
      <c r="J195" s="24" t="n">
        <f aca="false">I195*IF($G$21="Sí",$C$9,0)</f>
        <v>42.38590544157</v>
      </c>
      <c r="K195" s="36" t="n">
        <f aca="false">I195+J195</f>
        <v>277.863157894737</v>
      </c>
    </row>
    <row r="196" customFormat="false" ht="15" hidden="false" customHeight="false" outlineLevel="0" collapsed="false">
      <c r="B196" s="10" t="s">
        <v>113</v>
      </c>
      <c r="C196" s="40" t="n">
        <f aca="false">$G$97*$F$39</f>
        <v>17.4736842105263</v>
      </c>
      <c r="D196" s="41" t="n">
        <v>0</v>
      </c>
      <c r="E196" s="40" t="n">
        <f aca="false">C196+D196</f>
        <v>17.4736842105263</v>
      </c>
      <c r="F196" s="40" t="n">
        <f aca="false">E197*$C$192</f>
        <v>2.35789473684211</v>
      </c>
      <c r="G196" s="40" t="n">
        <f aca="false">F195</f>
        <v>3.49473684210526</v>
      </c>
      <c r="H196" s="42" t="n">
        <f aca="false">E196+F196-G196</f>
        <v>16.3368421052632</v>
      </c>
      <c r="I196" s="24" t="n">
        <f aca="false">H196*$I$21</f>
        <v>290.740410347904</v>
      </c>
      <c r="J196" s="24" t="n">
        <f aca="false">I196*IF($G$21="Sí",$C$9,0)</f>
        <v>52.3332738626227</v>
      </c>
      <c r="K196" s="36" t="n">
        <f aca="false">I196+J196</f>
        <v>343.073684210526</v>
      </c>
    </row>
    <row r="197" customFormat="false" ht="15" hidden="false" customHeight="false" outlineLevel="0" collapsed="false">
      <c r="B197" s="10" t="s">
        <v>114</v>
      </c>
      <c r="C197" s="40" t="n">
        <f aca="false">$G$98*$F$39</f>
        <v>11.7894736842105</v>
      </c>
      <c r="D197" s="41" t="n">
        <v>0</v>
      </c>
      <c r="E197" s="40" t="n">
        <f aca="false">C197+D197</f>
        <v>11.7894736842105</v>
      </c>
      <c r="F197" s="40" t="n">
        <f aca="false">E198*$C$192</f>
        <v>2.82105263157895</v>
      </c>
      <c r="G197" s="40" t="n">
        <f aca="false">F196</f>
        <v>2.35789473684211</v>
      </c>
      <c r="H197" s="42" t="n">
        <f aca="false">E197+F197-G197</f>
        <v>12.2526315789474</v>
      </c>
      <c r="I197" s="24" t="n">
        <f aca="false">H197*$I$21</f>
        <v>218.055307760928</v>
      </c>
      <c r="J197" s="24" t="n">
        <f aca="false">I197*IF($G$21="Sí",$C$9,0)</f>
        <v>39.249955396967</v>
      </c>
      <c r="K197" s="36" t="n">
        <f aca="false">I197+J197</f>
        <v>257.305263157895</v>
      </c>
    </row>
    <row r="198" customFormat="false" ht="15" hidden="false" customHeight="false" outlineLevel="0" collapsed="false">
      <c r="B198" s="10" t="s">
        <v>115</v>
      </c>
      <c r="C198" s="40" t="n">
        <f aca="false">$G$99*$F$39</f>
        <v>14.1052631578947</v>
      </c>
      <c r="D198" s="41" t="n">
        <v>0</v>
      </c>
      <c r="E198" s="40" t="n">
        <f aca="false">C198+D198</f>
        <v>14.1052631578947</v>
      </c>
      <c r="F198" s="40" t="n">
        <f aca="false">E199*$C$192</f>
        <v>3.87368421052632</v>
      </c>
      <c r="G198" s="40" t="n">
        <f aca="false">F197</f>
        <v>2.82105263157895</v>
      </c>
      <c r="H198" s="42" t="n">
        <f aca="false">E198+F198-G198</f>
        <v>15.1578947368421</v>
      </c>
      <c r="I198" s="24" t="n">
        <f aca="false">H198*$I$21</f>
        <v>269.759143621766</v>
      </c>
      <c r="J198" s="24" t="n">
        <f aca="false">I198*IF($G$21="Sí",$C$9,0)</f>
        <v>48.5566458519179</v>
      </c>
      <c r="K198" s="36" t="n">
        <f aca="false">I198+J198</f>
        <v>318.315789473684</v>
      </c>
    </row>
    <row r="199" customFormat="false" ht="15" hidden="false" customHeight="false" outlineLevel="0" collapsed="false">
      <c r="B199" s="10" t="s">
        <v>116</v>
      </c>
      <c r="C199" s="40" t="n">
        <f aca="false">$G$100*$F$39</f>
        <v>19.3684210526316</v>
      </c>
      <c r="D199" s="41" t="n">
        <v>0</v>
      </c>
      <c r="E199" s="40" t="n">
        <f aca="false">C199+D199</f>
        <v>19.3684210526316</v>
      </c>
      <c r="F199" s="40" t="n">
        <f aca="false">E200*$C$192</f>
        <v>3.2421052631579</v>
      </c>
      <c r="G199" s="40" t="n">
        <f aca="false">F198</f>
        <v>3.87368421052632</v>
      </c>
      <c r="H199" s="42" t="n">
        <f aca="false">E199+F199-G199</f>
        <v>18.7368421052632</v>
      </c>
      <c r="I199" s="24" t="n">
        <f aca="false">H199*$I$21</f>
        <v>333.452274754683</v>
      </c>
      <c r="J199" s="24" t="n">
        <f aca="false">I199*IF($G$21="Sí",$C$9,0)</f>
        <v>60.021409455843</v>
      </c>
      <c r="K199" s="36" t="n">
        <f aca="false">I199+J199</f>
        <v>393.473684210526</v>
      </c>
    </row>
    <row r="200" customFormat="false" ht="15" hidden="false" customHeight="false" outlineLevel="0" collapsed="false">
      <c r="B200" s="10" t="s">
        <v>117</v>
      </c>
      <c r="C200" s="40" t="n">
        <f aca="false">$G$101*$F$39</f>
        <v>16.2105263157895</v>
      </c>
      <c r="D200" s="41" t="n">
        <v>0</v>
      </c>
      <c r="E200" s="40" t="n">
        <f aca="false">C200+D200</f>
        <v>16.2105263157895</v>
      </c>
      <c r="F200" s="40" t="n">
        <f aca="false">E201*$C$192</f>
        <v>2.77894736842105</v>
      </c>
      <c r="G200" s="40" t="n">
        <f aca="false">F199</f>
        <v>3.2421052631579</v>
      </c>
      <c r="H200" s="42" t="n">
        <f aca="false">E200+F200-G200</f>
        <v>15.7473684210526</v>
      </c>
      <c r="I200" s="24" t="n">
        <f aca="false">H200*$I$21</f>
        <v>280.249776984835</v>
      </c>
      <c r="J200" s="24" t="n">
        <f aca="false">I200*IF($G$21="Sí",$C$9,0)</f>
        <v>50.4449598572703</v>
      </c>
      <c r="K200" s="36" t="n">
        <f aca="false">I200+J200</f>
        <v>330.694736842105</v>
      </c>
    </row>
    <row r="201" customFormat="false" ht="15" hidden="false" customHeight="false" outlineLevel="0" collapsed="false">
      <c r="B201" s="10" t="s">
        <v>118</v>
      </c>
      <c r="C201" s="40" t="n">
        <f aca="false">$G$102*$F$39</f>
        <v>13.8947368421053</v>
      </c>
      <c r="D201" s="41" t="n">
        <v>0</v>
      </c>
      <c r="E201" s="40" t="n">
        <f aca="false">C201+D201</f>
        <v>13.8947368421053</v>
      </c>
      <c r="F201" s="40" t="n">
        <f aca="false">E202*$C$192</f>
        <v>2.90526315789474</v>
      </c>
      <c r="G201" s="40" t="n">
        <f aca="false">F200</f>
        <v>2.77894736842105</v>
      </c>
      <c r="H201" s="42" t="n">
        <f aca="false">E201+F201-G201</f>
        <v>14.021052631579</v>
      </c>
      <c r="I201" s="24" t="n">
        <f aca="false">H201*$I$21</f>
        <v>249.527207850134</v>
      </c>
      <c r="J201" s="24" t="n">
        <f aca="false">I201*IF($G$21="Sí",$C$9,0)</f>
        <v>44.9148974130241</v>
      </c>
      <c r="K201" s="36" t="n">
        <f aca="false">I201+J201</f>
        <v>294.442105263158</v>
      </c>
    </row>
    <row r="202" customFormat="false" ht="15" hidden="false" customHeight="false" outlineLevel="0" collapsed="false">
      <c r="B202" s="10" t="s">
        <v>119</v>
      </c>
      <c r="C202" s="40" t="n">
        <f aca="false">$G$103*$F$39</f>
        <v>14.5263157894737</v>
      </c>
      <c r="D202" s="41" t="n">
        <v>0</v>
      </c>
      <c r="E202" s="40" t="n">
        <f aca="false">C202+D202</f>
        <v>14.5263157894737</v>
      </c>
      <c r="F202" s="40" t="n">
        <f aca="false">E203*$C$192</f>
        <v>2.77894736842105</v>
      </c>
      <c r="G202" s="40" t="n">
        <f aca="false">F201</f>
        <v>2.90526315789474</v>
      </c>
      <c r="H202" s="42" t="n">
        <f aca="false">E202+F202-G202</f>
        <v>14.4</v>
      </c>
      <c r="I202" s="24" t="n">
        <f aca="false">H202*$I$21</f>
        <v>256.271186440678</v>
      </c>
      <c r="J202" s="24" t="n">
        <f aca="false">I202*IF($G$21="Sí",$C$9,0)</f>
        <v>46.1288135593221</v>
      </c>
      <c r="K202" s="36" t="n">
        <f aca="false">I202+J202</f>
        <v>302.4</v>
      </c>
    </row>
    <row r="203" customFormat="false" ht="15" hidden="false" customHeight="false" outlineLevel="0" collapsed="false">
      <c r="B203" s="10" t="s">
        <v>120</v>
      </c>
      <c r="C203" s="40" t="n">
        <f aca="false">$G$104*$F$39</f>
        <v>13.8947368421053</v>
      </c>
      <c r="D203" s="41" t="n">
        <v>0</v>
      </c>
      <c r="E203" s="40" t="n">
        <f aca="false">C203+D203</f>
        <v>13.8947368421053</v>
      </c>
      <c r="F203" s="40" t="n">
        <f aca="false">E204*$C$192</f>
        <v>3.07368421052632</v>
      </c>
      <c r="G203" s="40" t="n">
        <f aca="false">F202</f>
        <v>2.77894736842105</v>
      </c>
      <c r="H203" s="42" t="n">
        <f aca="false">E203+F203-G203</f>
        <v>14.1894736842105</v>
      </c>
      <c r="I203" s="24" t="n">
        <f aca="false">H203*$I$21</f>
        <v>252.524531668154</v>
      </c>
      <c r="J203" s="24" t="n">
        <f aca="false">I203*IF($G$21="Sí",$C$9,0)</f>
        <v>45.4544157002676</v>
      </c>
      <c r="K203" s="36" t="n">
        <f aca="false">I203+J203</f>
        <v>297.978947368421</v>
      </c>
    </row>
    <row r="204" customFormat="false" ht="15" hidden="false" customHeight="false" outlineLevel="0" collapsed="false">
      <c r="B204" s="10" t="s">
        <v>121</v>
      </c>
      <c r="C204" s="40" t="n">
        <f aca="false">$G$105*$F$39</f>
        <v>15.3684210526316</v>
      </c>
      <c r="D204" s="41" t="n">
        <v>0</v>
      </c>
      <c r="E204" s="40" t="n">
        <f aca="false">C204+D204</f>
        <v>15.3684210526316</v>
      </c>
      <c r="F204" s="40" t="n">
        <f aca="false">E205*$C$192</f>
        <v>3.95789473684211</v>
      </c>
      <c r="G204" s="40" t="n">
        <f aca="false">F203</f>
        <v>3.07368421052632</v>
      </c>
      <c r="H204" s="42" t="n">
        <f aca="false">E204+F204-G204</f>
        <v>16.2526315789474</v>
      </c>
      <c r="I204" s="24" t="n">
        <f aca="false">H204*$I$21</f>
        <v>289.241748438894</v>
      </c>
      <c r="J204" s="24" t="n">
        <f aca="false">I204*IF($G$21="Sí",$C$9,0)</f>
        <v>52.0635147190009</v>
      </c>
      <c r="K204" s="36" t="n">
        <f aca="false">I204+J204</f>
        <v>341.305263157895</v>
      </c>
    </row>
    <row r="205" customFormat="false" ht="15" hidden="false" customHeight="false" outlineLevel="0" collapsed="false">
      <c r="B205" s="10" t="s">
        <v>122</v>
      </c>
      <c r="C205" s="40" t="n">
        <f aca="false">$G$106*$F$39</f>
        <v>19.7894736842105</v>
      </c>
      <c r="D205" s="41" t="n">
        <v>0</v>
      </c>
      <c r="E205" s="40" t="n">
        <f aca="false">C205+D205</f>
        <v>19.7894736842105</v>
      </c>
      <c r="F205" s="40" t="n">
        <f aca="false">E206*$C$192</f>
        <v>4.86315789473684</v>
      </c>
      <c r="G205" s="40" t="n">
        <f aca="false">F204</f>
        <v>3.95789473684211</v>
      </c>
      <c r="H205" s="42" t="n">
        <f aca="false">E205+F205-G205</f>
        <v>20.6947368421053</v>
      </c>
      <c r="I205" s="24" t="n">
        <f aca="false">H205*$I$21</f>
        <v>368.296164139162</v>
      </c>
      <c r="J205" s="24" t="n">
        <f aca="false">I205*IF($G$21="Sí",$C$9,0)</f>
        <v>66.2933095450491</v>
      </c>
      <c r="K205" s="36" t="n">
        <f aca="false">I205+J205</f>
        <v>434.589473684211</v>
      </c>
    </row>
    <row r="206" customFormat="false" ht="15" hidden="false" customHeight="false" outlineLevel="0" collapsed="false">
      <c r="B206" s="10" t="s">
        <v>123</v>
      </c>
      <c r="C206" s="40" t="n">
        <f aca="false">$G$107*$F$39</f>
        <v>24.3157894736842</v>
      </c>
      <c r="D206" s="41" t="n">
        <v>0</v>
      </c>
      <c r="E206" s="40" t="n">
        <f aca="false">C206+D206</f>
        <v>24.3157894736842</v>
      </c>
      <c r="F206" s="40" t="n">
        <f aca="false">E208*$C$192</f>
        <v>2.71578947368421</v>
      </c>
      <c r="G206" s="40" t="n">
        <f aca="false">F205</f>
        <v>4.86315789473684</v>
      </c>
      <c r="H206" s="42" t="n">
        <f aca="false">E206+F206-G206</f>
        <v>22.1684210526316</v>
      </c>
      <c r="I206" s="24" t="n">
        <f aca="false">H206*$I$21</f>
        <v>394.522747546833</v>
      </c>
      <c r="J206" s="24" t="n">
        <f aca="false">I206*IF($G$21="Sí",$C$9,0)</f>
        <v>71.01409455843</v>
      </c>
      <c r="K206" s="36" t="n">
        <f aca="false">I206+J206</f>
        <v>465.536842105263</v>
      </c>
    </row>
    <row r="207" customFormat="false" ht="15" hidden="false" customHeight="false" outlineLevel="0" collapsed="false">
      <c r="B207" s="38" t="s">
        <v>124</v>
      </c>
      <c r="C207" s="31"/>
      <c r="D207" s="31"/>
      <c r="E207" s="43" t="n">
        <f aca="false">SUM(E195:E206)</f>
        <v>193.473684210526</v>
      </c>
      <c r="F207" s="31"/>
      <c r="G207" s="31"/>
      <c r="H207" s="43" t="n">
        <f aca="false">SUM(H195:H206)</f>
        <v>193.189473684211</v>
      </c>
      <c r="I207" s="44" t="n">
        <f aca="false">SUM(I195:I206)</f>
        <v>3438.11775200714</v>
      </c>
      <c r="J207" s="44" t="n">
        <f aca="false">SUM(J195:J206)</f>
        <v>618.861195361285</v>
      </c>
      <c r="K207" s="44" t="n">
        <f aca="false">SUM(K195:K206)</f>
        <v>4056.97894736842</v>
      </c>
    </row>
    <row r="208" customFormat="false" ht="15" hidden="false" customHeight="false" outlineLevel="0" collapsed="false">
      <c r="B208" s="10" t="s">
        <v>147</v>
      </c>
      <c r="C208" s="40" t="n">
        <f aca="false">$G$109*$F$39</f>
        <v>13.5789473684211</v>
      </c>
      <c r="D208" s="41" t="n">
        <v>0</v>
      </c>
      <c r="E208" s="40" t="n">
        <f aca="false">C208+D208</f>
        <v>13.5789473684211</v>
      </c>
      <c r="F208" s="19" t="s">
        <v>126</v>
      </c>
      <c r="G208" s="19" t="s">
        <v>126</v>
      </c>
      <c r="H208" s="19" t="s">
        <v>126</v>
      </c>
      <c r="I208" s="19" t="s">
        <v>126</v>
      </c>
      <c r="J208" s="19" t="s">
        <v>126</v>
      </c>
      <c r="K208" s="19" t="s">
        <v>126</v>
      </c>
    </row>
    <row r="210" customFormat="false" ht="15" hidden="false" customHeight="false" outlineLevel="0" collapsed="false">
      <c r="B210" s="18" t="s">
        <v>321</v>
      </c>
    </row>
    <row r="211" customFormat="false" ht="25.5" hidden="false" customHeight="true" outlineLevel="0" collapsed="false">
      <c r="B211" s="20" t="s">
        <v>137</v>
      </c>
      <c r="C211" s="29" t="n">
        <v>0.2</v>
      </c>
    </row>
    <row r="212" customFormat="false" ht="15" hidden="false" customHeight="false" outlineLevel="0" collapsed="false">
      <c r="B212" s="10" t="s">
        <v>209</v>
      </c>
      <c r="C212" s="21" t="n">
        <v>1</v>
      </c>
    </row>
    <row r="213" customFormat="false" ht="39.75" hidden="false" customHeight="true" outlineLevel="0" collapsed="false">
      <c r="B213" s="5" t="s">
        <v>108</v>
      </c>
      <c r="C213" s="5" t="s">
        <v>139</v>
      </c>
      <c r="D213" s="5" t="s">
        <v>140</v>
      </c>
      <c r="E213" s="5" t="s">
        <v>141</v>
      </c>
      <c r="F213" s="5" t="s">
        <v>142</v>
      </c>
      <c r="G213" s="5" t="s">
        <v>143</v>
      </c>
      <c r="H213" s="5" t="s">
        <v>144</v>
      </c>
      <c r="I213" s="5" t="s">
        <v>49</v>
      </c>
      <c r="J213" s="5" t="s">
        <v>145</v>
      </c>
      <c r="K213" s="5" t="s">
        <v>146</v>
      </c>
    </row>
    <row r="214" customFormat="false" ht="15" hidden="false" customHeight="false" outlineLevel="0" collapsed="false">
      <c r="B214" s="10" t="s">
        <v>112</v>
      </c>
      <c r="C214" s="41" t="n">
        <v>0</v>
      </c>
      <c r="D214" s="40" t="n">
        <f aca="false">$G$115*$F$50</f>
        <v>5.4</v>
      </c>
      <c r="E214" s="40" t="n">
        <f aca="false">C214+D214</f>
        <v>5.4</v>
      </c>
      <c r="F214" s="40" t="n">
        <f aca="false">E215*$C$211</f>
        <v>1.55368421052632</v>
      </c>
      <c r="G214" s="40" t="n">
        <f aca="false">$C$212</f>
        <v>1</v>
      </c>
      <c r="H214" s="42" t="n">
        <f aca="false">E214+F214-G214</f>
        <v>5.95368421052632</v>
      </c>
      <c r="I214" s="24" t="n">
        <f aca="false">H214*$I$22</f>
        <v>262.365744870651</v>
      </c>
      <c r="J214" s="24" t="n">
        <f aca="false">I214*IF($G$22="Sí",$C$9,0)</f>
        <v>47.2258340767172</v>
      </c>
      <c r="K214" s="36" t="n">
        <f aca="false">I214+J214</f>
        <v>309.591578947368</v>
      </c>
    </row>
    <row r="215" customFormat="false" ht="15" hidden="false" customHeight="false" outlineLevel="0" collapsed="false">
      <c r="B215" s="10" t="s">
        <v>113</v>
      </c>
      <c r="C215" s="41" t="n">
        <v>0</v>
      </c>
      <c r="D215" s="40" t="n">
        <f aca="false">$G$116*$F$50</f>
        <v>7.76842105263158</v>
      </c>
      <c r="E215" s="40" t="n">
        <f aca="false">C215+D215</f>
        <v>7.76842105263158</v>
      </c>
      <c r="F215" s="40" t="n">
        <f aca="false">E216*$C$211</f>
        <v>0.966315789473684</v>
      </c>
      <c r="G215" s="40" t="n">
        <f aca="false">F214</f>
        <v>1.55368421052632</v>
      </c>
      <c r="H215" s="42" t="n">
        <f aca="false">E215+F215-G215</f>
        <v>7.18105263157895</v>
      </c>
      <c r="I215" s="24" t="n">
        <f aca="false">H215*$I$22</f>
        <v>316.453166815343</v>
      </c>
      <c r="J215" s="24" t="n">
        <f aca="false">I215*IF($G$22="Sí",$C$9,0)</f>
        <v>56.9615700267618</v>
      </c>
      <c r="K215" s="36" t="n">
        <f aca="false">I215+J215</f>
        <v>373.414736842105</v>
      </c>
    </row>
    <row r="216" customFormat="false" ht="15" hidden="false" customHeight="false" outlineLevel="0" collapsed="false">
      <c r="B216" s="10" t="s">
        <v>114</v>
      </c>
      <c r="C216" s="41" t="n">
        <v>0</v>
      </c>
      <c r="D216" s="40" t="n">
        <f aca="false">$G$117*$F$50</f>
        <v>4.83157894736842</v>
      </c>
      <c r="E216" s="40" t="n">
        <f aca="false">C216+D216</f>
        <v>4.83157894736842</v>
      </c>
      <c r="F216" s="40" t="n">
        <f aca="false">E217*$C$211</f>
        <v>1.17473684210526</v>
      </c>
      <c r="G216" s="40" t="n">
        <f aca="false">F215</f>
        <v>0.966315789473684</v>
      </c>
      <c r="H216" s="42" t="n">
        <f aca="false">E216+F216-G216</f>
        <v>5.04</v>
      </c>
      <c r="I216" s="24" t="n">
        <f aca="false">H216*$I$22</f>
        <v>222.101694915254</v>
      </c>
      <c r="J216" s="24" t="n">
        <f aca="false">I216*IF($G$22="Sí",$C$9,0)</f>
        <v>39.9783050847458</v>
      </c>
      <c r="K216" s="36" t="n">
        <f aca="false">I216+J216</f>
        <v>262.08</v>
      </c>
    </row>
    <row r="217" customFormat="false" ht="15" hidden="false" customHeight="false" outlineLevel="0" collapsed="false">
      <c r="B217" s="10" t="s">
        <v>115</v>
      </c>
      <c r="C217" s="41" t="n">
        <v>0</v>
      </c>
      <c r="D217" s="40" t="n">
        <f aca="false">$G$118*$F$50</f>
        <v>5.87368421052632</v>
      </c>
      <c r="E217" s="40" t="n">
        <f aca="false">C217+D217</f>
        <v>5.87368421052632</v>
      </c>
      <c r="F217" s="40" t="n">
        <f aca="false">E218*$C$211</f>
        <v>1.64842105263158</v>
      </c>
      <c r="G217" s="40" t="n">
        <f aca="false">F216</f>
        <v>1.17473684210526</v>
      </c>
      <c r="H217" s="42" t="n">
        <f aca="false">E217+F217-G217</f>
        <v>6.34736842105263</v>
      </c>
      <c r="I217" s="24" t="n">
        <f aca="false">H217*$I$22</f>
        <v>279.71454058876</v>
      </c>
      <c r="J217" s="24" t="n">
        <f aca="false">I217*IF($G$22="Sí",$C$9,0)</f>
        <v>50.3486173059768</v>
      </c>
      <c r="K217" s="36" t="n">
        <f aca="false">I217+J217</f>
        <v>330.063157894737</v>
      </c>
    </row>
    <row r="218" customFormat="false" ht="15" hidden="false" customHeight="false" outlineLevel="0" collapsed="false">
      <c r="B218" s="10" t="s">
        <v>116</v>
      </c>
      <c r="C218" s="41" t="n">
        <v>0</v>
      </c>
      <c r="D218" s="40" t="n">
        <f aca="false">$G$119*$F$50</f>
        <v>8.24210526315789</v>
      </c>
      <c r="E218" s="40" t="n">
        <f aca="false">C218+D218</f>
        <v>8.24210526315789</v>
      </c>
      <c r="F218" s="40" t="n">
        <f aca="false">E219*$C$211</f>
        <v>1.36421052631579</v>
      </c>
      <c r="G218" s="40" t="n">
        <f aca="false">F217</f>
        <v>1.64842105263158</v>
      </c>
      <c r="H218" s="42" t="n">
        <f aca="false">E218+F218-G218</f>
        <v>7.9578947368421</v>
      </c>
      <c r="I218" s="24" t="n">
        <f aca="false">H218*$I$22</f>
        <v>350.686886708296</v>
      </c>
      <c r="J218" s="24" t="n">
        <f aca="false">I218*IF($G$22="Sí",$C$9,0)</f>
        <v>63.1236396074933</v>
      </c>
      <c r="K218" s="36" t="n">
        <f aca="false">I218+J218</f>
        <v>413.810526315789</v>
      </c>
    </row>
    <row r="219" customFormat="false" ht="15" hidden="false" customHeight="false" outlineLevel="0" collapsed="false">
      <c r="B219" s="10" t="s">
        <v>117</v>
      </c>
      <c r="C219" s="41" t="n">
        <v>0</v>
      </c>
      <c r="D219" s="40" t="n">
        <f aca="false">$G$120*$F$50</f>
        <v>6.82105263157895</v>
      </c>
      <c r="E219" s="40" t="n">
        <f aca="false">C219+D219</f>
        <v>6.82105263157895</v>
      </c>
      <c r="F219" s="40" t="n">
        <f aca="false">E220*$C$211</f>
        <v>1.15578947368421</v>
      </c>
      <c r="G219" s="40" t="n">
        <f aca="false">F218</f>
        <v>1.36421052631579</v>
      </c>
      <c r="H219" s="42" t="n">
        <f aca="false">E219+F219-G219</f>
        <v>6.61263157894737</v>
      </c>
      <c r="I219" s="24" t="n">
        <f aca="false">H219*$I$22</f>
        <v>291.404103479037</v>
      </c>
      <c r="J219" s="24" t="n">
        <f aca="false">I219*IF($G$22="Sí",$C$9,0)</f>
        <v>52.4527386262266</v>
      </c>
      <c r="K219" s="36" t="n">
        <f aca="false">I219+J219</f>
        <v>343.856842105263</v>
      </c>
    </row>
    <row r="220" customFormat="false" ht="15" hidden="false" customHeight="false" outlineLevel="0" collapsed="false">
      <c r="B220" s="10" t="s">
        <v>118</v>
      </c>
      <c r="C220" s="41" t="n">
        <v>0</v>
      </c>
      <c r="D220" s="40" t="n">
        <f aca="false">$G$121*$F$50</f>
        <v>5.77894736842105</v>
      </c>
      <c r="E220" s="40" t="n">
        <f aca="false">C220+D220</f>
        <v>5.77894736842105</v>
      </c>
      <c r="F220" s="40" t="n">
        <f aca="false">E221*$C$211</f>
        <v>1.21263157894737</v>
      </c>
      <c r="G220" s="40" t="n">
        <f aca="false">F219</f>
        <v>1.15578947368421</v>
      </c>
      <c r="H220" s="42" t="n">
        <f aca="false">E220+F220-G220</f>
        <v>5.83578947368421</v>
      </c>
      <c r="I220" s="24" t="n">
        <f aca="false">H220*$I$22</f>
        <v>257.170383586084</v>
      </c>
      <c r="J220" s="24" t="n">
        <f aca="false">I220*IF($G$22="Sí",$C$9,0)</f>
        <v>46.2906690454951</v>
      </c>
      <c r="K220" s="36" t="n">
        <f aca="false">I220+J220</f>
        <v>303.461052631579</v>
      </c>
    </row>
    <row r="221" customFormat="false" ht="15" hidden="false" customHeight="false" outlineLevel="0" collapsed="false">
      <c r="B221" s="10" t="s">
        <v>119</v>
      </c>
      <c r="C221" s="41" t="n">
        <v>0</v>
      </c>
      <c r="D221" s="40" t="n">
        <f aca="false">$G$122*$F$50</f>
        <v>6.06315789473684</v>
      </c>
      <c r="E221" s="40" t="n">
        <f aca="false">C221+D221</f>
        <v>6.06315789473684</v>
      </c>
      <c r="F221" s="40" t="n">
        <f aca="false">E222*$C$211</f>
        <v>1.15578947368421</v>
      </c>
      <c r="G221" s="40" t="n">
        <f aca="false">F220</f>
        <v>1.21263157894737</v>
      </c>
      <c r="H221" s="42" t="n">
        <f aca="false">E221+F221-G221</f>
        <v>6.00631578947368</v>
      </c>
      <c r="I221" s="24" t="n">
        <f aca="false">H221*$I$22</f>
        <v>264.685102586976</v>
      </c>
      <c r="J221" s="24" t="n">
        <f aca="false">I221*IF($G$22="Sí",$C$9,0)</f>
        <v>47.6433184656557</v>
      </c>
      <c r="K221" s="36" t="n">
        <f aca="false">I221+J221</f>
        <v>312.328421052632</v>
      </c>
    </row>
    <row r="222" customFormat="false" ht="15" hidden="false" customHeight="false" outlineLevel="0" collapsed="false">
      <c r="B222" s="10" t="s">
        <v>120</v>
      </c>
      <c r="C222" s="41" t="n">
        <v>0</v>
      </c>
      <c r="D222" s="40" t="n">
        <f aca="false">$G$123*$F$50</f>
        <v>5.77894736842105</v>
      </c>
      <c r="E222" s="40" t="n">
        <f aca="false">C222+D222</f>
        <v>5.77894736842105</v>
      </c>
      <c r="F222" s="40" t="n">
        <f aca="false">E223*$C$211</f>
        <v>1.28842105263158</v>
      </c>
      <c r="G222" s="40" t="n">
        <f aca="false">F221</f>
        <v>1.15578947368421</v>
      </c>
      <c r="H222" s="42" t="n">
        <f aca="false">E222+F222-G222</f>
        <v>5.91157894736842</v>
      </c>
      <c r="I222" s="24" t="n">
        <f aca="false">H222*$I$22</f>
        <v>260.510258697591</v>
      </c>
      <c r="J222" s="24" t="n">
        <f aca="false">I222*IF($G$22="Sí",$C$9,0)</f>
        <v>46.8918465655665</v>
      </c>
      <c r="K222" s="36" t="n">
        <f aca="false">I222+J222</f>
        <v>307.402105263158</v>
      </c>
    </row>
    <row r="223" customFormat="false" ht="15" hidden="false" customHeight="false" outlineLevel="0" collapsed="false">
      <c r="B223" s="10" t="s">
        <v>121</v>
      </c>
      <c r="C223" s="41" t="n">
        <v>0</v>
      </c>
      <c r="D223" s="40" t="n">
        <f aca="false">$G$124*$F$50</f>
        <v>6.44210526315789</v>
      </c>
      <c r="E223" s="40" t="n">
        <f aca="false">C223+D223</f>
        <v>6.44210526315789</v>
      </c>
      <c r="F223" s="40" t="n">
        <f aca="false">E224*$C$211</f>
        <v>1.70526315789474</v>
      </c>
      <c r="G223" s="40" t="n">
        <f aca="false">F222</f>
        <v>1.28842105263158</v>
      </c>
      <c r="H223" s="42" t="n">
        <f aca="false">E223+F223-G223</f>
        <v>6.85894736842105</v>
      </c>
      <c r="I223" s="24" t="n">
        <f aca="false">H223*$I$22</f>
        <v>302.258697591436</v>
      </c>
      <c r="J223" s="24" t="n">
        <f aca="false">I223*IF($G$22="Sí",$C$9,0)</f>
        <v>54.4065655664585</v>
      </c>
      <c r="K223" s="36" t="n">
        <f aca="false">I223+J223</f>
        <v>356.665263157895</v>
      </c>
    </row>
    <row r="224" customFormat="false" ht="15" hidden="false" customHeight="false" outlineLevel="0" collapsed="false">
      <c r="B224" s="10" t="s">
        <v>122</v>
      </c>
      <c r="C224" s="41" t="n">
        <v>0</v>
      </c>
      <c r="D224" s="40" t="n">
        <f aca="false">$G$125*$F$50</f>
        <v>8.52631578947368</v>
      </c>
      <c r="E224" s="40" t="n">
        <f aca="false">C224+D224</f>
        <v>8.52631578947368</v>
      </c>
      <c r="F224" s="40" t="n">
        <f aca="false">E225*$C$211</f>
        <v>2.16757894736842</v>
      </c>
      <c r="G224" s="40" t="n">
        <f aca="false">F223</f>
        <v>1.70526315789474</v>
      </c>
      <c r="H224" s="42" t="n">
        <f aca="false">E224+F224-G224</f>
        <v>8.98863157894737</v>
      </c>
      <c r="I224" s="24" t="n">
        <f aca="false">H224*$I$22</f>
        <v>396.109188224799</v>
      </c>
      <c r="J224" s="24" t="n">
        <f aca="false">I224*IF($G$22="Sí",$C$9,0)</f>
        <v>71.2996538804639</v>
      </c>
      <c r="K224" s="36" t="n">
        <f aca="false">I224+J224</f>
        <v>467.408842105263</v>
      </c>
    </row>
    <row r="225" customFormat="false" ht="15" hidden="false" customHeight="false" outlineLevel="0" collapsed="false">
      <c r="B225" s="10" t="s">
        <v>123</v>
      </c>
      <c r="C225" s="41" t="n">
        <v>0</v>
      </c>
      <c r="D225" s="40" t="n">
        <f aca="false">$G$126*$F$50</f>
        <v>10.8378947368421</v>
      </c>
      <c r="E225" s="40" t="n">
        <f aca="false">C225+D225</f>
        <v>10.8378947368421</v>
      </c>
      <c r="F225" s="40" t="n">
        <f aca="false">E227*$C$211</f>
        <v>1.13684210526316</v>
      </c>
      <c r="G225" s="40" t="n">
        <f aca="false">F224</f>
        <v>2.16757894736842</v>
      </c>
      <c r="H225" s="42" t="n">
        <f aca="false">E225+F225-G225</f>
        <v>9.80715789473684</v>
      </c>
      <c r="I225" s="24" t="n">
        <f aca="false">H225*$I$22</f>
        <v>432.179839429081</v>
      </c>
      <c r="J225" s="24" t="n">
        <f aca="false">I225*IF($G$22="Sí",$C$9,0)</f>
        <v>77.7923710972346</v>
      </c>
      <c r="K225" s="36" t="n">
        <f aca="false">I225+J225</f>
        <v>509.972210526316</v>
      </c>
    </row>
    <row r="226" customFormat="false" ht="15" hidden="false" customHeight="false" outlineLevel="0" collapsed="false">
      <c r="B226" s="38" t="s">
        <v>124</v>
      </c>
      <c r="C226" s="31"/>
      <c r="D226" s="31"/>
      <c r="E226" s="43" t="n">
        <f aca="false">SUM(E214:E225)</f>
        <v>82.3642105263158</v>
      </c>
      <c r="F226" s="31"/>
      <c r="G226" s="31"/>
      <c r="H226" s="43" t="n">
        <f aca="false">SUM(H214:H225)</f>
        <v>82.5010526315789</v>
      </c>
      <c r="I226" s="44" t="n">
        <f aca="false">SUM(I214:I225)</f>
        <v>3635.63960749331</v>
      </c>
      <c r="J226" s="44" t="n">
        <f aca="false">SUM(J214:J225)</f>
        <v>654.415129348796</v>
      </c>
      <c r="K226" s="44" t="n">
        <f aca="false">SUM(K214:K225)</f>
        <v>4290.05473684211</v>
      </c>
    </row>
    <row r="227" customFormat="false" ht="15" hidden="false" customHeight="false" outlineLevel="0" collapsed="false">
      <c r="B227" s="10" t="s">
        <v>147</v>
      </c>
      <c r="C227" s="41" t="n">
        <v>0</v>
      </c>
      <c r="D227" s="40" t="n">
        <f aca="false">$G$128*$F$50</f>
        <v>5.68421052631579</v>
      </c>
      <c r="E227" s="40" t="n">
        <f aca="false">C227+D227</f>
        <v>5.68421052631579</v>
      </c>
      <c r="F227" s="19" t="s">
        <v>126</v>
      </c>
      <c r="G227" s="19" t="s">
        <v>126</v>
      </c>
      <c r="H227" s="19" t="s">
        <v>126</v>
      </c>
      <c r="I227" s="19" t="s">
        <v>126</v>
      </c>
      <c r="J227" s="19" t="s">
        <v>126</v>
      </c>
      <c r="K227" s="19" t="s">
        <v>126</v>
      </c>
    </row>
    <row r="229" customFormat="false" ht="15" hidden="false" customHeight="false" outlineLevel="0" collapsed="false">
      <c r="B229" s="18" t="s">
        <v>322</v>
      </c>
    </row>
    <row r="230" customFormat="false" ht="25.5" hidden="false" customHeight="true" outlineLevel="0" collapsed="false">
      <c r="B230" s="20" t="s">
        <v>137</v>
      </c>
      <c r="C230" s="29" t="n">
        <v>0.2</v>
      </c>
    </row>
    <row r="231" customFormat="false" ht="15" hidden="false" customHeight="false" outlineLevel="0" collapsed="false">
      <c r="B231" s="10" t="s">
        <v>209</v>
      </c>
      <c r="C231" s="21" t="n">
        <v>1</v>
      </c>
    </row>
    <row r="232" customFormat="false" ht="39.75" hidden="false" customHeight="true" outlineLevel="0" collapsed="false">
      <c r="B232" s="5" t="s">
        <v>108</v>
      </c>
      <c r="C232" s="5" t="s">
        <v>139</v>
      </c>
      <c r="D232" s="5" t="s">
        <v>140</v>
      </c>
      <c r="E232" s="5" t="s">
        <v>141</v>
      </c>
      <c r="F232" s="5" t="s">
        <v>142</v>
      </c>
      <c r="G232" s="5" t="s">
        <v>143</v>
      </c>
      <c r="H232" s="5" t="s">
        <v>144</v>
      </c>
      <c r="I232" s="5" t="s">
        <v>49</v>
      </c>
      <c r="J232" s="5" t="s">
        <v>145</v>
      </c>
      <c r="K232" s="5" t="s">
        <v>146</v>
      </c>
    </row>
    <row r="233" customFormat="false" ht="15" hidden="false" customHeight="false" outlineLevel="0" collapsed="false">
      <c r="B233" s="10" t="s">
        <v>112</v>
      </c>
      <c r="C233" s="41" t="n">
        <v>0</v>
      </c>
      <c r="D233" s="40" t="n">
        <f aca="false">$G$115*$F$51</f>
        <v>4.8</v>
      </c>
      <c r="E233" s="40" t="n">
        <f aca="false">C233+D233</f>
        <v>4.8</v>
      </c>
      <c r="F233" s="40" t="n">
        <f aca="false">E234*$C$230</f>
        <v>1.38105263157895</v>
      </c>
      <c r="G233" s="40" t="n">
        <f aca="false">$C$231</f>
        <v>1</v>
      </c>
      <c r="H233" s="42" t="n">
        <f aca="false">E233+F233-G233</f>
        <v>5.18105263157895</v>
      </c>
      <c r="I233" s="24" t="n">
        <f aca="false">H233*$I$23</f>
        <v>272.224799286352</v>
      </c>
      <c r="J233" s="24" t="n">
        <f aca="false">I233*IF($G$23="Sí",$C$9,0)</f>
        <v>49.0004638715433</v>
      </c>
      <c r="K233" s="36" t="n">
        <f aca="false">I233+J233</f>
        <v>321.225263157895</v>
      </c>
    </row>
    <row r="234" customFormat="false" ht="15" hidden="false" customHeight="false" outlineLevel="0" collapsed="false">
      <c r="B234" s="10" t="s">
        <v>113</v>
      </c>
      <c r="C234" s="41" t="n">
        <v>0</v>
      </c>
      <c r="D234" s="40" t="n">
        <f aca="false">$G$116*$F$51</f>
        <v>6.90526315789474</v>
      </c>
      <c r="E234" s="40" t="n">
        <f aca="false">C234+D234</f>
        <v>6.90526315789474</v>
      </c>
      <c r="F234" s="40" t="n">
        <f aca="false">E235*$C$230</f>
        <v>0.858947368421053</v>
      </c>
      <c r="G234" s="40" t="n">
        <f aca="false">F233</f>
        <v>1.38105263157895</v>
      </c>
      <c r="H234" s="42" t="n">
        <f aca="false">E234+F234-G234</f>
        <v>6.38315789473684</v>
      </c>
      <c r="I234" s="24" t="n">
        <f aca="false">H234*$I$23</f>
        <v>335.386262265834</v>
      </c>
      <c r="J234" s="24" t="n">
        <f aca="false">I234*IF($G$23="Sí",$C$9,0)</f>
        <v>60.3695272078501</v>
      </c>
      <c r="K234" s="36" t="n">
        <f aca="false">I234+J234</f>
        <v>395.755789473684</v>
      </c>
    </row>
    <row r="235" customFormat="false" ht="15" hidden="false" customHeight="false" outlineLevel="0" collapsed="false">
      <c r="B235" s="10" t="s">
        <v>114</v>
      </c>
      <c r="C235" s="41" t="n">
        <v>0</v>
      </c>
      <c r="D235" s="40" t="n">
        <f aca="false">$G$117*$F$51</f>
        <v>4.29473684210526</v>
      </c>
      <c r="E235" s="40" t="n">
        <f aca="false">C235+D235</f>
        <v>4.29473684210526</v>
      </c>
      <c r="F235" s="40" t="n">
        <f aca="false">E236*$C$230</f>
        <v>1.04421052631579</v>
      </c>
      <c r="G235" s="40" t="n">
        <f aca="false">F234</f>
        <v>0.858947368421053</v>
      </c>
      <c r="H235" s="42" t="n">
        <f aca="false">E235+F235-G235</f>
        <v>4.48</v>
      </c>
      <c r="I235" s="24" t="n">
        <f aca="false">H235*$I$23</f>
        <v>235.389830508475</v>
      </c>
      <c r="J235" s="24" t="n">
        <f aca="false">I235*IF($G$23="Sí",$C$9,0)</f>
        <v>42.3701694915254</v>
      </c>
      <c r="K235" s="36" t="n">
        <f aca="false">I235+J235</f>
        <v>277.76</v>
      </c>
    </row>
    <row r="236" customFormat="false" ht="15" hidden="false" customHeight="false" outlineLevel="0" collapsed="false">
      <c r="B236" s="10" t="s">
        <v>115</v>
      </c>
      <c r="C236" s="41" t="n">
        <v>0</v>
      </c>
      <c r="D236" s="40" t="n">
        <f aca="false">$G$118*$F$51</f>
        <v>5.22105263157895</v>
      </c>
      <c r="E236" s="40" t="n">
        <f aca="false">C236+D236</f>
        <v>5.22105263157895</v>
      </c>
      <c r="F236" s="40" t="n">
        <f aca="false">E237*$C$230</f>
        <v>1.46526315789474</v>
      </c>
      <c r="G236" s="40" t="n">
        <f aca="false">F235</f>
        <v>1.04421052631579</v>
      </c>
      <c r="H236" s="42" t="n">
        <f aca="false">E236+F236-G236</f>
        <v>5.64210526315789</v>
      </c>
      <c r="I236" s="24" t="n">
        <f aca="false">H236*$I$23</f>
        <v>296.449598572703</v>
      </c>
      <c r="J236" s="24" t="n">
        <f aca="false">I236*IF($G$23="Sí",$C$9,0)</f>
        <v>53.3609277430865</v>
      </c>
      <c r="K236" s="36" t="n">
        <f aca="false">I236+J236</f>
        <v>349.810526315789</v>
      </c>
    </row>
    <row r="237" customFormat="false" ht="15" hidden="false" customHeight="false" outlineLevel="0" collapsed="false">
      <c r="B237" s="10" t="s">
        <v>116</v>
      </c>
      <c r="C237" s="41" t="n">
        <v>0</v>
      </c>
      <c r="D237" s="40" t="n">
        <f aca="false">$G$119*$F$51</f>
        <v>7.32631578947368</v>
      </c>
      <c r="E237" s="40" t="n">
        <f aca="false">C237+D237</f>
        <v>7.32631578947368</v>
      </c>
      <c r="F237" s="40" t="n">
        <f aca="false">E238*$C$230</f>
        <v>1.21263157894737</v>
      </c>
      <c r="G237" s="40" t="n">
        <f aca="false">F236</f>
        <v>1.46526315789474</v>
      </c>
      <c r="H237" s="42" t="n">
        <f aca="false">E237+F237-G237</f>
        <v>7.07368421052632</v>
      </c>
      <c r="I237" s="24" t="n">
        <f aca="false">H237*$I$23</f>
        <v>371.668153434434</v>
      </c>
      <c r="J237" s="24" t="n">
        <f aca="false">I237*IF($G$23="Sí",$C$9,0)</f>
        <v>66.900267618198</v>
      </c>
      <c r="K237" s="36" t="n">
        <f aca="false">I237+J237</f>
        <v>438.568421052632</v>
      </c>
    </row>
    <row r="238" customFormat="false" ht="15" hidden="false" customHeight="false" outlineLevel="0" collapsed="false">
      <c r="B238" s="10" t="s">
        <v>117</v>
      </c>
      <c r="C238" s="41" t="n">
        <v>0</v>
      </c>
      <c r="D238" s="40" t="n">
        <f aca="false">$G$120*$F$51</f>
        <v>6.06315789473684</v>
      </c>
      <c r="E238" s="40" t="n">
        <f aca="false">C238+D238</f>
        <v>6.06315789473684</v>
      </c>
      <c r="F238" s="40" t="n">
        <f aca="false">E239*$C$230</f>
        <v>1.02736842105263</v>
      </c>
      <c r="G238" s="40" t="n">
        <f aca="false">F237</f>
        <v>1.21263157894737</v>
      </c>
      <c r="H238" s="42" t="n">
        <f aca="false">E238+F238-G238</f>
        <v>5.87789473684211</v>
      </c>
      <c r="I238" s="24" t="n">
        <f aca="false">H238*$I$23</f>
        <v>308.838537020518</v>
      </c>
      <c r="J238" s="24" t="n">
        <f aca="false">I238*IF($G$23="Sí",$C$9,0)</f>
        <v>55.5909366636932</v>
      </c>
      <c r="K238" s="36" t="n">
        <f aca="false">I238+J238</f>
        <v>364.429473684211</v>
      </c>
    </row>
    <row r="239" customFormat="false" ht="15" hidden="false" customHeight="false" outlineLevel="0" collapsed="false">
      <c r="B239" s="10" t="s">
        <v>118</v>
      </c>
      <c r="C239" s="41" t="n">
        <v>0</v>
      </c>
      <c r="D239" s="40" t="n">
        <f aca="false">$G$121*$F$51</f>
        <v>5.13684210526316</v>
      </c>
      <c r="E239" s="40" t="n">
        <f aca="false">C239+D239</f>
        <v>5.13684210526316</v>
      </c>
      <c r="F239" s="40" t="n">
        <f aca="false">E240*$C$230</f>
        <v>1.07789473684211</v>
      </c>
      <c r="G239" s="40" t="n">
        <f aca="false">F238</f>
        <v>1.02736842105263</v>
      </c>
      <c r="H239" s="42" t="n">
        <f aca="false">E239+F239-G239</f>
        <v>5.18736842105263</v>
      </c>
      <c r="I239" s="24" t="n">
        <f aca="false">H239*$I$23</f>
        <v>272.556645851918</v>
      </c>
      <c r="J239" s="24" t="n">
        <f aca="false">I239*IF($G$23="Sí",$C$9,0)</f>
        <v>49.0601962533452</v>
      </c>
      <c r="K239" s="36" t="n">
        <f aca="false">I239+J239</f>
        <v>321.616842105263</v>
      </c>
    </row>
    <row r="240" customFormat="false" ht="15" hidden="false" customHeight="false" outlineLevel="0" collapsed="false">
      <c r="B240" s="10" t="s">
        <v>119</v>
      </c>
      <c r="C240" s="41" t="n">
        <v>0</v>
      </c>
      <c r="D240" s="40" t="n">
        <f aca="false">$G$122*$F$51</f>
        <v>5.38947368421053</v>
      </c>
      <c r="E240" s="40" t="n">
        <f aca="false">C240+D240</f>
        <v>5.38947368421053</v>
      </c>
      <c r="F240" s="40" t="n">
        <f aca="false">E241*$C$230</f>
        <v>1.02736842105263</v>
      </c>
      <c r="G240" s="40" t="n">
        <f aca="false">F239</f>
        <v>1.07789473684211</v>
      </c>
      <c r="H240" s="42" t="n">
        <f aca="false">E240+F240-G240</f>
        <v>5.33894736842105</v>
      </c>
      <c r="I240" s="24" t="n">
        <f aca="false">H240*$I$23</f>
        <v>280.520963425513</v>
      </c>
      <c r="J240" s="24" t="n">
        <f aca="false">I240*IF($G$23="Sí",$C$9,0)</f>
        <v>50.4937734165923</v>
      </c>
      <c r="K240" s="36" t="n">
        <f aca="false">I240+J240</f>
        <v>331.014736842105</v>
      </c>
    </row>
    <row r="241" customFormat="false" ht="15" hidden="false" customHeight="false" outlineLevel="0" collapsed="false">
      <c r="B241" s="10" t="s">
        <v>120</v>
      </c>
      <c r="C241" s="41" t="n">
        <v>0</v>
      </c>
      <c r="D241" s="40" t="n">
        <f aca="false">$G$123*$F$51</f>
        <v>5.13684210526316</v>
      </c>
      <c r="E241" s="40" t="n">
        <f aca="false">C241+D241</f>
        <v>5.13684210526316</v>
      </c>
      <c r="F241" s="40" t="n">
        <f aca="false">E242*$C$230</f>
        <v>1.14526315789474</v>
      </c>
      <c r="G241" s="40" t="n">
        <f aca="false">F240</f>
        <v>1.02736842105263</v>
      </c>
      <c r="H241" s="42" t="n">
        <f aca="false">E241+F241-G241</f>
        <v>5.25473684210526</v>
      </c>
      <c r="I241" s="24" t="n">
        <f aca="false">H241*$I$23</f>
        <v>276.096342551294</v>
      </c>
      <c r="J241" s="24" t="n">
        <f aca="false">I241*IF($G$23="Sí",$C$9,0)</f>
        <v>49.6973416592328</v>
      </c>
      <c r="K241" s="36" t="n">
        <f aca="false">I241+J241</f>
        <v>325.793684210526</v>
      </c>
    </row>
    <row r="242" customFormat="false" ht="15" hidden="false" customHeight="false" outlineLevel="0" collapsed="false">
      <c r="B242" s="10" t="s">
        <v>121</v>
      </c>
      <c r="C242" s="41" t="n">
        <v>0</v>
      </c>
      <c r="D242" s="40" t="n">
        <f aca="false">$G$124*$F$51</f>
        <v>5.72631578947368</v>
      </c>
      <c r="E242" s="40" t="n">
        <f aca="false">C242+D242</f>
        <v>5.72631578947368</v>
      </c>
      <c r="F242" s="40" t="n">
        <f aca="false">E243*$C$230</f>
        <v>1.51578947368421</v>
      </c>
      <c r="G242" s="40" t="n">
        <f aca="false">F241</f>
        <v>1.14526315789474</v>
      </c>
      <c r="H242" s="42" t="n">
        <f aca="false">E242+F242-G242</f>
        <v>6.09684210526316</v>
      </c>
      <c r="I242" s="24" t="n">
        <f aca="false">H242*$I$23</f>
        <v>320.342551293488</v>
      </c>
      <c r="J242" s="24" t="n">
        <f aca="false">I242*IF($G$23="Sí",$C$9,0)</f>
        <v>57.6616592328278</v>
      </c>
      <c r="K242" s="36" t="n">
        <f aca="false">I242+J242</f>
        <v>378.004210526316</v>
      </c>
    </row>
    <row r="243" customFormat="false" ht="15" hidden="false" customHeight="false" outlineLevel="0" collapsed="false">
      <c r="B243" s="10" t="s">
        <v>122</v>
      </c>
      <c r="C243" s="41" t="n">
        <v>0</v>
      </c>
      <c r="D243" s="40" t="n">
        <f aca="false">$G$125*$F$51</f>
        <v>7.57894736842105</v>
      </c>
      <c r="E243" s="40" t="n">
        <f aca="false">C243+D243</f>
        <v>7.57894736842105</v>
      </c>
      <c r="F243" s="40" t="n">
        <f aca="false">E244*$C$230</f>
        <v>1.92673684210526</v>
      </c>
      <c r="G243" s="40" t="n">
        <f aca="false">F242</f>
        <v>1.51578947368421</v>
      </c>
      <c r="H243" s="42" t="n">
        <f aca="false">E243+F243-G243</f>
        <v>7.9898947368421</v>
      </c>
      <c r="I243" s="24" t="n">
        <f aca="false">H243*$I$23</f>
        <v>419.808028545941</v>
      </c>
      <c r="J243" s="24" t="n">
        <f aca="false">I243*IF($G$23="Sí",$C$9,0)</f>
        <v>75.5654451382694</v>
      </c>
      <c r="K243" s="36" t="n">
        <f aca="false">I243+J243</f>
        <v>495.373473684211</v>
      </c>
    </row>
    <row r="244" customFormat="false" ht="15" hidden="false" customHeight="false" outlineLevel="0" collapsed="false">
      <c r="B244" s="10" t="s">
        <v>123</v>
      </c>
      <c r="C244" s="41" t="n">
        <v>0</v>
      </c>
      <c r="D244" s="40" t="n">
        <f aca="false">$G$126*$F$51</f>
        <v>9.63368421052632</v>
      </c>
      <c r="E244" s="40" t="n">
        <f aca="false">C244+D244</f>
        <v>9.63368421052632</v>
      </c>
      <c r="F244" s="40" t="n">
        <f aca="false">E246*$C$230</f>
        <v>1.01052631578947</v>
      </c>
      <c r="G244" s="40" t="n">
        <f aca="false">F243</f>
        <v>1.92673684210526</v>
      </c>
      <c r="H244" s="42" t="n">
        <f aca="false">E244+F244-G244</f>
        <v>8.71747368421053</v>
      </c>
      <c r="I244" s="24" t="n">
        <f aca="false">H244*$I$23</f>
        <v>458.036752899197</v>
      </c>
      <c r="J244" s="24" t="n">
        <f aca="false">I244*IF($G$23="Sí",$C$9,0)</f>
        <v>82.4466155218555</v>
      </c>
      <c r="K244" s="36" t="n">
        <f aca="false">I244+J244</f>
        <v>540.483368421053</v>
      </c>
    </row>
    <row r="245" customFormat="false" ht="15" hidden="false" customHeight="false" outlineLevel="0" collapsed="false">
      <c r="B245" s="38" t="s">
        <v>124</v>
      </c>
      <c r="C245" s="31"/>
      <c r="D245" s="31"/>
      <c r="E245" s="43" t="n">
        <f aca="false">SUM(E233:E244)</f>
        <v>73.2126315789474</v>
      </c>
      <c r="F245" s="31"/>
      <c r="G245" s="31"/>
      <c r="H245" s="43" t="n">
        <f aca="false">SUM(H233:H244)</f>
        <v>73.2231578947368</v>
      </c>
      <c r="I245" s="44" t="n">
        <f aca="false">SUM(I233:I244)</f>
        <v>3847.31846565566</v>
      </c>
      <c r="J245" s="44" t="n">
        <f aca="false">SUM(J233:J244)</f>
        <v>692.51732381802</v>
      </c>
      <c r="K245" s="44" t="n">
        <f aca="false">SUM(K233:K244)</f>
        <v>4539.83578947369</v>
      </c>
    </row>
    <row r="246" customFormat="false" ht="15" hidden="false" customHeight="false" outlineLevel="0" collapsed="false">
      <c r="B246" s="10" t="s">
        <v>147</v>
      </c>
      <c r="C246" s="41" t="n">
        <v>0</v>
      </c>
      <c r="D246" s="40" t="n">
        <f aca="false">$G$128*$F$51</f>
        <v>5.05263157894737</v>
      </c>
      <c r="E246" s="40" t="n">
        <f aca="false">C246+D246</f>
        <v>5.05263157894737</v>
      </c>
      <c r="F246" s="19" t="s">
        <v>126</v>
      </c>
      <c r="G246" s="19" t="s">
        <v>126</v>
      </c>
      <c r="H246" s="19" t="s">
        <v>126</v>
      </c>
      <c r="I246" s="19" t="s">
        <v>126</v>
      </c>
      <c r="J246" s="19" t="s">
        <v>126</v>
      </c>
      <c r="K246" s="19" t="s">
        <v>126</v>
      </c>
    </row>
    <row r="248" customFormat="false" ht="15" hidden="false" customHeight="false" outlineLevel="0" collapsed="false">
      <c r="B248" s="18" t="s">
        <v>323</v>
      </c>
    </row>
    <row r="249" customFormat="false" ht="25.5" hidden="false" customHeight="true" outlineLevel="0" collapsed="false">
      <c r="B249" s="20" t="s">
        <v>137</v>
      </c>
      <c r="C249" s="29" t="n">
        <v>0.2</v>
      </c>
    </row>
    <row r="250" customFormat="false" ht="15" hidden="false" customHeight="false" outlineLevel="0" collapsed="false">
      <c r="B250" s="10" t="s">
        <v>212</v>
      </c>
      <c r="C250" s="21" t="n">
        <v>400</v>
      </c>
    </row>
    <row r="251" customFormat="false" ht="39.75" hidden="false" customHeight="true" outlineLevel="0" collapsed="false">
      <c r="B251" s="5" t="s">
        <v>108</v>
      </c>
      <c r="C251" s="5" t="s">
        <v>139</v>
      </c>
      <c r="D251" s="5" t="s">
        <v>140</v>
      </c>
      <c r="E251" s="5" t="s">
        <v>141</v>
      </c>
      <c r="F251" s="5" t="s">
        <v>142</v>
      </c>
      <c r="G251" s="5" t="s">
        <v>143</v>
      </c>
      <c r="H251" s="5" t="s">
        <v>144</v>
      </c>
      <c r="I251" s="5" t="s">
        <v>49</v>
      </c>
      <c r="J251" s="5" t="s">
        <v>145</v>
      </c>
      <c r="K251" s="5" t="s">
        <v>146</v>
      </c>
    </row>
    <row r="252" customFormat="false" ht="15" hidden="false" customHeight="false" outlineLevel="0" collapsed="false">
      <c r="B252" s="10" t="s">
        <v>112</v>
      </c>
      <c r="C252" s="40" t="n">
        <f aca="false">$G$96*$F$40</f>
        <v>1234.69387755102</v>
      </c>
      <c r="D252" s="40" t="n">
        <f aca="false">$G$115*$F$52</f>
        <v>581.632653061225</v>
      </c>
      <c r="E252" s="40" t="n">
        <f aca="false">C252+D252</f>
        <v>1816.32653061224</v>
      </c>
      <c r="F252" s="40" t="n">
        <f aca="false">E253*$C$249</f>
        <v>506.122448979592</v>
      </c>
      <c r="G252" s="40" t="n">
        <f aca="false">$C$250</f>
        <v>400</v>
      </c>
      <c r="H252" s="42" t="n">
        <f aca="false">E252+F252-G252</f>
        <v>1922.44897959184</v>
      </c>
      <c r="I252" s="24" t="n">
        <f aca="false">H252*$I$24</f>
        <v>138.481494292632</v>
      </c>
      <c r="J252" s="24" t="n">
        <f aca="false">I252*IF($G$24="Sí",$C$9,0)</f>
        <v>24.9266689726738</v>
      </c>
      <c r="K252" s="36" t="n">
        <f aca="false">I252+J252</f>
        <v>163.408163265306</v>
      </c>
    </row>
    <row r="253" customFormat="false" ht="15" hidden="false" customHeight="false" outlineLevel="0" collapsed="false">
      <c r="B253" s="10" t="s">
        <v>113</v>
      </c>
      <c r="C253" s="40" t="n">
        <f aca="false">$G$97*$F$40</f>
        <v>1693.87755102041</v>
      </c>
      <c r="D253" s="40" t="n">
        <f aca="false">$G$116*$F$52</f>
        <v>836.734693877551</v>
      </c>
      <c r="E253" s="40" t="n">
        <f aca="false">C253+D253</f>
        <v>2530.61224489796</v>
      </c>
      <c r="F253" s="40" t="n">
        <f aca="false">E254*$C$249</f>
        <v>332.65306122449</v>
      </c>
      <c r="G253" s="40" t="n">
        <f aca="false">F252</f>
        <v>506.122448979592</v>
      </c>
      <c r="H253" s="42" t="n">
        <f aca="false">E253+F253-G253</f>
        <v>2357.14285714286</v>
      </c>
      <c r="I253" s="24" t="n">
        <f aca="false">H253*$I$24</f>
        <v>169.794188861986</v>
      </c>
      <c r="J253" s="24" t="n">
        <f aca="false">I253*IF($G$24="Sí",$C$9,0)</f>
        <v>30.5629539951574</v>
      </c>
      <c r="K253" s="36" t="n">
        <f aca="false">I253+J253</f>
        <v>200.357142857143</v>
      </c>
    </row>
    <row r="254" customFormat="false" ht="15" hidden="false" customHeight="false" outlineLevel="0" collapsed="false">
      <c r="B254" s="10" t="s">
        <v>114</v>
      </c>
      <c r="C254" s="40" t="n">
        <f aca="false">$G$98*$F$40</f>
        <v>1142.85714285714</v>
      </c>
      <c r="D254" s="40" t="n">
        <f aca="false">$G$117*$F$52</f>
        <v>520.408163265306</v>
      </c>
      <c r="E254" s="40" t="n">
        <f aca="false">C254+D254</f>
        <v>1663.26530612245</v>
      </c>
      <c r="F254" s="40" t="n">
        <f aca="false">E255*$C$249</f>
        <v>400</v>
      </c>
      <c r="G254" s="40" t="n">
        <f aca="false">F253</f>
        <v>332.65306122449</v>
      </c>
      <c r="H254" s="42" t="n">
        <f aca="false">E254+F254-G254</f>
        <v>1730.61224489796</v>
      </c>
      <c r="I254" s="24" t="n">
        <f aca="false">H254*$I$24</f>
        <v>124.662746454514</v>
      </c>
      <c r="J254" s="24" t="n">
        <f aca="false">I254*IF($G$24="Sí",$C$9,0)</f>
        <v>22.4392943618125</v>
      </c>
      <c r="K254" s="36" t="n">
        <f aca="false">I254+J254</f>
        <v>147.102040816327</v>
      </c>
    </row>
    <row r="255" customFormat="false" ht="15" hidden="false" customHeight="false" outlineLevel="0" collapsed="false">
      <c r="B255" s="10" t="s">
        <v>115</v>
      </c>
      <c r="C255" s="40" t="n">
        <f aca="false">$G$99*$F$40</f>
        <v>1367.34693877551</v>
      </c>
      <c r="D255" s="40" t="n">
        <f aca="false">$G$118*$F$52</f>
        <v>632.65306122449</v>
      </c>
      <c r="E255" s="40" t="n">
        <f aca="false">C255+D255</f>
        <v>2000</v>
      </c>
      <c r="F255" s="40" t="n">
        <f aca="false">E256*$C$249</f>
        <v>553.061224489796</v>
      </c>
      <c r="G255" s="40" t="n">
        <f aca="false">F254</f>
        <v>400</v>
      </c>
      <c r="H255" s="42" t="n">
        <f aca="false">E255+F255-G255</f>
        <v>2153.0612244898</v>
      </c>
      <c r="I255" s="24" t="n">
        <f aca="false">H255*$I$24</f>
        <v>155.093393289519</v>
      </c>
      <c r="J255" s="24" t="n">
        <f aca="false">I255*IF($G$24="Sí",$C$9,0)</f>
        <v>27.9168107921135</v>
      </c>
      <c r="K255" s="36" t="n">
        <f aca="false">I255+J255</f>
        <v>183.010204081633</v>
      </c>
    </row>
    <row r="256" customFormat="false" ht="15" hidden="false" customHeight="false" outlineLevel="0" collapsed="false">
      <c r="B256" s="10" t="s">
        <v>116</v>
      </c>
      <c r="C256" s="40" t="n">
        <f aca="false">$G$100*$F$40</f>
        <v>1877.55102040816</v>
      </c>
      <c r="D256" s="40" t="n">
        <f aca="false">$G$119*$F$52</f>
        <v>887.755102040816</v>
      </c>
      <c r="E256" s="40" t="n">
        <f aca="false">C256+D256</f>
        <v>2765.30612244898</v>
      </c>
      <c r="F256" s="40" t="n">
        <f aca="false">E257*$C$249</f>
        <v>461.224489795919</v>
      </c>
      <c r="G256" s="40" t="n">
        <f aca="false">F255</f>
        <v>553.061224489796</v>
      </c>
      <c r="H256" s="42" t="n">
        <f aca="false">E256+F256-G256</f>
        <v>2673.4693877551</v>
      </c>
      <c r="I256" s="24" t="n">
        <f aca="false">H256*$I$24</f>
        <v>192.580421999308</v>
      </c>
      <c r="J256" s="24" t="n">
        <f aca="false">I256*IF($G$24="Sí",$C$9,0)</f>
        <v>34.6644759598755</v>
      </c>
      <c r="K256" s="36" t="n">
        <f aca="false">I256+J256</f>
        <v>227.244897959184</v>
      </c>
    </row>
    <row r="257" customFormat="false" ht="15" hidden="false" customHeight="false" outlineLevel="0" collapsed="false">
      <c r="B257" s="10" t="s">
        <v>117</v>
      </c>
      <c r="C257" s="40" t="n">
        <f aca="false">$G$101*$F$40</f>
        <v>1571.42857142857</v>
      </c>
      <c r="D257" s="40" t="n">
        <f aca="false">$G$120*$F$52</f>
        <v>734.693877551021</v>
      </c>
      <c r="E257" s="40" t="n">
        <f aca="false">C257+D257</f>
        <v>2306.12244897959</v>
      </c>
      <c r="F257" s="40" t="n">
        <f aca="false">E258*$C$249</f>
        <v>393.877551020408</v>
      </c>
      <c r="G257" s="40" t="n">
        <f aca="false">F256</f>
        <v>461.224489795919</v>
      </c>
      <c r="H257" s="42" t="n">
        <f aca="false">E257+F257-G257</f>
        <v>2238.77551020408</v>
      </c>
      <c r="I257" s="24" t="n">
        <f aca="false">H257*$I$24</f>
        <v>161.267727429955</v>
      </c>
      <c r="J257" s="24" t="n">
        <f aca="false">I257*IF($G$24="Sí",$C$9,0)</f>
        <v>29.0281909373919</v>
      </c>
      <c r="K257" s="36" t="n">
        <f aca="false">I257+J257</f>
        <v>190.295918367347</v>
      </c>
    </row>
    <row r="258" customFormat="false" ht="15" hidden="false" customHeight="false" outlineLevel="0" collapsed="false">
      <c r="B258" s="10" t="s">
        <v>118</v>
      </c>
      <c r="C258" s="40" t="n">
        <f aca="false">$G$102*$F$40</f>
        <v>1346.9387755102</v>
      </c>
      <c r="D258" s="40" t="n">
        <f aca="false">$G$121*$F$52</f>
        <v>622.448979591837</v>
      </c>
      <c r="E258" s="40" t="n">
        <f aca="false">C258+D258</f>
        <v>1969.38775510204</v>
      </c>
      <c r="F258" s="40" t="n">
        <f aca="false">E259*$C$249</f>
        <v>412.244897959184</v>
      </c>
      <c r="G258" s="40" t="n">
        <f aca="false">F257</f>
        <v>393.877551020408</v>
      </c>
      <c r="H258" s="42" t="n">
        <f aca="false">E258+F258-G258</f>
        <v>1987.75510204082</v>
      </c>
      <c r="I258" s="24" t="n">
        <f aca="false">H258*$I$24</f>
        <v>143.185748875822</v>
      </c>
      <c r="J258" s="24" t="n">
        <f aca="false">I258*IF($G$24="Sí",$C$9,0)</f>
        <v>25.7734347976479</v>
      </c>
      <c r="K258" s="36" t="n">
        <f aca="false">I258+J258</f>
        <v>168.959183673469</v>
      </c>
    </row>
    <row r="259" customFormat="false" ht="15" hidden="false" customHeight="false" outlineLevel="0" collapsed="false">
      <c r="B259" s="10" t="s">
        <v>119</v>
      </c>
      <c r="C259" s="40" t="n">
        <f aca="false">$G$103*$F$40</f>
        <v>1408.16326530612</v>
      </c>
      <c r="D259" s="40" t="n">
        <f aca="false">$G$122*$F$52</f>
        <v>653.061224489796</v>
      </c>
      <c r="E259" s="40" t="n">
        <f aca="false">C259+D259</f>
        <v>2061.22448979592</v>
      </c>
      <c r="F259" s="40" t="n">
        <f aca="false">E260*$C$249</f>
        <v>393.877551020408</v>
      </c>
      <c r="G259" s="40" t="n">
        <f aca="false">F258</f>
        <v>412.244897959184</v>
      </c>
      <c r="H259" s="42" t="n">
        <f aca="false">E259+F259-G259</f>
        <v>2042.85714285714</v>
      </c>
      <c r="I259" s="24" t="n">
        <f aca="false">H259*$I$24</f>
        <v>147.154963680387</v>
      </c>
      <c r="J259" s="24" t="n">
        <f aca="false">I259*IF($G$24="Sí",$C$9,0)</f>
        <v>26.4878934624697</v>
      </c>
      <c r="K259" s="36" t="n">
        <f aca="false">I259+J259</f>
        <v>173.642857142857</v>
      </c>
    </row>
    <row r="260" customFormat="false" ht="15" hidden="false" customHeight="false" outlineLevel="0" collapsed="false">
      <c r="B260" s="10" t="s">
        <v>120</v>
      </c>
      <c r="C260" s="40" t="n">
        <f aca="false">$G$104*$F$40</f>
        <v>1346.9387755102</v>
      </c>
      <c r="D260" s="40" t="n">
        <f aca="false">$G$123*$F$52</f>
        <v>622.448979591837</v>
      </c>
      <c r="E260" s="40" t="n">
        <f aca="false">C260+D260</f>
        <v>1969.38775510204</v>
      </c>
      <c r="F260" s="40" t="n">
        <f aca="false">E261*$C$249</f>
        <v>436.734693877551</v>
      </c>
      <c r="G260" s="40" t="n">
        <f aca="false">F259</f>
        <v>393.877551020408</v>
      </c>
      <c r="H260" s="42" t="n">
        <f aca="false">E260+F260-G260</f>
        <v>2012.24489795918</v>
      </c>
      <c r="I260" s="24" t="n">
        <f aca="false">H260*$I$24</f>
        <v>144.949844344518</v>
      </c>
      <c r="J260" s="24" t="n">
        <f aca="false">I260*IF($G$24="Sí",$C$9,0)</f>
        <v>26.0909719820132</v>
      </c>
      <c r="K260" s="36" t="n">
        <f aca="false">I260+J260</f>
        <v>171.040816326531</v>
      </c>
    </row>
    <row r="261" customFormat="false" ht="15" hidden="false" customHeight="false" outlineLevel="0" collapsed="false">
      <c r="B261" s="10" t="s">
        <v>121</v>
      </c>
      <c r="C261" s="40" t="n">
        <f aca="false">$G$105*$F$40</f>
        <v>1489.79591836735</v>
      </c>
      <c r="D261" s="40" t="n">
        <f aca="false">$G$124*$F$52</f>
        <v>693.877551020408</v>
      </c>
      <c r="E261" s="40" t="n">
        <f aca="false">C261+D261</f>
        <v>2183.67346938776</v>
      </c>
      <c r="F261" s="40" t="n">
        <f aca="false">E262*$C$249</f>
        <v>567.34693877551</v>
      </c>
      <c r="G261" s="40" t="n">
        <f aca="false">F260</f>
        <v>436.734693877551</v>
      </c>
      <c r="H261" s="42" t="n">
        <f aca="false">E261+F261-G261</f>
        <v>2314.28571428571</v>
      </c>
      <c r="I261" s="24" t="n">
        <f aca="false">H261*$I$24</f>
        <v>166.707021791768</v>
      </c>
      <c r="J261" s="24" t="n">
        <f aca="false">I261*IF($G$24="Sí",$C$9,0)</f>
        <v>30.0072639225182</v>
      </c>
      <c r="K261" s="36" t="n">
        <f aca="false">I261+J261</f>
        <v>196.714285714286</v>
      </c>
    </row>
    <row r="262" customFormat="false" ht="15" hidden="false" customHeight="false" outlineLevel="0" collapsed="false">
      <c r="B262" s="10" t="s">
        <v>122</v>
      </c>
      <c r="C262" s="40" t="n">
        <f aca="false">$G$106*$F$40</f>
        <v>1918.36734693878</v>
      </c>
      <c r="D262" s="40" t="n">
        <f aca="false">$G$125*$F$52</f>
        <v>918.367346938776</v>
      </c>
      <c r="E262" s="40" t="n">
        <f aca="false">C262+D262</f>
        <v>2836.73469387755</v>
      </c>
      <c r="F262" s="40" t="n">
        <f aca="false">E263*$C$249</f>
        <v>704.897959183674</v>
      </c>
      <c r="G262" s="40" t="n">
        <f aca="false">F261</f>
        <v>567.34693877551</v>
      </c>
      <c r="H262" s="42" t="n">
        <f aca="false">E262+F262-G262</f>
        <v>2974.28571428571</v>
      </c>
      <c r="I262" s="24" t="n">
        <f aca="false">H262*$I$24</f>
        <v>214.249394673124</v>
      </c>
      <c r="J262" s="24" t="n">
        <f aca="false">I262*IF($G$24="Sí",$C$9,0)</f>
        <v>38.5648910411622</v>
      </c>
      <c r="K262" s="36" t="n">
        <f aca="false">I262+J262</f>
        <v>252.814285714286</v>
      </c>
    </row>
    <row r="263" customFormat="false" ht="15" hidden="false" customHeight="false" outlineLevel="0" collapsed="false">
      <c r="B263" s="10" t="s">
        <v>123</v>
      </c>
      <c r="C263" s="40" t="n">
        <f aca="false">$G$107*$F$40</f>
        <v>2357.14285714286</v>
      </c>
      <c r="D263" s="40" t="n">
        <f aca="false">$G$126*$F$52</f>
        <v>1167.34693877551</v>
      </c>
      <c r="E263" s="40" t="n">
        <f aca="false">C263+D263</f>
        <v>3524.48979591837</v>
      </c>
      <c r="F263" s="40" t="n">
        <f aca="false">E265*$C$249</f>
        <v>385.714285714286</v>
      </c>
      <c r="G263" s="40" t="n">
        <f aca="false">F262</f>
        <v>704.897959183674</v>
      </c>
      <c r="H263" s="42" t="n">
        <f aca="false">E263+F263-G263</f>
        <v>3205.30612244898</v>
      </c>
      <c r="I263" s="24" t="n">
        <f aca="false">H263*$I$24</f>
        <v>230.890695261155</v>
      </c>
      <c r="J263" s="24" t="n">
        <f aca="false">I263*IF($G$24="Sí",$C$9,0)</f>
        <v>41.560325147008</v>
      </c>
      <c r="K263" s="36" t="n">
        <f aca="false">I263+J263</f>
        <v>272.451020408163</v>
      </c>
    </row>
    <row r="264" customFormat="false" ht="15" hidden="false" customHeight="false" outlineLevel="0" collapsed="false">
      <c r="B264" s="38" t="s">
        <v>124</v>
      </c>
      <c r="C264" s="31"/>
      <c r="D264" s="31"/>
      <c r="E264" s="43" t="n">
        <f aca="false">SUM(E252:E263)</f>
        <v>27626.5306122449</v>
      </c>
      <c r="F264" s="31"/>
      <c r="G264" s="31"/>
      <c r="H264" s="43" t="n">
        <f aca="false">SUM(H252:H263)</f>
        <v>27612.2448979592</v>
      </c>
      <c r="I264" s="44" t="n">
        <f aca="false">SUM(I252:I263)</f>
        <v>1989.01764095469</v>
      </c>
      <c r="J264" s="44" t="n">
        <f aca="false">SUM(J252:J263)</f>
        <v>358.023175371844</v>
      </c>
      <c r="K264" s="44" t="n">
        <f aca="false">SUM(K252:K263)</f>
        <v>2347.04081632653</v>
      </c>
    </row>
    <row r="265" customFormat="false" ht="15" hidden="false" customHeight="false" outlineLevel="0" collapsed="false">
      <c r="B265" s="10" t="s">
        <v>147</v>
      </c>
      <c r="C265" s="40" t="n">
        <f aca="false">$G$109*$F$40</f>
        <v>1316.32653061224</v>
      </c>
      <c r="D265" s="40" t="n">
        <f aca="false">$G$128*$F$52</f>
        <v>612.244897959184</v>
      </c>
      <c r="E265" s="40" t="n">
        <f aca="false">C265+D265</f>
        <v>1928.57142857143</v>
      </c>
      <c r="F265" s="19" t="s">
        <v>126</v>
      </c>
      <c r="G265" s="19" t="s">
        <v>126</v>
      </c>
      <c r="H265" s="19" t="s">
        <v>126</v>
      </c>
      <c r="I265" s="19" t="s">
        <v>126</v>
      </c>
      <c r="J265" s="19" t="s">
        <v>126</v>
      </c>
      <c r="K265" s="19" t="s">
        <v>126</v>
      </c>
    </row>
    <row r="267" customFormat="false" ht="15" hidden="false" customHeight="false" outlineLevel="0" collapsed="false">
      <c r="B267" s="18" t="s">
        <v>324</v>
      </c>
    </row>
    <row r="268" customFormat="false" ht="25.5" hidden="false" customHeight="true" outlineLevel="0" collapsed="false">
      <c r="B268" s="20" t="s">
        <v>137</v>
      </c>
      <c r="C268" s="29" t="n">
        <v>0.2</v>
      </c>
    </row>
    <row r="269" customFormat="false" ht="15" hidden="false" customHeight="false" outlineLevel="0" collapsed="false">
      <c r="B269" s="10" t="s">
        <v>212</v>
      </c>
      <c r="C269" s="21" t="n">
        <v>400</v>
      </c>
    </row>
    <row r="270" customFormat="false" ht="39.75" hidden="false" customHeight="true" outlineLevel="0" collapsed="false">
      <c r="B270" s="5" t="s">
        <v>108</v>
      </c>
      <c r="C270" s="5" t="s">
        <v>139</v>
      </c>
      <c r="D270" s="5" t="s">
        <v>140</v>
      </c>
      <c r="E270" s="5" t="s">
        <v>141</v>
      </c>
      <c r="F270" s="5" t="s">
        <v>142</v>
      </c>
      <c r="G270" s="5" t="s">
        <v>143</v>
      </c>
      <c r="H270" s="5" t="s">
        <v>144</v>
      </c>
      <c r="I270" s="5" t="s">
        <v>49</v>
      </c>
      <c r="J270" s="5" t="s">
        <v>145</v>
      </c>
      <c r="K270" s="5" t="s">
        <v>146</v>
      </c>
    </row>
    <row r="271" customFormat="false" ht="15" hidden="false" customHeight="false" outlineLevel="0" collapsed="false">
      <c r="B271" s="10" t="s">
        <v>112</v>
      </c>
      <c r="C271" s="40" t="n">
        <f aca="false">$G$96*$F$41</f>
        <v>1234.69387755102</v>
      </c>
      <c r="D271" s="40" t="n">
        <f aca="false">$G$115*$F$53</f>
        <v>581.632653061225</v>
      </c>
      <c r="E271" s="40" t="n">
        <f aca="false">C271+D271</f>
        <v>1816.32653061224</v>
      </c>
      <c r="F271" s="40" t="n">
        <f aca="false">E272*$C$268</f>
        <v>506.122448979592</v>
      </c>
      <c r="G271" s="40" t="n">
        <f aca="false">$C$269</f>
        <v>400</v>
      </c>
      <c r="H271" s="42" t="n">
        <f aca="false">E271+F271-G271</f>
        <v>1922.44897959184</v>
      </c>
      <c r="I271" s="24" t="n">
        <f aca="false">H271*$I$25</f>
        <v>847.18090626081</v>
      </c>
      <c r="J271" s="24" t="n">
        <f aca="false">I271*IF($G$25="Sí",$C$9,0)</f>
        <v>152.492563126946</v>
      </c>
      <c r="K271" s="36" t="n">
        <f aca="false">I271+J271</f>
        <v>999.673469387755</v>
      </c>
    </row>
    <row r="272" customFormat="false" ht="15" hidden="false" customHeight="false" outlineLevel="0" collapsed="false">
      <c r="B272" s="10" t="s">
        <v>113</v>
      </c>
      <c r="C272" s="40" t="n">
        <f aca="false">$G$97*$F$41</f>
        <v>1693.87755102041</v>
      </c>
      <c r="D272" s="40" t="n">
        <f aca="false">$G$116*$F$53</f>
        <v>836.734693877551</v>
      </c>
      <c r="E272" s="40" t="n">
        <f aca="false">C272+D272</f>
        <v>2530.61224489796</v>
      </c>
      <c r="F272" s="40" t="n">
        <f aca="false">E273*$C$268</f>
        <v>332.65306122449</v>
      </c>
      <c r="G272" s="40" t="n">
        <f aca="false">F271</f>
        <v>506.122448979592</v>
      </c>
      <c r="H272" s="42" t="n">
        <f aca="false">E272+F272-G272</f>
        <v>2357.14285714286</v>
      </c>
      <c r="I272" s="24" t="n">
        <f aca="false">H272*$I$25</f>
        <v>1038.74092009685</v>
      </c>
      <c r="J272" s="24" t="n">
        <f aca="false">I272*IF($G$25="Sí",$C$9,0)</f>
        <v>186.973365617433</v>
      </c>
      <c r="K272" s="36" t="n">
        <f aca="false">I272+J272</f>
        <v>1225.71428571429</v>
      </c>
    </row>
    <row r="273" customFormat="false" ht="15" hidden="false" customHeight="false" outlineLevel="0" collapsed="false">
      <c r="B273" s="10" t="s">
        <v>114</v>
      </c>
      <c r="C273" s="40" t="n">
        <f aca="false">$G$98*$F$41</f>
        <v>1142.85714285714</v>
      </c>
      <c r="D273" s="40" t="n">
        <f aca="false">$G$117*$F$53</f>
        <v>520.408163265306</v>
      </c>
      <c r="E273" s="40" t="n">
        <f aca="false">C273+D273</f>
        <v>1663.26530612245</v>
      </c>
      <c r="F273" s="40" t="n">
        <f aca="false">E274*$C$268</f>
        <v>400</v>
      </c>
      <c r="G273" s="40" t="n">
        <f aca="false">F272</f>
        <v>332.65306122449</v>
      </c>
      <c r="H273" s="42" t="n">
        <f aca="false">E273+F273-G273</f>
        <v>1730.61224489796</v>
      </c>
      <c r="I273" s="24" t="n">
        <f aca="false">H273*$I$25</f>
        <v>762.642684192321</v>
      </c>
      <c r="J273" s="24" t="n">
        <f aca="false">I273*IF($G$25="Sí",$C$9,0)</f>
        <v>137.275683154618</v>
      </c>
      <c r="K273" s="36" t="n">
        <f aca="false">I273+J273</f>
        <v>899.918367346939</v>
      </c>
    </row>
    <row r="274" customFormat="false" ht="15" hidden="false" customHeight="false" outlineLevel="0" collapsed="false">
      <c r="B274" s="10" t="s">
        <v>115</v>
      </c>
      <c r="C274" s="40" t="n">
        <f aca="false">$G$99*$F$41</f>
        <v>1367.34693877551</v>
      </c>
      <c r="D274" s="40" t="n">
        <f aca="false">$G$118*$F$53</f>
        <v>632.65306122449</v>
      </c>
      <c r="E274" s="40" t="n">
        <f aca="false">C274+D274</f>
        <v>2000</v>
      </c>
      <c r="F274" s="40" t="n">
        <f aca="false">E275*$C$268</f>
        <v>553.061224489796</v>
      </c>
      <c r="G274" s="40" t="n">
        <f aca="false">F273</f>
        <v>400</v>
      </c>
      <c r="H274" s="42" t="n">
        <f aca="false">E274+F274-G274</f>
        <v>2153.0612244898</v>
      </c>
      <c r="I274" s="24" t="n">
        <f aca="false">H274*$I$25</f>
        <v>948.806641300588</v>
      </c>
      <c r="J274" s="24" t="n">
        <f aca="false">I274*IF($G$25="Sí",$C$9,0)</f>
        <v>170.785195434106</v>
      </c>
      <c r="K274" s="36" t="n">
        <f aca="false">I274+J274</f>
        <v>1119.59183673469</v>
      </c>
    </row>
    <row r="275" customFormat="false" ht="15" hidden="false" customHeight="false" outlineLevel="0" collapsed="false">
      <c r="B275" s="10" t="s">
        <v>116</v>
      </c>
      <c r="C275" s="40" t="n">
        <f aca="false">$G$100*$F$41</f>
        <v>1877.55102040816</v>
      </c>
      <c r="D275" s="40" t="n">
        <f aca="false">$G$119*$F$53</f>
        <v>887.755102040816</v>
      </c>
      <c r="E275" s="40" t="n">
        <f aca="false">C275+D275</f>
        <v>2765.30612244898</v>
      </c>
      <c r="F275" s="40" t="n">
        <f aca="false">E276*$C$268</f>
        <v>461.224489795919</v>
      </c>
      <c r="G275" s="40" t="n">
        <f aca="false">F274</f>
        <v>553.061224489796</v>
      </c>
      <c r="H275" s="42" t="n">
        <f aca="false">E275+F275-G275</f>
        <v>2673.4693877551</v>
      </c>
      <c r="I275" s="24" t="n">
        <f aca="false">H275*$I$25</f>
        <v>1178.13905223106</v>
      </c>
      <c r="J275" s="24" t="n">
        <f aca="false">I275*IF($G$25="Sí",$C$9,0)</f>
        <v>212.065029401591</v>
      </c>
      <c r="K275" s="36" t="n">
        <f aca="false">I275+J275</f>
        <v>1390.20408163265</v>
      </c>
    </row>
    <row r="276" customFormat="false" ht="15" hidden="false" customHeight="false" outlineLevel="0" collapsed="false">
      <c r="B276" s="10" t="s">
        <v>117</v>
      </c>
      <c r="C276" s="40" t="n">
        <f aca="false">$G$101*$F$41</f>
        <v>1571.42857142857</v>
      </c>
      <c r="D276" s="40" t="n">
        <f aca="false">$G$120*$F$53</f>
        <v>734.693877551021</v>
      </c>
      <c r="E276" s="40" t="n">
        <f aca="false">C276+D276</f>
        <v>2306.12244897959</v>
      </c>
      <c r="F276" s="40" t="n">
        <f aca="false">E277*$C$268</f>
        <v>393.877551020408</v>
      </c>
      <c r="G276" s="40" t="n">
        <f aca="false">F275</f>
        <v>461.224489795919</v>
      </c>
      <c r="H276" s="42" t="n">
        <f aca="false">E276+F276-G276</f>
        <v>2238.77551020408</v>
      </c>
      <c r="I276" s="24" t="n">
        <f aca="false">H276*$I$25</f>
        <v>986.579038395019</v>
      </c>
      <c r="J276" s="24" t="n">
        <f aca="false">I276*IF($G$25="Sí",$C$9,0)</f>
        <v>177.584226911103</v>
      </c>
      <c r="K276" s="36" t="n">
        <f aca="false">I276+J276</f>
        <v>1164.16326530612</v>
      </c>
    </row>
    <row r="277" customFormat="false" ht="15" hidden="false" customHeight="false" outlineLevel="0" collapsed="false">
      <c r="B277" s="10" t="s">
        <v>118</v>
      </c>
      <c r="C277" s="40" t="n">
        <f aca="false">$G$102*$F$41</f>
        <v>1346.9387755102</v>
      </c>
      <c r="D277" s="40" t="n">
        <f aca="false">$G$121*$F$53</f>
        <v>622.448979591837</v>
      </c>
      <c r="E277" s="40" t="n">
        <f aca="false">C277+D277</f>
        <v>1969.38775510204</v>
      </c>
      <c r="F277" s="40" t="n">
        <f aca="false">E278*$C$268</f>
        <v>412.244897959184</v>
      </c>
      <c r="G277" s="40" t="n">
        <f aca="false">F276</f>
        <v>393.877551020408</v>
      </c>
      <c r="H277" s="42" t="n">
        <f aca="false">E277+F277-G277</f>
        <v>1987.75510204082</v>
      </c>
      <c r="I277" s="24" t="n">
        <f aca="false">H277*$I$25</f>
        <v>875.959875475614</v>
      </c>
      <c r="J277" s="24" t="n">
        <f aca="false">I277*IF($G$25="Sí",$C$9,0)</f>
        <v>157.672777585611</v>
      </c>
      <c r="K277" s="36" t="n">
        <f aca="false">I277+J277</f>
        <v>1033.63265306122</v>
      </c>
    </row>
    <row r="278" customFormat="false" ht="15" hidden="false" customHeight="false" outlineLevel="0" collapsed="false">
      <c r="B278" s="10" t="s">
        <v>119</v>
      </c>
      <c r="C278" s="40" t="n">
        <f aca="false">$G$103*$F$41</f>
        <v>1408.16326530612</v>
      </c>
      <c r="D278" s="40" t="n">
        <f aca="false">$G$122*$F$53</f>
        <v>653.061224489796</v>
      </c>
      <c r="E278" s="40" t="n">
        <f aca="false">C278+D278</f>
        <v>2061.22448979592</v>
      </c>
      <c r="F278" s="40" t="n">
        <f aca="false">E279*$C$268</f>
        <v>393.877551020408</v>
      </c>
      <c r="G278" s="40" t="n">
        <f aca="false">F277</f>
        <v>412.244897959184</v>
      </c>
      <c r="H278" s="42" t="n">
        <f aca="false">E278+F278-G278</f>
        <v>2042.85714285714</v>
      </c>
      <c r="I278" s="24" t="n">
        <f aca="false">H278*$I$25</f>
        <v>900.242130750605</v>
      </c>
      <c r="J278" s="24" t="n">
        <f aca="false">I278*IF($G$25="Sí",$C$9,0)</f>
        <v>162.043583535109</v>
      </c>
      <c r="K278" s="36" t="n">
        <f aca="false">I278+J278</f>
        <v>1062.28571428571</v>
      </c>
    </row>
    <row r="279" customFormat="false" ht="15" hidden="false" customHeight="false" outlineLevel="0" collapsed="false">
      <c r="B279" s="10" t="s">
        <v>120</v>
      </c>
      <c r="C279" s="40" t="n">
        <f aca="false">$G$104*$F$41</f>
        <v>1346.9387755102</v>
      </c>
      <c r="D279" s="40" t="n">
        <f aca="false">$G$123*$F$53</f>
        <v>622.448979591837</v>
      </c>
      <c r="E279" s="40" t="n">
        <f aca="false">C279+D279</f>
        <v>1969.38775510204</v>
      </c>
      <c r="F279" s="40" t="n">
        <f aca="false">E280*$C$268</f>
        <v>436.734693877551</v>
      </c>
      <c r="G279" s="40" t="n">
        <f aca="false">F278</f>
        <v>393.877551020408</v>
      </c>
      <c r="H279" s="42" t="n">
        <f aca="false">E279+F279-G279</f>
        <v>2012.24489795918</v>
      </c>
      <c r="I279" s="24" t="n">
        <f aca="false">H279*$I$25</f>
        <v>886.751988931166</v>
      </c>
      <c r="J279" s="24" t="n">
        <f aca="false">I279*IF($G$25="Sí",$C$9,0)</f>
        <v>159.61535800761</v>
      </c>
      <c r="K279" s="36" t="n">
        <f aca="false">I279+J279</f>
        <v>1046.36734693878</v>
      </c>
    </row>
    <row r="280" customFormat="false" ht="15" hidden="false" customHeight="false" outlineLevel="0" collapsed="false">
      <c r="B280" s="10" t="s">
        <v>121</v>
      </c>
      <c r="C280" s="40" t="n">
        <f aca="false">$G$105*$F$41</f>
        <v>1489.79591836735</v>
      </c>
      <c r="D280" s="40" t="n">
        <f aca="false">$G$124*$F$53</f>
        <v>693.877551020408</v>
      </c>
      <c r="E280" s="40" t="n">
        <f aca="false">C280+D280</f>
        <v>2183.67346938776</v>
      </c>
      <c r="F280" s="40" t="n">
        <f aca="false">E281*$C$268</f>
        <v>567.34693877551</v>
      </c>
      <c r="G280" s="40" t="n">
        <f aca="false">F279</f>
        <v>436.734693877551</v>
      </c>
      <c r="H280" s="42" t="n">
        <f aca="false">E280+F280-G280</f>
        <v>2314.28571428571</v>
      </c>
      <c r="I280" s="24" t="n">
        <f aca="false">H280*$I$25</f>
        <v>1019.85472154964</v>
      </c>
      <c r="J280" s="24" t="n">
        <f aca="false">I280*IF($G$25="Sí",$C$9,0)</f>
        <v>183.573849878935</v>
      </c>
      <c r="K280" s="36" t="n">
        <f aca="false">I280+J280</f>
        <v>1203.42857142857</v>
      </c>
    </row>
    <row r="281" customFormat="false" ht="15" hidden="false" customHeight="false" outlineLevel="0" collapsed="false">
      <c r="B281" s="10" t="s">
        <v>122</v>
      </c>
      <c r="C281" s="40" t="n">
        <f aca="false">$G$106*$F$41</f>
        <v>1918.36734693878</v>
      </c>
      <c r="D281" s="40" t="n">
        <f aca="false">$G$125*$F$53</f>
        <v>918.367346938776</v>
      </c>
      <c r="E281" s="40" t="n">
        <f aca="false">C281+D281</f>
        <v>2836.73469387755</v>
      </c>
      <c r="F281" s="40" t="n">
        <f aca="false">E282*$C$268</f>
        <v>704.897959183674</v>
      </c>
      <c r="G281" s="40" t="n">
        <f aca="false">F280</f>
        <v>567.34693877551</v>
      </c>
      <c r="H281" s="42" t="n">
        <f aca="false">E281+F281-G281</f>
        <v>2974.28571428571</v>
      </c>
      <c r="I281" s="24" t="n">
        <f aca="false">H281*$I$25</f>
        <v>1310.70217917676</v>
      </c>
      <c r="J281" s="24" t="n">
        <f aca="false">I281*IF($G$25="Sí",$C$9,0)</f>
        <v>235.926392251816</v>
      </c>
      <c r="K281" s="36" t="n">
        <f aca="false">I281+J281</f>
        <v>1546.62857142857</v>
      </c>
    </row>
    <row r="282" customFormat="false" ht="15" hidden="false" customHeight="false" outlineLevel="0" collapsed="false">
      <c r="B282" s="10" t="s">
        <v>123</v>
      </c>
      <c r="C282" s="40" t="n">
        <f aca="false">$G$107*$F$41</f>
        <v>2357.14285714286</v>
      </c>
      <c r="D282" s="40" t="n">
        <f aca="false">$G$126*$F$53</f>
        <v>1167.34693877551</v>
      </c>
      <c r="E282" s="40" t="n">
        <f aca="false">C282+D282</f>
        <v>3524.48979591837</v>
      </c>
      <c r="F282" s="40" t="n">
        <f aca="false">E284*$C$268</f>
        <v>385.714285714286</v>
      </c>
      <c r="G282" s="40" t="n">
        <f aca="false">F281</f>
        <v>704.897959183674</v>
      </c>
      <c r="H282" s="42" t="n">
        <f aca="false">E282+F282-G282</f>
        <v>3205.30612244898</v>
      </c>
      <c r="I282" s="24" t="n">
        <f aca="false">H282*$I$25</f>
        <v>1412.50778277413</v>
      </c>
      <c r="J282" s="24" t="n">
        <f aca="false">I282*IF($G$25="Sí",$C$9,0)</f>
        <v>254.251400899343</v>
      </c>
      <c r="K282" s="36" t="n">
        <f aca="false">I282+J282</f>
        <v>1666.75918367347</v>
      </c>
    </row>
    <row r="283" customFormat="false" ht="15" hidden="false" customHeight="false" outlineLevel="0" collapsed="false">
      <c r="B283" s="38" t="s">
        <v>124</v>
      </c>
      <c r="C283" s="31"/>
      <c r="D283" s="31"/>
      <c r="E283" s="43" t="n">
        <f aca="false">SUM(E271:E282)</f>
        <v>27626.5306122449</v>
      </c>
      <c r="F283" s="31"/>
      <c r="G283" s="31"/>
      <c r="H283" s="43" t="n">
        <f aca="false">SUM(H271:H282)</f>
        <v>27612.2448979592</v>
      </c>
      <c r="I283" s="44" t="n">
        <f aca="false">SUM(I271:I282)</f>
        <v>12168.1079211346</v>
      </c>
      <c r="J283" s="44" t="n">
        <f aca="false">SUM(J271:J282)</f>
        <v>2190.25942580422</v>
      </c>
      <c r="K283" s="44" t="n">
        <f aca="false">SUM(K271:K282)</f>
        <v>14358.3673469388</v>
      </c>
    </row>
    <row r="284" customFormat="false" ht="15" hidden="false" customHeight="false" outlineLevel="0" collapsed="false">
      <c r="B284" s="10" t="s">
        <v>147</v>
      </c>
      <c r="C284" s="40" t="n">
        <f aca="false">$G$109*$F$41</f>
        <v>1316.32653061224</v>
      </c>
      <c r="D284" s="40" t="n">
        <f aca="false">$G$128*$F$53</f>
        <v>612.244897959184</v>
      </c>
      <c r="E284" s="40" t="n">
        <f aca="false">C284+D284</f>
        <v>1928.57142857143</v>
      </c>
      <c r="F284" s="19" t="s">
        <v>126</v>
      </c>
      <c r="G284" s="19" t="s">
        <v>126</v>
      </c>
      <c r="H284" s="19" t="s">
        <v>126</v>
      </c>
      <c r="I284" s="19" t="s">
        <v>126</v>
      </c>
      <c r="J284" s="19" t="s">
        <v>126</v>
      </c>
      <c r="K284" s="19" t="s">
        <v>126</v>
      </c>
    </row>
    <row r="286" customFormat="false" ht="15" hidden="false" customHeight="false" outlineLevel="0" collapsed="false">
      <c r="B286" s="18" t="s">
        <v>325</v>
      </c>
    </row>
    <row r="287" customFormat="false" ht="25.5" hidden="false" customHeight="true" outlineLevel="0" collapsed="false">
      <c r="B287" s="20" t="s">
        <v>137</v>
      </c>
      <c r="C287" s="29" t="n">
        <v>0.2</v>
      </c>
    </row>
    <row r="288" customFormat="false" ht="15" hidden="false" customHeight="false" outlineLevel="0" collapsed="false">
      <c r="B288" s="10" t="s">
        <v>212</v>
      </c>
      <c r="C288" s="21" t="n">
        <v>400</v>
      </c>
    </row>
    <row r="289" customFormat="false" ht="39.75" hidden="false" customHeight="true" outlineLevel="0" collapsed="false">
      <c r="B289" s="5" t="s">
        <v>108</v>
      </c>
      <c r="C289" s="5" t="s">
        <v>139</v>
      </c>
      <c r="D289" s="5" t="s">
        <v>140</v>
      </c>
      <c r="E289" s="5" t="s">
        <v>141</v>
      </c>
      <c r="F289" s="5" t="s">
        <v>142</v>
      </c>
      <c r="G289" s="5" t="s">
        <v>143</v>
      </c>
      <c r="H289" s="5" t="s">
        <v>144</v>
      </c>
      <c r="I289" s="5" t="s">
        <v>49</v>
      </c>
      <c r="J289" s="5" t="s">
        <v>145</v>
      </c>
      <c r="K289" s="5" t="s">
        <v>146</v>
      </c>
    </row>
    <row r="290" customFormat="false" ht="15" hidden="false" customHeight="false" outlineLevel="0" collapsed="false">
      <c r="B290" s="10" t="s">
        <v>112</v>
      </c>
      <c r="C290" s="40" t="n">
        <f aca="false">$G$96*$F$42</f>
        <v>1234.69387755102</v>
      </c>
      <c r="D290" s="40" t="n">
        <f aca="false">$G$115*$F$54</f>
        <v>581.632653061225</v>
      </c>
      <c r="E290" s="40" t="n">
        <f aca="false">C290+D290</f>
        <v>1816.32653061224</v>
      </c>
      <c r="F290" s="40" t="n">
        <f aca="false">E291*$C$287</f>
        <v>506.122448979592</v>
      </c>
      <c r="G290" s="40" t="n">
        <f aca="false">$C$288</f>
        <v>400</v>
      </c>
      <c r="H290" s="42" t="n">
        <f aca="false">E290+F290-G290</f>
        <v>1922.44897959184</v>
      </c>
      <c r="I290" s="24" t="n">
        <f aca="false">H290*$I$26</f>
        <v>179.211345555171</v>
      </c>
      <c r="J290" s="24" t="n">
        <f aca="false">I290*IF($G$26="Sí",$C$9,0)</f>
        <v>32.2580421999308</v>
      </c>
      <c r="K290" s="36" t="n">
        <f aca="false">I290+J290</f>
        <v>211.469387755102</v>
      </c>
    </row>
    <row r="291" customFormat="false" ht="15" hidden="false" customHeight="false" outlineLevel="0" collapsed="false">
      <c r="B291" s="10" t="s">
        <v>113</v>
      </c>
      <c r="C291" s="40" t="n">
        <f aca="false">$G$97*$F$42</f>
        <v>1693.87755102041</v>
      </c>
      <c r="D291" s="40" t="n">
        <f aca="false">$G$116*$F$54</f>
        <v>836.734693877551</v>
      </c>
      <c r="E291" s="40" t="n">
        <f aca="false">C291+D291</f>
        <v>2530.61224489796</v>
      </c>
      <c r="F291" s="40" t="n">
        <f aca="false">E292*$C$287</f>
        <v>332.65306122449</v>
      </c>
      <c r="G291" s="40" t="n">
        <f aca="false">F290</f>
        <v>506.122448979592</v>
      </c>
      <c r="H291" s="42" t="n">
        <f aca="false">E291+F291-G291</f>
        <v>2357.14285714286</v>
      </c>
      <c r="I291" s="24" t="n">
        <f aca="false">H291*$I$26</f>
        <v>219.733656174334</v>
      </c>
      <c r="J291" s="24" t="n">
        <f aca="false">I291*IF($G$26="Sí",$C$9,0)</f>
        <v>39.5520581113802</v>
      </c>
      <c r="K291" s="36" t="n">
        <f aca="false">I291+J291</f>
        <v>259.285714285714</v>
      </c>
    </row>
    <row r="292" customFormat="false" ht="15" hidden="false" customHeight="false" outlineLevel="0" collapsed="false">
      <c r="B292" s="10" t="s">
        <v>114</v>
      </c>
      <c r="C292" s="40" t="n">
        <f aca="false">$G$98*$F$42</f>
        <v>1142.85714285714</v>
      </c>
      <c r="D292" s="40" t="n">
        <f aca="false">$G$117*$F$54</f>
        <v>520.408163265306</v>
      </c>
      <c r="E292" s="40" t="n">
        <f aca="false">C292+D292</f>
        <v>1663.26530612245</v>
      </c>
      <c r="F292" s="40" t="n">
        <f aca="false">E293*$C$287</f>
        <v>400</v>
      </c>
      <c r="G292" s="40" t="n">
        <f aca="false">F291</f>
        <v>332.65306122449</v>
      </c>
      <c r="H292" s="42" t="n">
        <f aca="false">E292+F292-G292</f>
        <v>1730.61224489796</v>
      </c>
      <c r="I292" s="24" t="n">
        <f aca="false">H292*$I$26</f>
        <v>161.328260117606</v>
      </c>
      <c r="J292" s="24" t="n">
        <f aca="false">I292*IF($G$26="Sí",$C$9,0)</f>
        <v>29.0390868211691</v>
      </c>
      <c r="K292" s="36" t="n">
        <f aca="false">I292+J292</f>
        <v>190.367346938776</v>
      </c>
    </row>
    <row r="293" customFormat="false" ht="15" hidden="false" customHeight="false" outlineLevel="0" collapsed="false">
      <c r="B293" s="10" t="s">
        <v>115</v>
      </c>
      <c r="C293" s="40" t="n">
        <f aca="false">$G$99*$F$42</f>
        <v>1367.34693877551</v>
      </c>
      <c r="D293" s="40" t="n">
        <f aca="false">$G$118*$F$54</f>
        <v>632.65306122449</v>
      </c>
      <c r="E293" s="40" t="n">
        <f aca="false">C293+D293</f>
        <v>2000</v>
      </c>
      <c r="F293" s="40" t="n">
        <f aca="false">E294*$C$287</f>
        <v>553.061224489796</v>
      </c>
      <c r="G293" s="40" t="n">
        <f aca="false">F292</f>
        <v>400</v>
      </c>
      <c r="H293" s="42" t="n">
        <f aca="false">E293+F293-G293</f>
        <v>2153.0612244898</v>
      </c>
      <c r="I293" s="24" t="n">
        <f aca="false">H293*$I$26</f>
        <v>200.709097198201</v>
      </c>
      <c r="J293" s="24" t="n">
        <f aca="false">I293*IF($G$26="Sí",$C$9,0)</f>
        <v>36.1276374956762</v>
      </c>
      <c r="K293" s="36" t="n">
        <f aca="false">I293+J293</f>
        <v>236.836734693878</v>
      </c>
    </row>
    <row r="294" customFormat="false" ht="15" hidden="false" customHeight="false" outlineLevel="0" collapsed="false">
      <c r="B294" s="10" t="s">
        <v>116</v>
      </c>
      <c r="C294" s="40" t="n">
        <f aca="false">$G$100*$F$42</f>
        <v>1877.55102040816</v>
      </c>
      <c r="D294" s="40" t="n">
        <f aca="false">$G$119*$F$54</f>
        <v>887.755102040816</v>
      </c>
      <c r="E294" s="40" t="n">
        <f aca="false">C294+D294</f>
        <v>2765.30612244898</v>
      </c>
      <c r="F294" s="40" t="n">
        <f aca="false">E295*$C$287</f>
        <v>461.224489795919</v>
      </c>
      <c r="G294" s="40" t="n">
        <f aca="false">F293</f>
        <v>553.061224489796</v>
      </c>
      <c r="H294" s="42" t="n">
        <f aca="false">E294+F294-G294</f>
        <v>2673.4693877551</v>
      </c>
      <c r="I294" s="24" t="n">
        <f aca="false">H294*$I$26</f>
        <v>249.22172258734</v>
      </c>
      <c r="J294" s="24" t="n">
        <f aca="false">I294*IF($G$26="Sí",$C$9,0)</f>
        <v>44.8599100657212</v>
      </c>
      <c r="K294" s="36" t="n">
        <f aca="false">I294+J294</f>
        <v>294.081632653061</v>
      </c>
    </row>
    <row r="295" customFormat="false" ht="15" hidden="false" customHeight="false" outlineLevel="0" collapsed="false">
      <c r="B295" s="10" t="s">
        <v>117</v>
      </c>
      <c r="C295" s="40" t="n">
        <f aca="false">$G$101*$F$42</f>
        <v>1571.42857142857</v>
      </c>
      <c r="D295" s="40" t="n">
        <f aca="false">$G$120*$F$54</f>
        <v>734.693877551021</v>
      </c>
      <c r="E295" s="40" t="n">
        <f aca="false">C295+D295</f>
        <v>2306.12244897959</v>
      </c>
      <c r="F295" s="40" t="n">
        <f aca="false">E296*$C$287</f>
        <v>393.877551020408</v>
      </c>
      <c r="G295" s="40" t="n">
        <f aca="false">F294</f>
        <v>461.224489795919</v>
      </c>
      <c r="H295" s="42" t="n">
        <f aca="false">E295+F295-G295</f>
        <v>2238.77551020408</v>
      </c>
      <c r="I295" s="24" t="n">
        <f aca="false">H295*$I$26</f>
        <v>208.699411968177</v>
      </c>
      <c r="J295" s="24" t="n">
        <f aca="false">I295*IF($G$26="Sí",$C$9,0)</f>
        <v>37.5658941542719</v>
      </c>
      <c r="K295" s="36" t="n">
        <f aca="false">I295+J295</f>
        <v>246.265306122449</v>
      </c>
    </row>
    <row r="296" customFormat="false" ht="15" hidden="false" customHeight="false" outlineLevel="0" collapsed="false">
      <c r="B296" s="10" t="s">
        <v>118</v>
      </c>
      <c r="C296" s="40" t="n">
        <f aca="false">$G$102*$F$42</f>
        <v>1346.9387755102</v>
      </c>
      <c r="D296" s="40" t="n">
        <f aca="false">$G$121*$F$54</f>
        <v>622.448979591837</v>
      </c>
      <c r="E296" s="40" t="n">
        <f aca="false">C296+D296</f>
        <v>1969.38775510204</v>
      </c>
      <c r="F296" s="40" t="n">
        <f aca="false">E297*$C$287</f>
        <v>412.244897959184</v>
      </c>
      <c r="G296" s="40" t="n">
        <f aca="false">F295</f>
        <v>393.877551020408</v>
      </c>
      <c r="H296" s="42" t="n">
        <f aca="false">E296+F296-G296</f>
        <v>1987.75510204082</v>
      </c>
      <c r="I296" s="24" t="n">
        <f aca="false">H296*$I$26</f>
        <v>185.299204427534</v>
      </c>
      <c r="J296" s="24" t="n">
        <f aca="false">I296*IF($G$26="Sí",$C$9,0)</f>
        <v>33.3538567969561</v>
      </c>
      <c r="K296" s="36" t="n">
        <f aca="false">I296+J296</f>
        <v>218.65306122449</v>
      </c>
    </row>
    <row r="297" customFormat="false" ht="15" hidden="false" customHeight="false" outlineLevel="0" collapsed="false">
      <c r="B297" s="10" t="s">
        <v>119</v>
      </c>
      <c r="C297" s="40" t="n">
        <f aca="false">$G$103*$F$42</f>
        <v>1408.16326530612</v>
      </c>
      <c r="D297" s="40" t="n">
        <f aca="false">$G$122*$F$54</f>
        <v>653.061224489796</v>
      </c>
      <c r="E297" s="40" t="n">
        <f aca="false">C297+D297</f>
        <v>2061.22448979592</v>
      </c>
      <c r="F297" s="40" t="n">
        <f aca="false">E298*$C$287</f>
        <v>393.877551020408</v>
      </c>
      <c r="G297" s="40" t="n">
        <f aca="false">F296</f>
        <v>412.244897959184</v>
      </c>
      <c r="H297" s="42" t="n">
        <f aca="false">E297+F297-G297</f>
        <v>2042.85714285714</v>
      </c>
      <c r="I297" s="24" t="n">
        <f aca="false">H297*$I$26</f>
        <v>190.43583535109</v>
      </c>
      <c r="J297" s="24" t="n">
        <f aca="false">I297*IF($G$26="Sí",$C$9,0)</f>
        <v>34.2784503631961</v>
      </c>
      <c r="K297" s="36" t="n">
        <f aca="false">I297+J297</f>
        <v>224.714285714286</v>
      </c>
    </row>
    <row r="298" customFormat="false" ht="15" hidden="false" customHeight="false" outlineLevel="0" collapsed="false">
      <c r="B298" s="10" t="s">
        <v>120</v>
      </c>
      <c r="C298" s="40" t="n">
        <f aca="false">$G$104*$F$42</f>
        <v>1346.9387755102</v>
      </c>
      <c r="D298" s="40" t="n">
        <f aca="false">$G$123*$F$54</f>
        <v>622.448979591837</v>
      </c>
      <c r="E298" s="40" t="n">
        <f aca="false">C298+D298</f>
        <v>1969.38775510204</v>
      </c>
      <c r="F298" s="40" t="n">
        <f aca="false">E299*$C$287</f>
        <v>436.734693877551</v>
      </c>
      <c r="G298" s="40" t="n">
        <f aca="false">F297</f>
        <v>393.877551020408</v>
      </c>
      <c r="H298" s="42" t="n">
        <f aca="false">E298+F298-G298</f>
        <v>2012.24489795918</v>
      </c>
      <c r="I298" s="24" t="n">
        <f aca="false">H298*$I$26</f>
        <v>187.58215150467</v>
      </c>
      <c r="J298" s="24" t="n">
        <f aca="false">I298*IF($G$26="Sí",$C$9,0)</f>
        <v>33.7647872708405</v>
      </c>
      <c r="K298" s="36" t="n">
        <f aca="false">I298+J298</f>
        <v>221.34693877551</v>
      </c>
    </row>
    <row r="299" customFormat="false" ht="15" hidden="false" customHeight="false" outlineLevel="0" collapsed="false">
      <c r="B299" s="10" t="s">
        <v>121</v>
      </c>
      <c r="C299" s="40" t="n">
        <f aca="false">$G$105*$F$42</f>
        <v>1489.79591836735</v>
      </c>
      <c r="D299" s="40" t="n">
        <f aca="false">$G$124*$F$54</f>
        <v>693.877551020408</v>
      </c>
      <c r="E299" s="40" t="n">
        <f aca="false">C299+D299</f>
        <v>2183.67346938776</v>
      </c>
      <c r="F299" s="40" t="n">
        <f aca="false">E300*$C$287</f>
        <v>567.34693877551</v>
      </c>
      <c r="G299" s="40" t="n">
        <f aca="false">F298</f>
        <v>436.734693877551</v>
      </c>
      <c r="H299" s="42" t="n">
        <f aca="false">E299+F299-G299</f>
        <v>2314.28571428571</v>
      </c>
      <c r="I299" s="24" t="n">
        <f aca="false">H299*$I$26</f>
        <v>215.738498789346</v>
      </c>
      <c r="J299" s="24" t="n">
        <f aca="false">I299*IF($G$26="Sí",$C$9,0)</f>
        <v>38.8329297820823</v>
      </c>
      <c r="K299" s="36" t="n">
        <f aca="false">I299+J299</f>
        <v>254.571428571429</v>
      </c>
    </row>
    <row r="300" customFormat="false" ht="15" hidden="false" customHeight="false" outlineLevel="0" collapsed="false">
      <c r="B300" s="10" t="s">
        <v>122</v>
      </c>
      <c r="C300" s="40" t="n">
        <f aca="false">$G$106*$F$42</f>
        <v>1918.36734693878</v>
      </c>
      <c r="D300" s="40" t="n">
        <f aca="false">$G$125*$F$54</f>
        <v>918.367346938776</v>
      </c>
      <c r="E300" s="40" t="n">
        <f aca="false">C300+D300</f>
        <v>2836.73469387755</v>
      </c>
      <c r="F300" s="40" t="n">
        <f aca="false">E301*$C$287</f>
        <v>704.897959183674</v>
      </c>
      <c r="G300" s="40" t="n">
        <f aca="false">F299</f>
        <v>567.34693877551</v>
      </c>
      <c r="H300" s="42" t="n">
        <f aca="false">E300+F300-G300</f>
        <v>2974.28571428571</v>
      </c>
      <c r="I300" s="24" t="n">
        <f aca="false">H300*$I$26</f>
        <v>277.26392251816</v>
      </c>
      <c r="J300" s="24" t="n">
        <f aca="false">I300*IF($G$26="Sí",$C$9,0)</f>
        <v>49.9075060532688</v>
      </c>
      <c r="K300" s="36" t="n">
        <f aca="false">I300+J300</f>
        <v>327.171428571429</v>
      </c>
    </row>
    <row r="301" customFormat="false" ht="15" hidden="false" customHeight="false" outlineLevel="0" collapsed="false">
      <c r="B301" s="10" t="s">
        <v>123</v>
      </c>
      <c r="C301" s="40" t="n">
        <f aca="false">$G$107*$F$42</f>
        <v>2357.14285714286</v>
      </c>
      <c r="D301" s="40" t="n">
        <f aca="false">$G$126*$F$54</f>
        <v>1167.34693877551</v>
      </c>
      <c r="E301" s="40" t="n">
        <f aca="false">C301+D301</f>
        <v>3524.48979591837</v>
      </c>
      <c r="F301" s="40" t="n">
        <f aca="false">E303*$C$287</f>
        <v>385.714285714286</v>
      </c>
      <c r="G301" s="40" t="n">
        <f aca="false">F300</f>
        <v>704.897959183674</v>
      </c>
      <c r="H301" s="42" t="n">
        <f aca="false">E301+F301-G301</f>
        <v>3205.30612244898</v>
      </c>
      <c r="I301" s="24" t="n">
        <f aca="false">H301*$I$26</f>
        <v>298.799723279142</v>
      </c>
      <c r="J301" s="24" t="n">
        <f aca="false">I301*IF($G$26="Sí",$C$9,0)</f>
        <v>53.7839501902456</v>
      </c>
      <c r="K301" s="36" t="n">
        <f aca="false">I301+J301</f>
        <v>352.583673469388</v>
      </c>
    </row>
    <row r="302" customFormat="false" ht="15" hidden="false" customHeight="false" outlineLevel="0" collapsed="false">
      <c r="B302" s="38" t="s">
        <v>124</v>
      </c>
      <c r="C302" s="31"/>
      <c r="D302" s="31"/>
      <c r="E302" s="43" t="n">
        <f aca="false">SUM(E290:E301)</f>
        <v>27626.5306122449</v>
      </c>
      <c r="F302" s="31"/>
      <c r="G302" s="31"/>
      <c r="H302" s="43" t="n">
        <f aca="false">SUM(H290:H301)</f>
        <v>27612.2448979592</v>
      </c>
      <c r="I302" s="44" t="n">
        <f aca="false">SUM(I290:I301)</f>
        <v>2574.02282947077</v>
      </c>
      <c r="J302" s="44" t="n">
        <f aca="false">SUM(J290:J301)</f>
        <v>463.324109304739</v>
      </c>
      <c r="K302" s="44" t="n">
        <f aca="false">SUM(K290:K301)</f>
        <v>3037.34693877551</v>
      </c>
    </row>
    <row r="303" customFormat="false" ht="15" hidden="false" customHeight="false" outlineLevel="0" collapsed="false">
      <c r="B303" s="10" t="s">
        <v>147</v>
      </c>
      <c r="C303" s="40" t="n">
        <f aca="false">$G$109*$F$42</f>
        <v>1316.32653061224</v>
      </c>
      <c r="D303" s="40" t="n">
        <f aca="false">$G$128*$F$54</f>
        <v>612.244897959184</v>
      </c>
      <c r="E303" s="40" t="n">
        <f aca="false">C303+D303</f>
        <v>1928.57142857143</v>
      </c>
      <c r="F303" s="19" t="s">
        <v>126</v>
      </c>
      <c r="G303" s="19" t="s">
        <v>126</v>
      </c>
      <c r="H303" s="19" t="s">
        <v>126</v>
      </c>
      <c r="I303" s="19" t="s">
        <v>126</v>
      </c>
      <c r="J303" s="19" t="s">
        <v>126</v>
      </c>
      <c r="K303" s="19" t="s">
        <v>126</v>
      </c>
    </row>
    <row r="305" customFormat="false" ht="15" hidden="false" customHeight="false" outlineLevel="0" collapsed="false">
      <c r="B305" s="28" t="s">
        <v>151</v>
      </c>
    </row>
    <row r="306" customFormat="false" ht="30" hidden="false" customHeight="true" outlineLevel="0" collapsed="false">
      <c r="B306" s="5" t="s">
        <v>108</v>
      </c>
      <c r="C306" s="5" t="s">
        <v>49</v>
      </c>
      <c r="D306" s="5" t="s">
        <v>145</v>
      </c>
      <c r="E306" s="5" t="s">
        <v>146</v>
      </c>
    </row>
    <row r="307" customFormat="false" ht="15" hidden="false" customHeight="false" outlineLevel="0" collapsed="false">
      <c r="B307" s="10" t="s">
        <v>112</v>
      </c>
      <c r="C307" s="24" t="n">
        <f aca="false">I138+I157+I176+I195+I214+I233+I252+I271+I290</f>
        <v>7175.54140293196</v>
      </c>
      <c r="D307" s="24" t="n">
        <f aca="false">J138+J157+J176+J195+J214+J233+J252+J271+J290</f>
        <v>1291.59745252775</v>
      </c>
      <c r="E307" s="24" t="n">
        <f aca="false">K138+K157+K176+K195+K214+K233+K252+K271+K290</f>
        <v>8467.13885545971</v>
      </c>
    </row>
    <row r="308" customFormat="false" ht="15" hidden="false" customHeight="false" outlineLevel="0" collapsed="false">
      <c r="B308" s="10" t="s">
        <v>113</v>
      </c>
      <c r="C308" s="24" t="n">
        <f aca="false">I139+I158+I177+I196+I215+I234+I253+I272+I291</f>
        <v>9210.9920607915</v>
      </c>
      <c r="D308" s="24" t="n">
        <f aca="false">J139+J158+J177+J196+J215+J234+J253+J272+J291</f>
        <v>1657.97857094247</v>
      </c>
      <c r="E308" s="24" t="n">
        <f aca="false">K139+K158+K177+K196+K215+K234+K253+K272+K291</f>
        <v>10868.970631734</v>
      </c>
    </row>
    <row r="309" customFormat="false" ht="15" hidden="false" customHeight="false" outlineLevel="0" collapsed="false">
      <c r="B309" s="10" t="s">
        <v>114</v>
      </c>
      <c r="C309" s="24" t="n">
        <f aca="false">I140+I159+I178+I197+I216+I235+I254+I273+I292</f>
        <v>6751.60914530154</v>
      </c>
      <c r="D309" s="24" t="n">
        <f aca="false">J140+J159+J178+J197+J216+J235+J254+J273+J292</f>
        <v>1215.28964615428</v>
      </c>
      <c r="E309" s="24" t="n">
        <f aca="false">K140+K159+K178+K197+K216+K235+K254+K273+K292</f>
        <v>7966.89879145581</v>
      </c>
    </row>
    <row r="310" customFormat="false" ht="15" hidden="false" customHeight="false" outlineLevel="0" collapsed="false">
      <c r="B310" s="10" t="s">
        <v>115</v>
      </c>
      <c r="C310" s="24" t="n">
        <f aca="false">I141+I160+I179+I198+I217+I236+I255+I274+I293</f>
        <v>8403.38319213575</v>
      </c>
      <c r="D310" s="24" t="n">
        <f aca="false">J141+J160+J179+J198+J217+J236+J255+J274+J293</f>
        <v>1512.60897458444</v>
      </c>
      <c r="E310" s="24" t="n">
        <f aca="false">K141+K160+K179+K198+K217+K236+K255+K274+K293</f>
        <v>9915.99216672019</v>
      </c>
    </row>
    <row r="311" customFormat="false" ht="15" hidden="false" customHeight="false" outlineLevel="0" collapsed="false">
      <c r="B311" s="10" t="s">
        <v>116</v>
      </c>
      <c r="C311" s="24" t="n">
        <f aca="false">I142+I161+I180+I199+I218+I237+I256+I275+I294</f>
        <v>10438.1773078011</v>
      </c>
      <c r="D311" s="24" t="n">
        <f aca="false">J142+J161+J180+J199+J218+J237+J256+J275+J294</f>
        <v>1878.8719154042</v>
      </c>
      <c r="E311" s="24" t="n">
        <f aca="false">K142+K161+K180+K199+K218+K237+K256+K275+K294</f>
        <v>12317.0492232053</v>
      </c>
    </row>
    <row r="312" customFormat="false" ht="15" hidden="false" customHeight="false" outlineLevel="0" collapsed="false">
      <c r="B312" s="10" t="s">
        <v>117</v>
      </c>
      <c r="C312" s="24" t="n">
        <f aca="false">I143+I162+I181+I200+I219+I238+I257+I276+I295</f>
        <v>8738.52575236298</v>
      </c>
      <c r="D312" s="24" t="n">
        <f aca="false">J143+J162+J181+J200+J219+J238+J257+J276+J295</f>
        <v>1572.93463542534</v>
      </c>
      <c r="E312" s="24" t="n">
        <f aca="false">K143+K162+K181+K200+K219+K238+K257+K276+K295</f>
        <v>10311.4603877883</v>
      </c>
    </row>
    <row r="313" customFormat="false" ht="15" hidden="false" customHeight="false" outlineLevel="0" collapsed="false">
      <c r="B313" s="10" t="s">
        <v>118</v>
      </c>
      <c r="C313" s="24" t="n">
        <f aca="false">I144+I163+I182+I201+I220+I239+I258+I277+I296</f>
        <v>7757.03682598323</v>
      </c>
      <c r="D313" s="24" t="n">
        <f aca="false">J144+J163+J182+J201+J220+J239+J258+J277+J296</f>
        <v>1396.26662867698</v>
      </c>
      <c r="E313" s="24" t="n">
        <f aca="false">K144+K163+K182+K201+K220+K239+K258+K277+K296</f>
        <v>9153.30345466021</v>
      </c>
    </row>
    <row r="314" customFormat="false" ht="15" hidden="false" customHeight="false" outlineLevel="0" collapsed="false">
      <c r="B314" s="10" t="s">
        <v>119</v>
      </c>
      <c r="C314" s="24" t="n">
        <f aca="false">I145+I164+I183+I202+I221+I240+I259+I278+I297</f>
        <v>7972.48561470074</v>
      </c>
      <c r="D314" s="24" t="n">
        <f aca="false">J145+J164+J183+J202+J221+J240+J259+J278+J297</f>
        <v>1435.04741064613</v>
      </c>
      <c r="E314" s="24" t="n">
        <f aca="false">K145+K164+K183+K202+K221+K240+K259+K278+K297</f>
        <v>9407.53302534687</v>
      </c>
    </row>
    <row r="315" customFormat="false" ht="15" hidden="false" customHeight="false" outlineLevel="0" collapsed="false">
      <c r="B315" s="10" t="s">
        <v>120</v>
      </c>
      <c r="C315" s="24" t="n">
        <f aca="false">I146+I165+I184+I203+I222+I241+I260+I279+I298</f>
        <v>7852.79184319101</v>
      </c>
      <c r="D315" s="24" t="n">
        <f aca="false">J146+J165+J184+J203+J222+J241+J260+J279+J298</f>
        <v>1413.50253177438</v>
      </c>
      <c r="E315" s="24" t="n">
        <f aca="false">K146+K165+K184+K203+K222+K241+K260+K279+K298</f>
        <v>9266.2943749654</v>
      </c>
    </row>
    <row r="316" customFormat="false" ht="15" hidden="false" customHeight="false" outlineLevel="0" collapsed="false">
      <c r="B316" s="10" t="s">
        <v>121</v>
      </c>
      <c r="C316" s="24" t="n">
        <f aca="false">I147+I166+I185+I204+I223+I242+I261+I280+I299</f>
        <v>9034.37353824891</v>
      </c>
      <c r="D316" s="24" t="n">
        <f aca="false">J147+J166+J185+J204+J223+J242+J261+J280+J299</f>
        <v>1626.1872368848</v>
      </c>
      <c r="E316" s="24" t="n">
        <f aca="false">K147+K166+K185+K204+K223+K242+K261+K280+K299</f>
        <v>10660.5607751337</v>
      </c>
    </row>
    <row r="317" customFormat="false" ht="15" hidden="false" customHeight="false" outlineLevel="0" collapsed="false">
      <c r="B317" s="10" t="s">
        <v>122</v>
      </c>
      <c r="C317" s="24" t="n">
        <f aca="false">I148+I167+I186+I205+I224+I243+I262+I281+I300</f>
        <v>11619.1329835159</v>
      </c>
      <c r="D317" s="24" t="n">
        <f aca="false">J148+J167+J186+J205+J224+J243+J262+J281+J300</f>
        <v>2091.44393703287</v>
      </c>
      <c r="E317" s="24" t="n">
        <f aca="false">K148+K167+K186+K205+K224+K243+K262+K281+K300</f>
        <v>13710.5769205488</v>
      </c>
    </row>
    <row r="318" customFormat="false" ht="15" hidden="false" customHeight="false" outlineLevel="0" collapsed="false">
      <c r="B318" s="10" t="s">
        <v>123</v>
      </c>
      <c r="C318" s="24" t="n">
        <f aca="false">I149+I168+I187+I206+I225+I244+I263+I282+I301</f>
        <v>12527.3678050372</v>
      </c>
      <c r="D318" s="24" t="n">
        <f aca="false">J149+J168+J187+J206+J225+J244+J263+J282+J301</f>
        <v>2254.92620490669</v>
      </c>
      <c r="E318" s="24" t="n">
        <f aca="false">K149+K168+K187+K206+K225+K244+K263+K282+K301</f>
        <v>14782.2940099439</v>
      </c>
    </row>
    <row r="319" customFormat="false" ht="15" hidden="false" customHeight="false" outlineLevel="0" collapsed="false">
      <c r="B319" s="38" t="s">
        <v>124</v>
      </c>
      <c r="C319" s="44" t="n">
        <f aca="false">SUM(C307:C318)</f>
        <v>107481.417472002</v>
      </c>
      <c r="D319" s="44" t="n">
        <f aca="false">SUM(D307:D318)</f>
        <v>19346.6551449603</v>
      </c>
      <c r="E319" s="44" t="n">
        <f aca="false">SUM(E307:E318)</f>
        <v>126828.072616962</v>
      </c>
    </row>
  </sheetData>
  <mergeCells count="39">
    <mergeCell ref="A1:K1"/>
    <mergeCell ref="A2:K2"/>
    <mergeCell ref="C10:G10"/>
    <mergeCell ref="C11:G11"/>
    <mergeCell ref="A13:K13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I35:K35"/>
    <mergeCell ref="I36:K36"/>
    <mergeCell ref="I37:K37"/>
    <mergeCell ref="I38:K38"/>
    <mergeCell ref="I39:K39"/>
    <mergeCell ref="I40:K40"/>
    <mergeCell ref="I41:K41"/>
    <mergeCell ref="I42:K42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A69:K69"/>
    <mergeCell ref="A89:K89"/>
    <mergeCell ref="A130:K130"/>
  </mergeCells>
  <dataValidations count="2">
    <dataValidation allowBlank="true" errorStyle="stop" operator="between" showDropDown="false" showErrorMessage="false" showInputMessage="false" sqref="E59:E62" type="list">
      <formula1>"MPI,No es materia prima"</formula1>
      <formula2>0</formula2>
    </dataValidation>
    <dataValidation allowBlank="true" errorStyle="stop" operator="between" showDropDown="false" showErrorMessage="false" showInputMessage="false" sqref="F59:F62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9" min="4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25.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3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15" hidden="false" customHeight="false" outlineLevel="0" collapsed="false">
      <c r="B4" s="8" t="s">
        <v>30</v>
      </c>
    </row>
    <row r="5" customFormat="false" ht="15" hidden="false" customHeight="false" outlineLevel="0" collapsed="false">
      <c r="B5" s="14" t="s">
        <v>327</v>
      </c>
    </row>
    <row r="6" customFormat="false" ht="15" hidden="false" customHeight="false" outlineLevel="0" collapsed="false">
      <c r="B6" s="14" t="s">
        <v>328</v>
      </c>
    </row>
    <row r="7" customFormat="false" ht="15" hidden="false" customHeight="false" outlineLevel="0" collapsed="false">
      <c r="B7" s="14" t="s">
        <v>329</v>
      </c>
    </row>
    <row r="9" customFormat="false" ht="15" hidden="false" customHeight="false" outlineLevel="0" collapsed="false">
      <c r="B9" s="11" t="s">
        <v>34</v>
      </c>
      <c r="C9" s="15" t="n">
        <v>0.18</v>
      </c>
    </row>
    <row r="10" customFormat="false" ht="15" hidden="false" customHeight="false" outlineLevel="0" collapsed="false">
      <c r="B10" s="11" t="s">
        <v>35</v>
      </c>
      <c r="C10" s="10" t="s">
        <v>330</v>
      </c>
      <c r="D10" s="10"/>
      <c r="E10" s="10"/>
      <c r="F10" s="10"/>
      <c r="G10" s="10"/>
    </row>
    <row r="11" customFormat="false" ht="15" hidden="false" customHeight="false" outlineLevel="0" collapsed="false">
      <c r="B11" s="11" t="s">
        <v>37</v>
      </c>
      <c r="C11" s="10" t="s">
        <v>331</v>
      </c>
      <c r="D11" s="10"/>
      <c r="E11" s="10"/>
      <c r="F11" s="10"/>
      <c r="G11" s="10"/>
    </row>
    <row r="13" customFormat="false" ht="19.5" hidden="false" customHeight="true" outlineLevel="0" collapsed="false">
      <c r="A13" s="16" t="s">
        <v>39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B14" s="17" t="s">
        <v>40</v>
      </c>
    </row>
    <row r="16" customFormat="false" ht="15" hidden="false" customHeight="false" outlineLevel="0" collapsed="false">
      <c r="B16" s="18" t="s">
        <v>41</v>
      </c>
    </row>
    <row r="17" customFormat="false" ht="31.5" hidden="false" customHeight="true" outlineLevel="0" collapsed="false">
      <c r="A17" s="5" t="s">
        <v>42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</row>
    <row r="18" customFormat="false" ht="30" hidden="false" customHeight="true" outlineLevel="0" collapsed="false">
      <c r="A18" s="19" t="n">
        <v>1</v>
      </c>
      <c r="B18" s="20" t="s">
        <v>332</v>
      </c>
      <c r="C18" s="20" t="s">
        <v>284</v>
      </c>
      <c r="D18" s="21" t="n">
        <v>50</v>
      </c>
      <c r="E18" s="19" t="s">
        <v>164</v>
      </c>
      <c r="F18" s="22" t="n">
        <v>205</v>
      </c>
      <c r="G18" s="23" t="s">
        <v>55</v>
      </c>
      <c r="H18" s="24" t="n">
        <f aca="false">IF(G18="Sí",F18/(1+$C$9),F18)</f>
        <v>173.728813559322</v>
      </c>
      <c r="I18" s="25" t="n">
        <f aca="false">H18/D18</f>
        <v>3.47457627118644</v>
      </c>
      <c r="J18" s="26" t="s">
        <v>282</v>
      </c>
      <c r="K18" s="26"/>
    </row>
    <row r="19" customFormat="false" ht="30" hidden="false" customHeight="true" outlineLevel="0" collapsed="false">
      <c r="A19" s="19" t="n">
        <v>2</v>
      </c>
      <c r="B19" s="20" t="s">
        <v>333</v>
      </c>
      <c r="C19" s="20" t="s">
        <v>284</v>
      </c>
      <c r="D19" s="21" t="n">
        <v>50</v>
      </c>
      <c r="E19" s="19" t="s">
        <v>164</v>
      </c>
      <c r="F19" s="22" t="n">
        <v>195</v>
      </c>
      <c r="G19" s="23" t="s">
        <v>55</v>
      </c>
      <c r="H19" s="24" t="n">
        <f aca="false">IF(G19="Sí",F19/(1+$C$9),F19)</f>
        <v>165.254237288136</v>
      </c>
      <c r="I19" s="25" t="n">
        <f aca="false">H19/D19</f>
        <v>3.30508474576271</v>
      </c>
      <c r="J19" s="26" t="s">
        <v>282</v>
      </c>
      <c r="K19" s="26"/>
    </row>
    <row r="20" customFormat="false" ht="30" hidden="false" customHeight="true" outlineLevel="0" collapsed="false">
      <c r="A20" s="19" t="n">
        <v>3</v>
      </c>
      <c r="B20" s="20" t="s">
        <v>334</v>
      </c>
      <c r="C20" s="20" t="s">
        <v>335</v>
      </c>
      <c r="D20" s="21" t="n">
        <v>180</v>
      </c>
      <c r="E20" s="19" t="s">
        <v>72</v>
      </c>
      <c r="F20" s="22" t="n">
        <v>99</v>
      </c>
      <c r="G20" s="23" t="s">
        <v>336</v>
      </c>
      <c r="H20" s="24" t="n">
        <f aca="false">IF(G20="Sí",F20/(1+$C$9),F20)</f>
        <v>99</v>
      </c>
      <c r="I20" s="25" t="n">
        <f aca="false">H20/D20</f>
        <v>0.55</v>
      </c>
      <c r="J20" s="26" t="s">
        <v>337</v>
      </c>
      <c r="K20" s="26"/>
    </row>
    <row r="21" customFormat="false" ht="30" hidden="false" customHeight="true" outlineLevel="0" collapsed="false">
      <c r="A21" s="19" t="n">
        <v>4</v>
      </c>
      <c r="B21" s="20" t="s">
        <v>338</v>
      </c>
      <c r="C21" s="20" t="s">
        <v>339</v>
      </c>
      <c r="D21" s="21" t="n">
        <v>10</v>
      </c>
      <c r="E21" s="19" t="s">
        <v>164</v>
      </c>
      <c r="F21" s="22" t="n">
        <v>125</v>
      </c>
      <c r="G21" s="23" t="s">
        <v>55</v>
      </c>
      <c r="H21" s="24" t="n">
        <f aca="false">IF(G21="Sí",F21/(1+$C$9),F21)</f>
        <v>105.932203389831</v>
      </c>
      <c r="I21" s="25" t="n">
        <f aca="false">H21/D21</f>
        <v>10.5932203389831</v>
      </c>
      <c r="J21" s="26" t="s">
        <v>282</v>
      </c>
      <c r="K21" s="26"/>
    </row>
    <row r="22" customFormat="false" ht="30" hidden="false" customHeight="true" outlineLevel="0" collapsed="false">
      <c r="A22" s="19" t="n">
        <v>5</v>
      </c>
      <c r="B22" s="20" t="s">
        <v>340</v>
      </c>
      <c r="C22" s="20" t="s">
        <v>341</v>
      </c>
      <c r="D22" s="21" t="n">
        <v>20</v>
      </c>
      <c r="E22" s="19" t="s">
        <v>164</v>
      </c>
      <c r="F22" s="22" t="n">
        <v>70</v>
      </c>
      <c r="G22" s="23" t="s">
        <v>336</v>
      </c>
      <c r="H22" s="24" t="n">
        <f aca="false">IF(G22="Sí",F22/(1+$C$9),F22)</f>
        <v>70</v>
      </c>
      <c r="I22" s="25" t="n">
        <f aca="false">H22/D22</f>
        <v>3.5</v>
      </c>
      <c r="J22" s="26" t="s">
        <v>337</v>
      </c>
      <c r="K22" s="26"/>
    </row>
    <row r="23" customFormat="false" ht="30" hidden="false" customHeight="true" outlineLevel="0" collapsed="false">
      <c r="A23" s="19" t="n">
        <v>6</v>
      </c>
      <c r="B23" s="20" t="s">
        <v>342</v>
      </c>
      <c r="C23" s="20" t="s">
        <v>343</v>
      </c>
      <c r="D23" s="21" t="n">
        <v>19.2</v>
      </c>
      <c r="E23" s="19" t="s">
        <v>164</v>
      </c>
      <c r="F23" s="22" t="n">
        <v>175</v>
      </c>
      <c r="G23" s="23" t="s">
        <v>55</v>
      </c>
      <c r="H23" s="24" t="n">
        <f aca="false">IF(G23="Sí",F23/(1+$C$9),F23)</f>
        <v>148.305084745763</v>
      </c>
      <c r="I23" s="25" t="n">
        <f aca="false">H23/D23</f>
        <v>7.72422316384181</v>
      </c>
      <c r="J23" s="26" t="s">
        <v>282</v>
      </c>
      <c r="K23" s="26"/>
    </row>
    <row r="24" customFormat="false" ht="30" hidden="false" customHeight="true" outlineLevel="0" collapsed="false">
      <c r="A24" s="19" t="n">
        <v>7</v>
      </c>
      <c r="B24" s="20" t="s">
        <v>344</v>
      </c>
      <c r="C24" s="20" t="s">
        <v>299</v>
      </c>
      <c r="D24" s="21" t="n">
        <v>50</v>
      </c>
      <c r="E24" s="19" t="s">
        <v>72</v>
      </c>
      <c r="F24" s="22" t="n">
        <v>48</v>
      </c>
      <c r="G24" s="23" t="s">
        <v>55</v>
      </c>
      <c r="H24" s="24" t="n">
        <f aca="false">IF(G24="Sí",F24/(1+$C$9),F24)</f>
        <v>40.6779661016949</v>
      </c>
      <c r="I24" s="25" t="n">
        <f aca="false">H24/D24</f>
        <v>0.813559322033898</v>
      </c>
      <c r="J24" s="26" t="s">
        <v>173</v>
      </c>
      <c r="K24" s="26"/>
    </row>
    <row r="25" customFormat="false" ht="30" hidden="false" customHeight="true" outlineLevel="0" collapsed="false">
      <c r="A25" s="19" t="n">
        <v>8</v>
      </c>
      <c r="B25" s="20" t="s">
        <v>345</v>
      </c>
      <c r="C25" s="20" t="s">
        <v>346</v>
      </c>
      <c r="D25" s="21" t="n">
        <v>25</v>
      </c>
      <c r="E25" s="19" t="s">
        <v>72</v>
      </c>
      <c r="F25" s="22" t="n">
        <v>45</v>
      </c>
      <c r="G25" s="23" t="s">
        <v>55</v>
      </c>
      <c r="H25" s="24" t="n">
        <f aca="false">IF(G25="Sí",F25/(1+$C$9),F25)</f>
        <v>38.135593220339</v>
      </c>
      <c r="I25" s="25" t="n">
        <f aca="false">H25/D25</f>
        <v>1.52542372881356</v>
      </c>
      <c r="J25" s="26" t="s">
        <v>173</v>
      </c>
      <c r="K25" s="26"/>
    </row>
    <row r="26" customFormat="false" ht="30" hidden="false" customHeight="true" outlineLevel="0" collapsed="false">
      <c r="A26" s="19" t="n">
        <v>9</v>
      </c>
      <c r="B26" s="20" t="s">
        <v>347</v>
      </c>
      <c r="C26" s="20" t="s">
        <v>348</v>
      </c>
      <c r="D26" s="21" t="n">
        <v>500</v>
      </c>
      <c r="E26" s="19" t="s">
        <v>72</v>
      </c>
      <c r="F26" s="22" t="n">
        <v>22</v>
      </c>
      <c r="G26" s="23" t="s">
        <v>55</v>
      </c>
      <c r="H26" s="24" t="n">
        <f aca="false">IF(G26="Sí",F26/(1+$C$9),F26)</f>
        <v>18.6440677966102</v>
      </c>
      <c r="I26" s="25" t="n">
        <f aca="false">H26/D26</f>
        <v>0.0372881355932203</v>
      </c>
      <c r="J26" s="26" t="s">
        <v>173</v>
      </c>
      <c r="K26" s="26"/>
    </row>
    <row r="27" customFormat="false" ht="30" hidden="false" customHeight="true" outlineLevel="0" collapsed="false">
      <c r="A27" s="19" t="n">
        <v>10</v>
      </c>
      <c r="B27" s="20" t="s">
        <v>349</v>
      </c>
      <c r="C27" s="20" t="s">
        <v>350</v>
      </c>
      <c r="D27" s="21" t="n">
        <v>100</v>
      </c>
      <c r="E27" s="19" t="s">
        <v>72</v>
      </c>
      <c r="F27" s="22" t="n">
        <v>12</v>
      </c>
      <c r="G27" s="23" t="s">
        <v>55</v>
      </c>
      <c r="H27" s="24" t="n">
        <f aca="false">IF(G27="Sí",F27/(1+$C$9),F27)</f>
        <v>10.1694915254237</v>
      </c>
      <c r="I27" s="25" t="n">
        <f aca="false">H27/D27</f>
        <v>0.101694915254237</v>
      </c>
      <c r="J27" s="26" t="s">
        <v>173</v>
      </c>
      <c r="K27" s="26"/>
    </row>
    <row r="28" customFormat="false" ht="30" hidden="false" customHeight="true" outlineLevel="0" collapsed="false">
      <c r="A28" s="19" t="n">
        <v>11</v>
      </c>
      <c r="B28" s="20" t="s">
        <v>351</v>
      </c>
      <c r="C28" s="20" t="s">
        <v>288</v>
      </c>
      <c r="D28" s="21" t="n">
        <v>1</v>
      </c>
      <c r="E28" s="19" t="s">
        <v>295</v>
      </c>
      <c r="F28" s="22" t="n">
        <v>19</v>
      </c>
      <c r="G28" s="23" t="s">
        <v>55</v>
      </c>
      <c r="H28" s="24" t="n">
        <f aca="false">IF(G28="Sí",F28/(1+$C$9),F28)</f>
        <v>16.1016949152542</v>
      </c>
      <c r="I28" s="25" t="n">
        <f aca="false">H28/D28</f>
        <v>16.1016949152542</v>
      </c>
      <c r="J28" s="26" t="s">
        <v>286</v>
      </c>
      <c r="K28" s="26"/>
    </row>
    <row r="29" customFormat="false" ht="30" hidden="false" customHeight="true" outlineLevel="0" collapsed="false">
      <c r="A29" s="19" t="n">
        <v>12</v>
      </c>
      <c r="B29" s="20" t="s">
        <v>352</v>
      </c>
      <c r="C29" s="20" t="s">
        <v>353</v>
      </c>
      <c r="D29" s="21" t="n">
        <v>1</v>
      </c>
      <c r="E29" s="19" t="s">
        <v>295</v>
      </c>
      <c r="F29" s="22" t="n">
        <v>24</v>
      </c>
      <c r="G29" s="23" t="s">
        <v>55</v>
      </c>
      <c r="H29" s="24" t="n">
        <f aca="false">IF(G29="Sí",F29/(1+$C$9),F29)</f>
        <v>20.3389830508475</v>
      </c>
      <c r="I29" s="25" t="n">
        <f aca="false">H29/D29</f>
        <v>20.3389830508475</v>
      </c>
      <c r="J29" s="26" t="s">
        <v>286</v>
      </c>
      <c r="K29" s="26"/>
    </row>
    <row r="30" customFormat="false" ht="30" hidden="false" customHeight="true" outlineLevel="0" collapsed="false">
      <c r="A30" s="19" t="n">
        <v>13</v>
      </c>
      <c r="B30" s="20" t="s">
        <v>354</v>
      </c>
      <c r="C30" s="20" t="s">
        <v>355</v>
      </c>
      <c r="D30" s="21" t="n">
        <v>1</v>
      </c>
      <c r="E30" s="19" t="s">
        <v>356</v>
      </c>
      <c r="F30" s="22" t="n">
        <v>16</v>
      </c>
      <c r="G30" s="23" t="s">
        <v>55</v>
      </c>
      <c r="H30" s="24" t="n">
        <f aca="false">IF(G30="Sí",F30/(1+$C$9),F30)</f>
        <v>13.5593220338983</v>
      </c>
      <c r="I30" s="25" t="n">
        <f aca="false">H30/D30</f>
        <v>13.5593220338983</v>
      </c>
      <c r="J30" s="26" t="s">
        <v>286</v>
      </c>
      <c r="K30" s="26"/>
    </row>
    <row r="31" customFormat="false" ht="30" hidden="false" customHeight="true" outlineLevel="0" collapsed="false">
      <c r="A31" s="19" t="n">
        <v>14</v>
      </c>
      <c r="B31" s="20" t="s">
        <v>357</v>
      </c>
      <c r="C31" s="20" t="s">
        <v>163</v>
      </c>
      <c r="D31" s="21" t="n">
        <v>1</v>
      </c>
      <c r="E31" s="19" t="s">
        <v>295</v>
      </c>
      <c r="F31" s="22" t="n">
        <v>42</v>
      </c>
      <c r="G31" s="23" t="s">
        <v>55</v>
      </c>
      <c r="H31" s="24" t="n">
        <f aca="false">IF(G31="Sí",F31/(1+$C$9),F31)</f>
        <v>35.5932203389831</v>
      </c>
      <c r="I31" s="25" t="n">
        <f aca="false">H31/D31</f>
        <v>35.5932203389831</v>
      </c>
      <c r="J31" s="26" t="s">
        <v>286</v>
      </c>
      <c r="K31" s="26"/>
    </row>
    <row r="32" customFormat="false" ht="30" hidden="false" customHeight="true" outlineLevel="0" collapsed="false">
      <c r="A32" s="19" t="n">
        <v>15</v>
      </c>
      <c r="B32" s="20" t="s">
        <v>358</v>
      </c>
      <c r="C32" s="20" t="s">
        <v>68</v>
      </c>
      <c r="D32" s="21" t="n">
        <v>1</v>
      </c>
      <c r="E32" s="19" t="s">
        <v>69</v>
      </c>
      <c r="F32" s="22" t="n">
        <v>53.1</v>
      </c>
      <c r="G32" s="23" t="s">
        <v>55</v>
      </c>
      <c r="H32" s="24" t="n">
        <f aca="false">IF(G32="Sí",F32/(1+$C$9),F32)</f>
        <v>45</v>
      </c>
      <c r="I32" s="25" t="n">
        <f aca="false">H32/D32</f>
        <v>45</v>
      </c>
      <c r="J32" s="26" t="s">
        <v>286</v>
      </c>
      <c r="K32" s="26"/>
    </row>
    <row r="33" customFormat="false" ht="30" hidden="false" customHeight="true" outlineLevel="0" collapsed="false">
      <c r="A33" s="19" t="n">
        <v>16</v>
      </c>
      <c r="B33" s="20" t="s">
        <v>184</v>
      </c>
      <c r="C33" s="20" t="s">
        <v>71</v>
      </c>
      <c r="D33" s="21" t="n">
        <v>1000</v>
      </c>
      <c r="E33" s="19" t="s">
        <v>72</v>
      </c>
      <c r="F33" s="22" t="n">
        <v>295</v>
      </c>
      <c r="G33" s="23" t="s">
        <v>55</v>
      </c>
      <c r="H33" s="24" t="n">
        <f aca="false">IF(G33="Sí",F33/(1+$C$9),F33)</f>
        <v>250</v>
      </c>
      <c r="I33" s="25" t="n">
        <f aca="false">H33/D33</f>
        <v>0.25</v>
      </c>
      <c r="J33" s="26" t="s">
        <v>173</v>
      </c>
      <c r="K33" s="26"/>
    </row>
    <row r="34" customFormat="false" ht="30" hidden="false" customHeight="true" outlineLevel="0" collapsed="false">
      <c r="A34" s="19" t="n">
        <v>17</v>
      </c>
      <c r="B34" s="20" t="s">
        <v>74</v>
      </c>
      <c r="C34" s="20" t="s">
        <v>68</v>
      </c>
      <c r="D34" s="21" t="n">
        <v>1</v>
      </c>
      <c r="E34" s="19" t="s">
        <v>69</v>
      </c>
      <c r="F34" s="22" t="n">
        <v>70.8</v>
      </c>
      <c r="G34" s="23" t="s">
        <v>55</v>
      </c>
      <c r="H34" s="24" t="n">
        <f aca="false">IF(G34="Sí",F34/(1+$C$9),F34)</f>
        <v>60</v>
      </c>
      <c r="I34" s="25" t="n">
        <f aca="false">H34/D34</f>
        <v>60</v>
      </c>
      <c r="J34" s="26" t="s">
        <v>75</v>
      </c>
      <c r="K34" s="26"/>
    </row>
    <row r="35" customFormat="false" ht="15" hidden="false" customHeight="false" outlineLevel="0" collapsed="false">
      <c r="B35" s="27" t="s">
        <v>76</v>
      </c>
    </row>
    <row r="36" customFormat="false" ht="15" hidden="false" customHeight="false" outlineLevel="0" collapsed="false">
      <c r="B36" s="27" t="s">
        <v>77</v>
      </c>
    </row>
    <row r="38" customFormat="false" ht="15" hidden="false" customHeight="false" outlineLevel="0" collapsed="false">
      <c r="B38" s="28" t="s">
        <v>359</v>
      </c>
    </row>
    <row r="39" customFormat="false" ht="31.5" hidden="false" customHeight="true" outlineLevel="0" collapsed="false">
      <c r="A39" s="5" t="s">
        <v>42</v>
      </c>
      <c r="B39" s="5" t="s">
        <v>43</v>
      </c>
      <c r="C39" s="5" t="s">
        <v>46</v>
      </c>
      <c r="D39" s="5" t="s">
        <v>79</v>
      </c>
      <c r="E39" s="5" t="s">
        <v>80</v>
      </c>
      <c r="F39" s="5" t="s">
        <v>81</v>
      </c>
      <c r="G39" s="5" t="s">
        <v>50</v>
      </c>
      <c r="H39" s="5" t="s">
        <v>360</v>
      </c>
      <c r="I39" s="5" t="s">
        <v>83</v>
      </c>
      <c r="J39" s="5"/>
      <c r="K39" s="5"/>
    </row>
    <row r="40" customFormat="false" ht="30" hidden="false" customHeight="true" outlineLevel="0" collapsed="false">
      <c r="A40" s="19" t="n">
        <v>1</v>
      </c>
      <c r="B40" s="20" t="s">
        <v>332</v>
      </c>
      <c r="C40" s="19" t="s">
        <v>164</v>
      </c>
      <c r="D40" s="21" t="n">
        <v>0.5</v>
      </c>
      <c r="E40" s="29" t="n">
        <v>0.02</v>
      </c>
      <c r="F40" s="30" t="n">
        <f aca="false">D40/(1-E40)</f>
        <v>0.510204081632653</v>
      </c>
      <c r="G40" s="25" t="n">
        <f aca="false">I18</f>
        <v>3.47457627118644</v>
      </c>
      <c r="H40" s="25" t="n">
        <f aca="false">F40*G40</f>
        <v>1.77274299550329</v>
      </c>
      <c r="I40" s="26" t="s">
        <v>361</v>
      </c>
      <c r="J40" s="26"/>
      <c r="K40" s="26"/>
    </row>
    <row r="41" customFormat="false" ht="30" hidden="false" customHeight="true" outlineLevel="0" collapsed="false">
      <c r="A41" s="19" t="n">
        <v>2</v>
      </c>
      <c r="B41" s="20" t="s">
        <v>333</v>
      </c>
      <c r="C41" s="19" t="s">
        <v>164</v>
      </c>
      <c r="D41" s="21" t="n">
        <v>0.25</v>
      </c>
      <c r="E41" s="29" t="n">
        <v>0.01</v>
      </c>
      <c r="F41" s="30" t="n">
        <f aca="false">D41/(1-E41)</f>
        <v>0.252525252525253</v>
      </c>
      <c r="G41" s="25" t="n">
        <f aca="false">I19</f>
        <v>3.30508474576271</v>
      </c>
      <c r="H41" s="25" t="n">
        <f aca="false">F41*G41</f>
        <v>0.834617360041089</v>
      </c>
      <c r="I41" s="26" t="s">
        <v>362</v>
      </c>
      <c r="J41" s="26"/>
      <c r="K41" s="26"/>
    </row>
    <row r="42" customFormat="false" ht="30" hidden="false" customHeight="true" outlineLevel="0" collapsed="false">
      <c r="A42" s="19" t="n">
        <v>3</v>
      </c>
      <c r="B42" s="20" t="s">
        <v>334</v>
      </c>
      <c r="C42" s="19" t="s">
        <v>72</v>
      </c>
      <c r="D42" s="21" t="n">
        <v>4</v>
      </c>
      <c r="E42" s="29" t="n">
        <v>0.03</v>
      </c>
      <c r="F42" s="30" t="n">
        <f aca="false">D42/(1-E42)</f>
        <v>4.12371134020619</v>
      </c>
      <c r="G42" s="25" t="n">
        <f aca="false">I20</f>
        <v>0.55</v>
      </c>
      <c r="H42" s="25" t="n">
        <f aca="false">F42*G42</f>
        <v>2.2680412371134</v>
      </c>
      <c r="I42" s="26" t="s">
        <v>363</v>
      </c>
      <c r="J42" s="26"/>
      <c r="K42" s="26"/>
    </row>
    <row r="43" customFormat="false" ht="30" hidden="false" customHeight="true" outlineLevel="0" collapsed="false">
      <c r="A43" s="19" t="n">
        <v>4</v>
      </c>
      <c r="B43" s="20" t="s">
        <v>338</v>
      </c>
      <c r="C43" s="19" t="s">
        <v>164</v>
      </c>
      <c r="D43" s="21" t="n">
        <v>0.2</v>
      </c>
      <c r="E43" s="29" t="n">
        <v>0.01</v>
      </c>
      <c r="F43" s="30" t="n">
        <f aca="false">D43/(1-E43)</f>
        <v>0.202020202020202</v>
      </c>
      <c r="G43" s="25" t="n">
        <f aca="false">I21</f>
        <v>10.5932203389831</v>
      </c>
      <c r="H43" s="25" t="n">
        <f aca="false">F43*G43</f>
        <v>2.14004451292587</v>
      </c>
      <c r="I43" s="26" t="s">
        <v>364</v>
      </c>
      <c r="J43" s="26"/>
      <c r="K43" s="26"/>
    </row>
    <row r="44" customFormat="false" ht="30" hidden="false" customHeight="true" outlineLevel="0" collapsed="false">
      <c r="A44" s="19" t="n">
        <v>5</v>
      </c>
      <c r="B44" s="20" t="s">
        <v>340</v>
      </c>
      <c r="C44" s="19" t="s">
        <v>164</v>
      </c>
      <c r="D44" s="21" t="n">
        <v>0.55</v>
      </c>
      <c r="E44" s="29" t="n">
        <v>0.15</v>
      </c>
      <c r="F44" s="30" t="n">
        <f aca="false">D44/(1-E44)</f>
        <v>0.647058823529412</v>
      </c>
      <c r="G44" s="25" t="n">
        <f aca="false">I22</f>
        <v>3.5</v>
      </c>
      <c r="H44" s="25" t="n">
        <f aca="false">F44*G44</f>
        <v>2.26470588235294</v>
      </c>
      <c r="I44" s="26" t="s">
        <v>365</v>
      </c>
      <c r="J44" s="26"/>
      <c r="K44" s="26"/>
    </row>
    <row r="45" customFormat="false" ht="30" hidden="false" customHeight="true" outlineLevel="0" collapsed="false">
      <c r="A45" s="19" t="n">
        <v>6</v>
      </c>
      <c r="B45" s="20" t="s">
        <v>342</v>
      </c>
      <c r="C45" s="19" t="s">
        <v>164</v>
      </c>
      <c r="D45" s="21" t="n">
        <v>0.12</v>
      </c>
      <c r="E45" s="29" t="n">
        <v>0</v>
      </c>
      <c r="F45" s="30" t="n">
        <f aca="false">D45/(1-E45)</f>
        <v>0.12</v>
      </c>
      <c r="G45" s="25" t="n">
        <f aca="false">I23</f>
        <v>7.72422316384181</v>
      </c>
      <c r="H45" s="25" t="n">
        <f aca="false">F45*G45</f>
        <v>0.926906779661017</v>
      </c>
      <c r="I45" s="26" t="s">
        <v>366</v>
      </c>
      <c r="J45" s="26"/>
      <c r="K45" s="26"/>
    </row>
    <row r="46" customFormat="false" ht="30" hidden="false" customHeight="true" outlineLevel="0" collapsed="false">
      <c r="A46" s="19" t="n">
        <v>7</v>
      </c>
      <c r="B46" s="20" t="s">
        <v>344</v>
      </c>
      <c r="C46" s="19" t="s">
        <v>72</v>
      </c>
      <c r="D46" s="21" t="n">
        <v>1</v>
      </c>
      <c r="E46" s="29" t="n">
        <v>0.02</v>
      </c>
      <c r="F46" s="30" t="n">
        <f aca="false">D46/(1-E46)</f>
        <v>1.02040816326531</v>
      </c>
      <c r="G46" s="25" t="n">
        <f aca="false">I24</f>
        <v>0.813559322033898</v>
      </c>
      <c r="H46" s="25" t="n">
        <f aca="false">F46*G46</f>
        <v>0.830162573503978</v>
      </c>
      <c r="I46" s="26" t="s">
        <v>367</v>
      </c>
      <c r="J46" s="26"/>
      <c r="K46" s="26"/>
    </row>
    <row r="47" customFormat="false" ht="30" hidden="false" customHeight="true" outlineLevel="0" collapsed="false">
      <c r="A47" s="19" t="n">
        <v>8</v>
      </c>
      <c r="B47" s="20" t="s">
        <v>345</v>
      </c>
      <c r="C47" s="19" t="s">
        <v>72</v>
      </c>
      <c r="D47" s="21" t="n">
        <v>1</v>
      </c>
      <c r="E47" s="29" t="n">
        <v>0.02</v>
      </c>
      <c r="F47" s="30" t="n">
        <f aca="false">D47/(1-E47)</f>
        <v>1.02040816326531</v>
      </c>
      <c r="G47" s="25" t="n">
        <f aca="false">I25</f>
        <v>1.52542372881356</v>
      </c>
      <c r="H47" s="25" t="n">
        <f aca="false">F47*G47</f>
        <v>1.55655482531996</v>
      </c>
      <c r="I47" s="26" t="s">
        <v>368</v>
      </c>
      <c r="J47" s="26"/>
      <c r="K47" s="26"/>
    </row>
    <row r="48" customFormat="false" ht="25.5" hidden="false" customHeight="true" outlineLevel="0" collapsed="false">
      <c r="A48" s="31"/>
      <c r="B48" s="32" t="s">
        <v>369</v>
      </c>
      <c r="C48" s="31"/>
      <c r="D48" s="31"/>
      <c r="E48" s="31"/>
      <c r="F48" s="31"/>
      <c r="G48" s="31"/>
      <c r="H48" s="33" t="n">
        <f aca="false">SUM(H40:H47)</f>
        <v>12.5937761664215</v>
      </c>
    </row>
    <row r="50" customFormat="false" ht="15" hidden="false" customHeight="false" outlineLevel="0" collapsed="false">
      <c r="B50" s="28" t="s">
        <v>370</v>
      </c>
    </row>
    <row r="51" customFormat="false" ht="31.5" hidden="false" customHeight="true" outlineLevel="0" collapsed="false">
      <c r="A51" s="5" t="s">
        <v>42</v>
      </c>
      <c r="B51" s="5" t="s">
        <v>43</v>
      </c>
      <c r="C51" s="5" t="s">
        <v>46</v>
      </c>
      <c r="D51" s="5" t="s">
        <v>79</v>
      </c>
      <c r="E51" s="5" t="s">
        <v>80</v>
      </c>
      <c r="F51" s="5" t="s">
        <v>81</v>
      </c>
      <c r="G51" s="5" t="s">
        <v>50</v>
      </c>
      <c r="H51" s="5" t="s">
        <v>371</v>
      </c>
      <c r="I51" s="5" t="s">
        <v>83</v>
      </c>
      <c r="J51" s="5"/>
      <c r="K51" s="5"/>
    </row>
    <row r="52" customFormat="false" ht="30" hidden="false" customHeight="true" outlineLevel="0" collapsed="false">
      <c r="A52" s="19" t="n">
        <v>1</v>
      </c>
      <c r="B52" s="20" t="s">
        <v>332</v>
      </c>
      <c r="C52" s="19" t="s">
        <v>164</v>
      </c>
      <c r="D52" s="21" t="n">
        <v>0.04</v>
      </c>
      <c r="E52" s="29" t="n">
        <v>0.02</v>
      </c>
      <c r="F52" s="30" t="n">
        <f aca="false">D52/(1-E52)</f>
        <v>0.0408163265306123</v>
      </c>
      <c r="G52" s="25" t="n">
        <f aca="false">I18</f>
        <v>3.47457627118644</v>
      </c>
      <c r="H52" s="25" t="n">
        <f aca="false">F52*G52</f>
        <v>0.141819439640263</v>
      </c>
      <c r="I52" s="26" t="s">
        <v>361</v>
      </c>
      <c r="J52" s="26"/>
      <c r="K52" s="26"/>
    </row>
    <row r="53" customFormat="false" ht="30" hidden="false" customHeight="true" outlineLevel="0" collapsed="false">
      <c r="A53" s="19" t="n">
        <v>2</v>
      </c>
      <c r="B53" s="20" t="s">
        <v>333</v>
      </c>
      <c r="C53" s="19" t="s">
        <v>164</v>
      </c>
      <c r="D53" s="21" t="n">
        <v>0.022</v>
      </c>
      <c r="E53" s="29" t="n">
        <v>0.01</v>
      </c>
      <c r="F53" s="30" t="n">
        <f aca="false">D53/(1-E53)</f>
        <v>0.0222222222222222</v>
      </c>
      <c r="G53" s="25" t="n">
        <f aca="false">I19</f>
        <v>3.30508474576271</v>
      </c>
      <c r="H53" s="25" t="n">
        <f aca="false">F53*G53</f>
        <v>0.0734463276836158</v>
      </c>
      <c r="I53" s="26" t="s">
        <v>362</v>
      </c>
      <c r="J53" s="26"/>
      <c r="K53" s="26"/>
    </row>
    <row r="54" customFormat="false" ht="30" hidden="false" customHeight="true" outlineLevel="0" collapsed="false">
      <c r="A54" s="19" t="n">
        <v>3</v>
      </c>
      <c r="B54" s="20" t="s">
        <v>334</v>
      </c>
      <c r="C54" s="19" t="s">
        <v>72</v>
      </c>
      <c r="D54" s="21" t="n">
        <v>0.35</v>
      </c>
      <c r="E54" s="29" t="n">
        <v>0.03</v>
      </c>
      <c r="F54" s="30" t="n">
        <f aca="false">D54/(1-E54)</f>
        <v>0.360824742268041</v>
      </c>
      <c r="G54" s="25" t="n">
        <f aca="false">I20</f>
        <v>0.55</v>
      </c>
      <c r="H54" s="25" t="n">
        <f aca="false">F54*G54</f>
        <v>0.198453608247423</v>
      </c>
      <c r="I54" s="26" t="s">
        <v>363</v>
      </c>
      <c r="J54" s="26"/>
      <c r="K54" s="26"/>
    </row>
    <row r="55" customFormat="false" ht="30" hidden="false" customHeight="true" outlineLevel="0" collapsed="false">
      <c r="A55" s="19" t="n">
        <v>4</v>
      </c>
      <c r="B55" s="20" t="s">
        <v>338</v>
      </c>
      <c r="C55" s="19" t="s">
        <v>164</v>
      </c>
      <c r="D55" s="21" t="n">
        <v>0.016</v>
      </c>
      <c r="E55" s="29" t="n">
        <v>0.01</v>
      </c>
      <c r="F55" s="30" t="n">
        <f aca="false">D55/(1-E55)</f>
        <v>0.0161616161616162</v>
      </c>
      <c r="G55" s="25" t="n">
        <f aca="false">I21</f>
        <v>10.5932203389831</v>
      </c>
      <c r="H55" s="25" t="n">
        <f aca="false">F55*G55</f>
        <v>0.17120356103407</v>
      </c>
      <c r="I55" s="26" t="s">
        <v>364</v>
      </c>
      <c r="J55" s="26"/>
      <c r="K55" s="26"/>
    </row>
    <row r="56" customFormat="false" ht="30" hidden="false" customHeight="true" outlineLevel="0" collapsed="false">
      <c r="A56" s="19" t="n">
        <v>5</v>
      </c>
      <c r="B56" s="20" t="s">
        <v>340</v>
      </c>
      <c r="C56" s="19" t="s">
        <v>164</v>
      </c>
      <c r="D56" s="21" t="n">
        <v>0.042</v>
      </c>
      <c r="E56" s="29" t="n">
        <v>0.15</v>
      </c>
      <c r="F56" s="30" t="n">
        <f aca="false">D56/(1-E56)</f>
        <v>0.0494117647058824</v>
      </c>
      <c r="G56" s="25" t="n">
        <f aca="false">I22</f>
        <v>3.5</v>
      </c>
      <c r="H56" s="25" t="n">
        <f aca="false">F56*G56</f>
        <v>0.172941176470588</v>
      </c>
      <c r="I56" s="26" t="s">
        <v>365</v>
      </c>
      <c r="J56" s="26"/>
      <c r="K56" s="26"/>
    </row>
    <row r="57" customFormat="false" ht="30" hidden="false" customHeight="true" outlineLevel="0" collapsed="false">
      <c r="A57" s="19" t="n">
        <v>6</v>
      </c>
      <c r="B57" s="20" t="s">
        <v>342</v>
      </c>
      <c r="C57" s="19" t="s">
        <v>164</v>
      </c>
      <c r="D57" s="21" t="n">
        <v>0.01</v>
      </c>
      <c r="E57" s="29" t="n">
        <v>0</v>
      </c>
      <c r="F57" s="30" t="n">
        <f aca="false">D57/(1-E57)</f>
        <v>0.01</v>
      </c>
      <c r="G57" s="25" t="n">
        <f aca="false">I23</f>
        <v>7.72422316384181</v>
      </c>
      <c r="H57" s="25" t="n">
        <f aca="false">F57*G57</f>
        <v>0.0772422316384181</v>
      </c>
      <c r="I57" s="26" t="s">
        <v>366</v>
      </c>
      <c r="J57" s="26"/>
      <c r="K57" s="26"/>
    </row>
    <row r="58" customFormat="false" ht="30" hidden="false" customHeight="true" outlineLevel="0" collapsed="false">
      <c r="A58" s="19" t="n">
        <v>7</v>
      </c>
      <c r="B58" s="20" t="s">
        <v>347</v>
      </c>
      <c r="C58" s="19" t="s">
        <v>72</v>
      </c>
      <c r="D58" s="21" t="n">
        <v>1</v>
      </c>
      <c r="E58" s="29" t="n">
        <v>0.03</v>
      </c>
      <c r="F58" s="30" t="n">
        <f aca="false">D58/(1-E58)</f>
        <v>1.03092783505155</v>
      </c>
      <c r="G58" s="25" t="n">
        <f aca="false">I26</f>
        <v>0.0372881355932203</v>
      </c>
      <c r="H58" s="25" t="n">
        <f aca="false">F58*G58</f>
        <v>0.0384413769002272</v>
      </c>
      <c r="I58" s="26" t="s">
        <v>372</v>
      </c>
      <c r="J58" s="26"/>
      <c r="K58" s="26"/>
    </row>
    <row r="59" customFormat="false" ht="30" hidden="false" customHeight="true" outlineLevel="0" collapsed="false">
      <c r="A59" s="19" t="n">
        <v>8</v>
      </c>
      <c r="B59" s="20" t="s">
        <v>349</v>
      </c>
      <c r="C59" s="19" t="s">
        <v>72</v>
      </c>
      <c r="D59" s="21" t="n">
        <v>1</v>
      </c>
      <c r="E59" s="29" t="n">
        <v>0.02</v>
      </c>
      <c r="F59" s="30" t="n">
        <f aca="false">D59/(1-E59)</f>
        <v>1.02040816326531</v>
      </c>
      <c r="G59" s="25" t="n">
        <f aca="false">I27</f>
        <v>0.101694915254237</v>
      </c>
      <c r="H59" s="25" t="n">
        <f aca="false">F59*G59</f>
        <v>0.103770321687997</v>
      </c>
      <c r="I59" s="26" t="s">
        <v>373</v>
      </c>
      <c r="J59" s="26"/>
      <c r="K59" s="26"/>
    </row>
    <row r="60" customFormat="false" ht="25.5" hidden="false" customHeight="true" outlineLevel="0" collapsed="false">
      <c r="A60" s="31"/>
      <c r="B60" s="32" t="s">
        <v>374</v>
      </c>
      <c r="C60" s="31"/>
      <c r="D60" s="31"/>
      <c r="E60" s="31"/>
      <c r="F60" s="31"/>
      <c r="G60" s="31"/>
      <c r="H60" s="33" t="n">
        <f aca="false">SUM(H52:H59)</f>
        <v>0.977318043302602</v>
      </c>
    </row>
    <row r="62" customFormat="false" ht="15" hidden="false" customHeight="false" outlineLevel="0" collapsed="false">
      <c r="B62" s="28" t="s">
        <v>91</v>
      </c>
    </row>
    <row r="63" customFormat="false" ht="31.5" hidden="false" customHeight="true" outlineLevel="0" collapsed="false">
      <c r="A63" s="5" t="s">
        <v>42</v>
      </c>
      <c r="B63" s="5" t="s">
        <v>43</v>
      </c>
      <c r="C63" s="5" t="s">
        <v>92</v>
      </c>
      <c r="D63" s="5" t="s">
        <v>46</v>
      </c>
      <c r="E63" s="5" t="s">
        <v>93</v>
      </c>
      <c r="F63" s="5" t="s">
        <v>94</v>
      </c>
      <c r="G63" s="5" t="s">
        <v>95</v>
      </c>
    </row>
    <row r="64" customFormat="false" ht="25.5" hidden="false" customHeight="true" outlineLevel="0" collapsed="false">
      <c r="A64" s="19" t="n">
        <v>1</v>
      </c>
      <c r="B64" s="20" t="s">
        <v>351</v>
      </c>
      <c r="C64" s="34" t="n">
        <v>1</v>
      </c>
      <c r="D64" s="19" t="s">
        <v>295</v>
      </c>
      <c r="E64" s="35" t="s">
        <v>96</v>
      </c>
      <c r="F64" s="35" t="s">
        <v>97</v>
      </c>
      <c r="G64" s="24" t="n">
        <f aca="false">C64*I28</f>
        <v>16.1016949152542</v>
      </c>
    </row>
    <row r="65" customFormat="false" ht="25.5" hidden="false" customHeight="true" outlineLevel="0" collapsed="false">
      <c r="A65" s="19" t="n">
        <v>2</v>
      </c>
      <c r="B65" s="20" t="s">
        <v>352</v>
      </c>
      <c r="C65" s="34" t="n">
        <v>1</v>
      </c>
      <c r="D65" s="19" t="s">
        <v>295</v>
      </c>
      <c r="E65" s="35" t="s">
        <v>96</v>
      </c>
      <c r="F65" s="35" t="s">
        <v>97</v>
      </c>
      <c r="G65" s="24" t="n">
        <f aca="false">C65*I29</f>
        <v>20.3389830508475</v>
      </c>
    </row>
    <row r="66" customFormat="false" ht="25.5" hidden="false" customHeight="true" outlineLevel="0" collapsed="false">
      <c r="A66" s="19" t="n">
        <v>3</v>
      </c>
      <c r="B66" s="20" t="s">
        <v>354</v>
      </c>
      <c r="C66" s="34" t="n">
        <v>1</v>
      </c>
      <c r="D66" s="19" t="s">
        <v>356</v>
      </c>
      <c r="E66" s="35" t="s">
        <v>96</v>
      </c>
      <c r="F66" s="35" t="s">
        <v>97</v>
      </c>
      <c r="G66" s="24" t="n">
        <f aca="false">C66*I30</f>
        <v>13.5593220338983</v>
      </c>
    </row>
    <row r="67" customFormat="false" ht="25.5" hidden="false" customHeight="true" outlineLevel="0" collapsed="false">
      <c r="A67" s="19" t="n">
        <v>4</v>
      </c>
      <c r="B67" s="20" t="s">
        <v>357</v>
      </c>
      <c r="C67" s="34" t="n">
        <v>1</v>
      </c>
      <c r="D67" s="19" t="s">
        <v>295</v>
      </c>
      <c r="E67" s="35" t="s">
        <v>96</v>
      </c>
      <c r="F67" s="35" t="s">
        <v>97</v>
      </c>
      <c r="G67" s="24" t="n">
        <f aca="false">C67*I31</f>
        <v>35.5932203389831</v>
      </c>
    </row>
    <row r="68" customFormat="false" ht="25.5" hidden="false" customHeight="true" outlineLevel="0" collapsed="false">
      <c r="A68" s="19" t="n">
        <v>5</v>
      </c>
      <c r="B68" s="20" t="s">
        <v>358</v>
      </c>
      <c r="C68" s="34" t="n">
        <v>1</v>
      </c>
      <c r="D68" s="19" t="s">
        <v>69</v>
      </c>
      <c r="E68" s="35" t="s">
        <v>96</v>
      </c>
      <c r="F68" s="35" t="s">
        <v>97</v>
      </c>
      <c r="G68" s="24" t="n">
        <f aca="false">C68*I32</f>
        <v>45</v>
      </c>
    </row>
    <row r="69" customFormat="false" ht="25.5" hidden="false" customHeight="true" outlineLevel="0" collapsed="false">
      <c r="A69" s="19" t="n">
        <v>6</v>
      </c>
      <c r="B69" s="20" t="s">
        <v>184</v>
      </c>
      <c r="C69" s="34" t="n">
        <v>900</v>
      </c>
      <c r="D69" s="19" t="s">
        <v>72</v>
      </c>
      <c r="E69" s="35" t="s">
        <v>98</v>
      </c>
      <c r="F69" s="35" t="s">
        <v>99</v>
      </c>
      <c r="G69" s="24" t="n">
        <f aca="false">C69*I33</f>
        <v>225</v>
      </c>
    </row>
    <row r="70" customFormat="false" ht="25.5" hidden="false" customHeight="true" outlineLevel="0" collapsed="false">
      <c r="A70" s="19" t="n">
        <v>7</v>
      </c>
      <c r="B70" s="20" t="s">
        <v>74</v>
      </c>
      <c r="C70" s="34" t="n">
        <v>1</v>
      </c>
      <c r="D70" s="19" t="s">
        <v>69</v>
      </c>
      <c r="E70" s="35" t="s">
        <v>98</v>
      </c>
      <c r="F70" s="35" t="s">
        <v>100</v>
      </c>
      <c r="G70" s="24" t="n">
        <f aca="false">C70*I34</f>
        <v>60</v>
      </c>
    </row>
    <row r="72" customFormat="false" ht="25.5" hidden="false" customHeight="true" outlineLevel="0" collapsed="false">
      <c r="B72" s="6" t="s">
        <v>101</v>
      </c>
      <c r="C72" s="36" t="n">
        <f aca="false">SUMIF(F64:F70,"CIF",G64:G70)</f>
        <v>130.593220338983</v>
      </c>
    </row>
    <row r="73" customFormat="false" ht="25.5" hidden="false" customHeight="true" outlineLevel="0" collapsed="false">
      <c r="B73" s="6" t="s">
        <v>102</v>
      </c>
      <c r="C73" s="36" t="n">
        <f aca="false">SUMIF(F64:F70,"Gasto administrativo",G64:G70)</f>
        <v>60</v>
      </c>
    </row>
    <row r="74" customFormat="false" ht="25.5" hidden="false" customHeight="true" outlineLevel="0" collapsed="false">
      <c r="B74" s="6" t="s">
        <v>103</v>
      </c>
      <c r="C74" s="36" t="n">
        <f aca="false">SUMIF(F64:F70,"Gasto de ventas",G64:G70)</f>
        <v>225</v>
      </c>
    </row>
    <row r="75" customFormat="false" ht="15" hidden="false" customHeight="false" outlineLevel="0" collapsed="false">
      <c r="B75" s="27" t="s">
        <v>104</v>
      </c>
    </row>
    <row r="77" customFormat="false" ht="19.5" hidden="false" customHeight="true" outlineLevel="0" collapsed="false">
      <c r="A77" s="16" t="s">
        <v>105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customFormat="false" ht="15" hidden="false" customHeight="false" outlineLevel="0" collapsed="false">
      <c r="B78" s="17" t="s">
        <v>106</v>
      </c>
    </row>
    <row r="79" customFormat="false" ht="15" hidden="false" customHeight="false" outlineLevel="0" collapsed="false">
      <c r="B79" s="28" t="s">
        <v>107</v>
      </c>
    </row>
    <row r="80" customFormat="false" ht="30" hidden="false" customHeight="true" outlineLevel="0" collapsed="false">
      <c r="B80" s="5" t="s">
        <v>108</v>
      </c>
      <c r="C80" s="5" t="s">
        <v>375</v>
      </c>
      <c r="D80" s="5" t="s">
        <v>376</v>
      </c>
      <c r="E80" s="5" t="s">
        <v>111</v>
      </c>
    </row>
    <row r="81" customFormat="false" ht="15" hidden="false" customHeight="false" outlineLevel="0" collapsed="false">
      <c r="B81" s="10" t="s">
        <v>112</v>
      </c>
      <c r="C81" s="34" t="n">
        <v>260</v>
      </c>
      <c r="D81" s="34" t="n">
        <v>1500</v>
      </c>
      <c r="E81" s="37" t="n">
        <f aca="false">C81+D81</f>
        <v>1760</v>
      </c>
    </row>
    <row r="82" customFormat="false" ht="15" hidden="false" customHeight="false" outlineLevel="0" collapsed="false">
      <c r="B82" s="10" t="s">
        <v>113</v>
      </c>
      <c r="C82" s="34" t="n">
        <v>250</v>
      </c>
      <c r="D82" s="34" t="n">
        <v>1400</v>
      </c>
      <c r="E82" s="37" t="n">
        <f aca="false">C82+D82</f>
        <v>1650</v>
      </c>
    </row>
    <row r="83" customFormat="false" ht="15" hidden="false" customHeight="false" outlineLevel="0" collapsed="false">
      <c r="B83" s="10" t="s">
        <v>114</v>
      </c>
      <c r="C83" s="34" t="n">
        <v>280</v>
      </c>
      <c r="D83" s="34" t="n">
        <v>1700</v>
      </c>
      <c r="E83" s="37" t="n">
        <f aca="false">C83+D83</f>
        <v>1980</v>
      </c>
    </row>
    <row r="84" customFormat="false" ht="15" hidden="false" customHeight="false" outlineLevel="0" collapsed="false">
      <c r="B84" s="10" t="s">
        <v>115</v>
      </c>
      <c r="C84" s="34" t="n">
        <v>300</v>
      </c>
      <c r="D84" s="34" t="n">
        <v>1800</v>
      </c>
      <c r="E84" s="37" t="n">
        <f aca="false">C84+D84</f>
        <v>2100</v>
      </c>
    </row>
    <row r="85" customFormat="false" ht="15" hidden="false" customHeight="false" outlineLevel="0" collapsed="false">
      <c r="B85" s="10" t="s">
        <v>116</v>
      </c>
      <c r="C85" s="34" t="n">
        <v>420</v>
      </c>
      <c r="D85" s="34" t="n">
        <v>2000</v>
      </c>
      <c r="E85" s="37" t="n">
        <f aca="false">C85+D85</f>
        <v>2420</v>
      </c>
    </row>
    <row r="86" customFormat="false" ht="15" hidden="false" customHeight="false" outlineLevel="0" collapsed="false">
      <c r="B86" s="10" t="s">
        <v>117</v>
      </c>
      <c r="C86" s="34" t="n">
        <v>320</v>
      </c>
      <c r="D86" s="34" t="n">
        <v>1800</v>
      </c>
      <c r="E86" s="37" t="n">
        <f aca="false">C86+D86</f>
        <v>2120</v>
      </c>
    </row>
    <row r="87" customFormat="false" ht="15" hidden="false" customHeight="false" outlineLevel="0" collapsed="false">
      <c r="B87" s="10" t="s">
        <v>118</v>
      </c>
      <c r="C87" s="34" t="n">
        <v>330</v>
      </c>
      <c r="D87" s="34" t="n">
        <v>1700</v>
      </c>
      <c r="E87" s="37" t="n">
        <f aca="false">C87+D87</f>
        <v>2030</v>
      </c>
    </row>
    <row r="88" customFormat="false" ht="15" hidden="false" customHeight="false" outlineLevel="0" collapsed="false">
      <c r="B88" s="10" t="s">
        <v>119</v>
      </c>
      <c r="C88" s="34" t="n">
        <v>360</v>
      </c>
      <c r="D88" s="34" t="n">
        <v>1900</v>
      </c>
      <c r="E88" s="37" t="n">
        <f aca="false">C88+D88</f>
        <v>2260</v>
      </c>
    </row>
    <row r="89" customFormat="false" ht="15" hidden="false" customHeight="false" outlineLevel="0" collapsed="false">
      <c r="B89" s="10" t="s">
        <v>120</v>
      </c>
      <c r="C89" s="34" t="n">
        <v>300</v>
      </c>
      <c r="D89" s="34" t="n">
        <v>1800</v>
      </c>
      <c r="E89" s="37" t="n">
        <f aca="false">C89+D89</f>
        <v>2100</v>
      </c>
    </row>
    <row r="90" customFormat="false" ht="15" hidden="false" customHeight="false" outlineLevel="0" collapsed="false">
      <c r="B90" s="10" t="s">
        <v>121</v>
      </c>
      <c r="C90" s="34" t="n">
        <v>320</v>
      </c>
      <c r="D90" s="34" t="n">
        <v>1850</v>
      </c>
      <c r="E90" s="37" t="n">
        <f aca="false">C90+D90</f>
        <v>2170</v>
      </c>
    </row>
    <row r="91" customFormat="false" ht="15" hidden="false" customHeight="false" outlineLevel="0" collapsed="false">
      <c r="B91" s="10" t="s">
        <v>122</v>
      </c>
      <c r="C91" s="34" t="n">
        <v>340</v>
      </c>
      <c r="D91" s="34" t="n">
        <v>1900</v>
      </c>
      <c r="E91" s="37" t="n">
        <f aca="false">C91+D91</f>
        <v>2240</v>
      </c>
    </row>
    <row r="92" customFormat="false" ht="15" hidden="false" customHeight="false" outlineLevel="0" collapsed="false">
      <c r="B92" s="10" t="s">
        <v>123</v>
      </c>
      <c r="C92" s="34" t="n">
        <v>500</v>
      </c>
      <c r="D92" s="34" t="n">
        <v>2300</v>
      </c>
      <c r="E92" s="37" t="n">
        <f aca="false">C92+D92</f>
        <v>2800</v>
      </c>
    </row>
    <row r="93" customFormat="false" ht="15" hidden="false" customHeight="false" outlineLevel="0" collapsed="false">
      <c r="B93" s="38" t="s">
        <v>124</v>
      </c>
      <c r="C93" s="39" t="n">
        <f aca="false">SUM(C81:C92)</f>
        <v>3980</v>
      </c>
      <c r="D93" s="39" t="n">
        <f aca="false">SUM(D81:D92)</f>
        <v>21650</v>
      </c>
      <c r="E93" s="39" t="n">
        <f aca="false">SUM(E81:E92)</f>
        <v>25630</v>
      </c>
    </row>
    <row r="94" customFormat="false" ht="15" hidden="false" customHeight="false" outlineLevel="0" collapsed="false">
      <c r="B94" s="10" t="s">
        <v>125</v>
      </c>
      <c r="C94" s="34" t="n">
        <v>270</v>
      </c>
      <c r="D94" s="34" t="n">
        <v>1550</v>
      </c>
      <c r="E94" s="19" t="s">
        <v>126</v>
      </c>
    </row>
    <row r="95" customFormat="false" ht="15" hidden="false" customHeight="false" outlineLevel="0" collapsed="false">
      <c r="B95" s="10" t="s">
        <v>127</v>
      </c>
      <c r="C95" s="34" t="n">
        <v>255</v>
      </c>
      <c r="D95" s="34" t="n">
        <v>1450</v>
      </c>
      <c r="E95" s="19" t="s">
        <v>126</v>
      </c>
    </row>
    <row r="97" customFormat="false" ht="19.5" hidden="false" customHeight="true" outlineLevel="0" collapsed="false">
      <c r="A97" s="16" t="s">
        <v>128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customFormat="false" ht="15" hidden="false" customHeight="false" outlineLevel="0" collapsed="false">
      <c r="B98" s="17" t="s">
        <v>129</v>
      </c>
    </row>
    <row r="99" customFormat="false" ht="25.5" hidden="false" customHeight="true" outlineLevel="0" collapsed="false">
      <c r="B99" s="6" t="s">
        <v>198</v>
      </c>
      <c r="C99" s="29" t="n">
        <v>0.05</v>
      </c>
    </row>
    <row r="100" customFormat="false" ht="25.5" hidden="false" customHeight="true" outlineLevel="0" collapsed="false">
      <c r="B100" s="6" t="s">
        <v>377</v>
      </c>
      <c r="C100" s="34" t="n">
        <v>10</v>
      </c>
    </row>
    <row r="102" customFormat="false" ht="15" hidden="false" customHeight="false" outlineLevel="0" collapsed="false">
      <c r="B102" s="28" t="s">
        <v>378</v>
      </c>
    </row>
    <row r="103" customFormat="false" ht="31.5" hidden="false" customHeight="true" outlineLevel="0" collapsed="false">
      <c r="B103" s="5" t="s">
        <v>108</v>
      </c>
      <c r="C103" s="5" t="s">
        <v>201</v>
      </c>
      <c r="D103" s="5" t="s">
        <v>142</v>
      </c>
      <c r="E103" s="5" t="s">
        <v>202</v>
      </c>
      <c r="F103" s="5" t="s">
        <v>143</v>
      </c>
      <c r="G103" s="5" t="s">
        <v>203</v>
      </c>
    </row>
    <row r="104" customFormat="false" ht="15" hidden="false" customHeight="false" outlineLevel="0" collapsed="false">
      <c r="B104" s="10" t="s">
        <v>112</v>
      </c>
      <c r="C104" s="37" t="n">
        <f aca="false">C81</f>
        <v>260</v>
      </c>
      <c r="D104" s="37" t="n">
        <f aca="false">ROUND(C82*$C$99,0)</f>
        <v>13</v>
      </c>
      <c r="E104" s="37" t="n">
        <f aca="false">C104+D104</f>
        <v>273</v>
      </c>
      <c r="F104" s="37" t="n">
        <f aca="false">$C$100</f>
        <v>10</v>
      </c>
      <c r="G104" s="45" t="n">
        <f aca="false">E104-F104</f>
        <v>263</v>
      </c>
    </row>
    <row r="105" customFormat="false" ht="15" hidden="false" customHeight="false" outlineLevel="0" collapsed="false">
      <c r="B105" s="10" t="s">
        <v>113</v>
      </c>
      <c r="C105" s="37" t="n">
        <f aca="false">C82</f>
        <v>250</v>
      </c>
      <c r="D105" s="37" t="n">
        <f aca="false">ROUND(C83*$C$99,0)</f>
        <v>14</v>
      </c>
      <c r="E105" s="37" t="n">
        <f aca="false">C105+D105</f>
        <v>264</v>
      </c>
      <c r="F105" s="37" t="n">
        <f aca="false">D104</f>
        <v>13</v>
      </c>
      <c r="G105" s="45" t="n">
        <f aca="false">E105-F105</f>
        <v>251</v>
      </c>
    </row>
    <row r="106" customFormat="false" ht="15" hidden="false" customHeight="false" outlineLevel="0" collapsed="false">
      <c r="B106" s="10" t="s">
        <v>114</v>
      </c>
      <c r="C106" s="37" t="n">
        <f aca="false">C83</f>
        <v>280</v>
      </c>
      <c r="D106" s="37" t="n">
        <f aca="false">ROUND(C84*$C$99,0)</f>
        <v>15</v>
      </c>
      <c r="E106" s="37" t="n">
        <f aca="false">C106+D106</f>
        <v>295</v>
      </c>
      <c r="F106" s="37" t="n">
        <f aca="false">D105</f>
        <v>14</v>
      </c>
      <c r="G106" s="45" t="n">
        <f aca="false">E106-F106</f>
        <v>281</v>
      </c>
    </row>
    <row r="107" customFormat="false" ht="15" hidden="false" customHeight="false" outlineLevel="0" collapsed="false">
      <c r="B107" s="10" t="s">
        <v>115</v>
      </c>
      <c r="C107" s="37" t="n">
        <f aca="false">C84</f>
        <v>300</v>
      </c>
      <c r="D107" s="37" t="n">
        <f aca="false">ROUND(C85*$C$99,0)</f>
        <v>21</v>
      </c>
      <c r="E107" s="37" t="n">
        <f aca="false">C107+D107</f>
        <v>321</v>
      </c>
      <c r="F107" s="37" t="n">
        <f aca="false">D106</f>
        <v>15</v>
      </c>
      <c r="G107" s="45" t="n">
        <f aca="false">E107-F107</f>
        <v>306</v>
      </c>
    </row>
    <row r="108" customFormat="false" ht="15" hidden="false" customHeight="false" outlineLevel="0" collapsed="false">
      <c r="B108" s="10" t="s">
        <v>116</v>
      </c>
      <c r="C108" s="37" t="n">
        <f aca="false">C85</f>
        <v>420</v>
      </c>
      <c r="D108" s="37" t="n">
        <f aca="false">ROUND(C86*$C$99,0)</f>
        <v>16</v>
      </c>
      <c r="E108" s="37" t="n">
        <f aca="false">C108+D108</f>
        <v>436</v>
      </c>
      <c r="F108" s="37" t="n">
        <f aca="false">D107</f>
        <v>21</v>
      </c>
      <c r="G108" s="45" t="n">
        <f aca="false">E108-F108</f>
        <v>415</v>
      </c>
    </row>
    <row r="109" customFormat="false" ht="15" hidden="false" customHeight="false" outlineLevel="0" collapsed="false">
      <c r="B109" s="10" t="s">
        <v>117</v>
      </c>
      <c r="C109" s="37" t="n">
        <f aca="false">C86</f>
        <v>320</v>
      </c>
      <c r="D109" s="37" t="n">
        <f aca="false">ROUND(C87*$C$99,0)</f>
        <v>17</v>
      </c>
      <c r="E109" s="37" t="n">
        <f aca="false">C109+D109</f>
        <v>337</v>
      </c>
      <c r="F109" s="37" t="n">
        <f aca="false">D108</f>
        <v>16</v>
      </c>
      <c r="G109" s="45" t="n">
        <f aca="false">E109-F109</f>
        <v>321</v>
      </c>
    </row>
    <row r="110" customFormat="false" ht="15" hidden="false" customHeight="false" outlineLevel="0" collapsed="false">
      <c r="B110" s="10" t="s">
        <v>118</v>
      </c>
      <c r="C110" s="37" t="n">
        <f aca="false">C87</f>
        <v>330</v>
      </c>
      <c r="D110" s="37" t="n">
        <f aca="false">ROUND(C88*$C$99,0)</f>
        <v>18</v>
      </c>
      <c r="E110" s="37" t="n">
        <f aca="false">C110+D110</f>
        <v>348</v>
      </c>
      <c r="F110" s="37" t="n">
        <f aca="false">D109</f>
        <v>17</v>
      </c>
      <c r="G110" s="45" t="n">
        <f aca="false">E110-F110</f>
        <v>331</v>
      </c>
    </row>
    <row r="111" customFormat="false" ht="15" hidden="false" customHeight="false" outlineLevel="0" collapsed="false">
      <c r="B111" s="10" t="s">
        <v>119</v>
      </c>
      <c r="C111" s="37" t="n">
        <f aca="false">C88</f>
        <v>360</v>
      </c>
      <c r="D111" s="37" t="n">
        <f aca="false">ROUND(C89*$C$99,0)</f>
        <v>15</v>
      </c>
      <c r="E111" s="37" t="n">
        <f aca="false">C111+D111</f>
        <v>375</v>
      </c>
      <c r="F111" s="37" t="n">
        <f aca="false">D110</f>
        <v>18</v>
      </c>
      <c r="G111" s="45" t="n">
        <f aca="false">E111-F111</f>
        <v>357</v>
      </c>
    </row>
    <row r="112" customFormat="false" ht="15" hidden="false" customHeight="false" outlineLevel="0" collapsed="false">
      <c r="B112" s="10" t="s">
        <v>120</v>
      </c>
      <c r="C112" s="37" t="n">
        <f aca="false">C89</f>
        <v>300</v>
      </c>
      <c r="D112" s="37" t="n">
        <f aca="false">ROUND(C90*$C$99,0)</f>
        <v>16</v>
      </c>
      <c r="E112" s="37" t="n">
        <f aca="false">C112+D112</f>
        <v>316</v>
      </c>
      <c r="F112" s="37" t="n">
        <f aca="false">D111</f>
        <v>15</v>
      </c>
      <c r="G112" s="45" t="n">
        <f aca="false">E112-F112</f>
        <v>301</v>
      </c>
    </row>
    <row r="113" customFormat="false" ht="15" hidden="false" customHeight="false" outlineLevel="0" collapsed="false">
      <c r="B113" s="10" t="s">
        <v>121</v>
      </c>
      <c r="C113" s="37" t="n">
        <f aca="false">C90</f>
        <v>320</v>
      </c>
      <c r="D113" s="37" t="n">
        <f aca="false">ROUND(C91*$C$99,0)</f>
        <v>17</v>
      </c>
      <c r="E113" s="37" t="n">
        <f aca="false">C113+D113</f>
        <v>337</v>
      </c>
      <c r="F113" s="37" t="n">
        <f aca="false">D112</f>
        <v>16</v>
      </c>
      <c r="G113" s="45" t="n">
        <f aca="false">E113-F113</f>
        <v>321</v>
      </c>
    </row>
    <row r="114" customFormat="false" ht="15" hidden="false" customHeight="false" outlineLevel="0" collapsed="false">
      <c r="B114" s="10" t="s">
        <v>122</v>
      </c>
      <c r="C114" s="37" t="n">
        <f aca="false">C91</f>
        <v>340</v>
      </c>
      <c r="D114" s="37" t="n">
        <f aca="false">ROUND(C92*$C$99,0)</f>
        <v>25</v>
      </c>
      <c r="E114" s="37" t="n">
        <f aca="false">C114+D114</f>
        <v>365</v>
      </c>
      <c r="F114" s="37" t="n">
        <f aca="false">D113</f>
        <v>17</v>
      </c>
      <c r="G114" s="45" t="n">
        <f aca="false">E114-F114</f>
        <v>348</v>
      </c>
    </row>
    <row r="115" customFormat="false" ht="15" hidden="false" customHeight="false" outlineLevel="0" collapsed="false">
      <c r="B115" s="10" t="s">
        <v>123</v>
      </c>
      <c r="C115" s="37" t="n">
        <f aca="false">C92</f>
        <v>500</v>
      </c>
      <c r="D115" s="37" t="n">
        <f aca="false">ROUND(C94*$C$99,0)</f>
        <v>14</v>
      </c>
      <c r="E115" s="37" t="n">
        <f aca="false">C115+D115</f>
        <v>514</v>
      </c>
      <c r="F115" s="37" t="n">
        <f aca="false">D114</f>
        <v>25</v>
      </c>
      <c r="G115" s="45" t="n">
        <f aca="false">E115-F115</f>
        <v>489</v>
      </c>
    </row>
    <row r="116" customFormat="false" ht="15" hidden="false" customHeight="false" outlineLevel="0" collapsed="false">
      <c r="B116" s="38" t="s">
        <v>124</v>
      </c>
      <c r="C116" s="39" t="n">
        <f aca="false">SUM(C104:C115)</f>
        <v>3980</v>
      </c>
      <c r="D116" s="31"/>
      <c r="E116" s="31"/>
      <c r="F116" s="31"/>
      <c r="G116" s="39" t="n">
        <f aca="false">SUM(G104:G115)</f>
        <v>3984</v>
      </c>
    </row>
    <row r="117" customFormat="false" ht="15" hidden="false" customHeight="false" outlineLevel="0" collapsed="false">
      <c r="B117" s="10" t="s">
        <v>132</v>
      </c>
      <c r="C117" s="37" t="n">
        <f aca="false">C94</f>
        <v>270</v>
      </c>
      <c r="D117" s="37" t="n">
        <f aca="false">ROUND(C95*$C$99,0)</f>
        <v>13</v>
      </c>
      <c r="E117" s="37" t="n">
        <f aca="false">C117+D117</f>
        <v>283</v>
      </c>
      <c r="F117" s="37" t="n">
        <f aca="false">D115</f>
        <v>14</v>
      </c>
      <c r="G117" s="45" t="n">
        <f aca="false">E117-F117</f>
        <v>269</v>
      </c>
    </row>
    <row r="119" customFormat="false" ht="25.5" hidden="false" customHeight="true" outlineLevel="0" collapsed="false">
      <c r="B119" s="6" t="s">
        <v>379</v>
      </c>
      <c r="C119" s="34" t="n">
        <v>60</v>
      </c>
    </row>
    <row r="121" customFormat="false" ht="15" hidden="false" customHeight="false" outlineLevel="0" collapsed="false">
      <c r="B121" s="28" t="s">
        <v>380</v>
      </c>
    </row>
    <row r="122" customFormat="false" ht="31.5" hidden="false" customHeight="true" outlineLevel="0" collapsed="false">
      <c r="B122" s="5" t="s">
        <v>108</v>
      </c>
      <c r="C122" s="5" t="s">
        <v>201</v>
      </c>
      <c r="D122" s="5" t="s">
        <v>142</v>
      </c>
      <c r="E122" s="5" t="s">
        <v>202</v>
      </c>
      <c r="F122" s="5" t="s">
        <v>143</v>
      </c>
      <c r="G122" s="5" t="s">
        <v>203</v>
      </c>
    </row>
    <row r="123" customFormat="false" ht="15" hidden="false" customHeight="false" outlineLevel="0" collapsed="false">
      <c r="B123" s="10" t="s">
        <v>112</v>
      </c>
      <c r="C123" s="37" t="n">
        <f aca="false">D81</f>
        <v>1500</v>
      </c>
      <c r="D123" s="37" t="n">
        <f aca="false">ROUND(D82*$C$99,0)</f>
        <v>70</v>
      </c>
      <c r="E123" s="37" t="n">
        <f aca="false">C123+D123</f>
        <v>1570</v>
      </c>
      <c r="F123" s="37" t="n">
        <f aca="false">$C$119</f>
        <v>60</v>
      </c>
      <c r="G123" s="45" t="n">
        <f aca="false">E123-F123</f>
        <v>1510</v>
      </c>
    </row>
    <row r="124" customFormat="false" ht="15" hidden="false" customHeight="false" outlineLevel="0" collapsed="false">
      <c r="B124" s="10" t="s">
        <v>113</v>
      </c>
      <c r="C124" s="37" t="n">
        <f aca="false">D82</f>
        <v>1400</v>
      </c>
      <c r="D124" s="37" t="n">
        <f aca="false">ROUND(D83*$C$99,0)</f>
        <v>85</v>
      </c>
      <c r="E124" s="37" t="n">
        <f aca="false">C124+D124</f>
        <v>1485</v>
      </c>
      <c r="F124" s="37" t="n">
        <f aca="false">D123</f>
        <v>70</v>
      </c>
      <c r="G124" s="45" t="n">
        <f aca="false">E124-F124</f>
        <v>1415</v>
      </c>
    </row>
    <row r="125" customFormat="false" ht="15" hidden="false" customHeight="false" outlineLevel="0" collapsed="false">
      <c r="B125" s="10" t="s">
        <v>114</v>
      </c>
      <c r="C125" s="37" t="n">
        <f aca="false">D83</f>
        <v>1700</v>
      </c>
      <c r="D125" s="37" t="n">
        <f aca="false">ROUND(D84*$C$99,0)</f>
        <v>90</v>
      </c>
      <c r="E125" s="37" t="n">
        <f aca="false">C125+D125</f>
        <v>1790</v>
      </c>
      <c r="F125" s="37" t="n">
        <f aca="false">D124</f>
        <v>85</v>
      </c>
      <c r="G125" s="45" t="n">
        <f aca="false">E125-F125</f>
        <v>1705</v>
      </c>
    </row>
    <row r="126" customFormat="false" ht="15" hidden="false" customHeight="false" outlineLevel="0" collapsed="false">
      <c r="B126" s="10" t="s">
        <v>115</v>
      </c>
      <c r="C126" s="37" t="n">
        <f aca="false">D84</f>
        <v>1800</v>
      </c>
      <c r="D126" s="37" t="n">
        <f aca="false">ROUND(D85*$C$99,0)</f>
        <v>100</v>
      </c>
      <c r="E126" s="37" t="n">
        <f aca="false">C126+D126</f>
        <v>1900</v>
      </c>
      <c r="F126" s="37" t="n">
        <f aca="false">D125</f>
        <v>90</v>
      </c>
      <c r="G126" s="45" t="n">
        <f aca="false">E126-F126</f>
        <v>1810</v>
      </c>
    </row>
    <row r="127" customFormat="false" ht="15" hidden="false" customHeight="false" outlineLevel="0" collapsed="false">
      <c r="B127" s="10" t="s">
        <v>116</v>
      </c>
      <c r="C127" s="37" t="n">
        <f aca="false">D85</f>
        <v>2000</v>
      </c>
      <c r="D127" s="37" t="n">
        <f aca="false">ROUND(D86*$C$99,0)</f>
        <v>90</v>
      </c>
      <c r="E127" s="37" t="n">
        <f aca="false">C127+D127</f>
        <v>2090</v>
      </c>
      <c r="F127" s="37" t="n">
        <f aca="false">D126</f>
        <v>100</v>
      </c>
      <c r="G127" s="45" t="n">
        <f aca="false">E127-F127</f>
        <v>1990</v>
      </c>
    </row>
    <row r="128" customFormat="false" ht="15" hidden="false" customHeight="false" outlineLevel="0" collapsed="false">
      <c r="B128" s="10" t="s">
        <v>117</v>
      </c>
      <c r="C128" s="37" t="n">
        <f aca="false">D86</f>
        <v>1800</v>
      </c>
      <c r="D128" s="37" t="n">
        <f aca="false">ROUND(D87*$C$99,0)</f>
        <v>85</v>
      </c>
      <c r="E128" s="37" t="n">
        <f aca="false">C128+D128</f>
        <v>1885</v>
      </c>
      <c r="F128" s="37" t="n">
        <f aca="false">D127</f>
        <v>90</v>
      </c>
      <c r="G128" s="45" t="n">
        <f aca="false">E128-F128</f>
        <v>1795</v>
      </c>
    </row>
    <row r="129" customFormat="false" ht="15" hidden="false" customHeight="false" outlineLevel="0" collapsed="false">
      <c r="B129" s="10" t="s">
        <v>118</v>
      </c>
      <c r="C129" s="37" t="n">
        <f aca="false">D87</f>
        <v>1700</v>
      </c>
      <c r="D129" s="37" t="n">
        <f aca="false">ROUND(D88*$C$99,0)</f>
        <v>95</v>
      </c>
      <c r="E129" s="37" t="n">
        <f aca="false">C129+D129</f>
        <v>1795</v>
      </c>
      <c r="F129" s="37" t="n">
        <f aca="false">D128</f>
        <v>85</v>
      </c>
      <c r="G129" s="45" t="n">
        <f aca="false">E129-F129</f>
        <v>1710</v>
      </c>
    </row>
    <row r="130" customFormat="false" ht="15" hidden="false" customHeight="false" outlineLevel="0" collapsed="false">
      <c r="B130" s="10" t="s">
        <v>119</v>
      </c>
      <c r="C130" s="37" t="n">
        <f aca="false">D88</f>
        <v>1900</v>
      </c>
      <c r="D130" s="37" t="n">
        <f aca="false">ROUND(D89*$C$99,0)</f>
        <v>90</v>
      </c>
      <c r="E130" s="37" t="n">
        <f aca="false">C130+D130</f>
        <v>1990</v>
      </c>
      <c r="F130" s="37" t="n">
        <f aca="false">D129</f>
        <v>95</v>
      </c>
      <c r="G130" s="45" t="n">
        <f aca="false">E130-F130</f>
        <v>1895</v>
      </c>
    </row>
    <row r="131" customFormat="false" ht="15" hidden="false" customHeight="false" outlineLevel="0" collapsed="false">
      <c r="B131" s="10" t="s">
        <v>120</v>
      </c>
      <c r="C131" s="37" t="n">
        <f aca="false">D89</f>
        <v>1800</v>
      </c>
      <c r="D131" s="37" t="n">
        <f aca="false">ROUND(D90*$C$99,0)</f>
        <v>93</v>
      </c>
      <c r="E131" s="37" t="n">
        <f aca="false">C131+D131</f>
        <v>1893</v>
      </c>
      <c r="F131" s="37" t="n">
        <f aca="false">D130</f>
        <v>90</v>
      </c>
      <c r="G131" s="45" t="n">
        <f aca="false">E131-F131</f>
        <v>1803</v>
      </c>
    </row>
    <row r="132" customFormat="false" ht="15" hidden="false" customHeight="false" outlineLevel="0" collapsed="false">
      <c r="B132" s="10" t="s">
        <v>121</v>
      </c>
      <c r="C132" s="37" t="n">
        <f aca="false">D90</f>
        <v>1850</v>
      </c>
      <c r="D132" s="37" t="n">
        <f aca="false">ROUND(D91*$C$99,0)</f>
        <v>95</v>
      </c>
      <c r="E132" s="37" t="n">
        <f aca="false">C132+D132</f>
        <v>1945</v>
      </c>
      <c r="F132" s="37" t="n">
        <f aca="false">D131</f>
        <v>93</v>
      </c>
      <c r="G132" s="45" t="n">
        <f aca="false">E132-F132</f>
        <v>1852</v>
      </c>
    </row>
    <row r="133" customFormat="false" ht="15" hidden="false" customHeight="false" outlineLevel="0" collapsed="false">
      <c r="B133" s="10" t="s">
        <v>122</v>
      </c>
      <c r="C133" s="37" t="n">
        <f aca="false">D91</f>
        <v>1900</v>
      </c>
      <c r="D133" s="37" t="n">
        <f aca="false">ROUND(D92*$C$99,0)</f>
        <v>115</v>
      </c>
      <c r="E133" s="37" t="n">
        <f aca="false">C133+D133</f>
        <v>2015</v>
      </c>
      <c r="F133" s="37" t="n">
        <f aca="false">D132</f>
        <v>95</v>
      </c>
      <c r="G133" s="45" t="n">
        <f aca="false">E133-F133</f>
        <v>1920</v>
      </c>
    </row>
    <row r="134" customFormat="false" ht="15" hidden="false" customHeight="false" outlineLevel="0" collapsed="false">
      <c r="B134" s="10" t="s">
        <v>123</v>
      </c>
      <c r="C134" s="37" t="n">
        <f aca="false">D92</f>
        <v>2300</v>
      </c>
      <c r="D134" s="37" t="n">
        <f aca="false">ROUND(D94*$C$99,0)</f>
        <v>78</v>
      </c>
      <c r="E134" s="37" t="n">
        <f aca="false">C134+D134</f>
        <v>2378</v>
      </c>
      <c r="F134" s="37" t="n">
        <f aca="false">D133</f>
        <v>115</v>
      </c>
      <c r="G134" s="45" t="n">
        <f aca="false">E134-F134</f>
        <v>2263</v>
      </c>
    </row>
    <row r="135" customFormat="false" ht="15" hidden="false" customHeight="false" outlineLevel="0" collapsed="false">
      <c r="B135" s="38" t="s">
        <v>124</v>
      </c>
      <c r="C135" s="39" t="n">
        <f aca="false">SUM(C123:C134)</f>
        <v>21650</v>
      </c>
      <c r="D135" s="31"/>
      <c r="E135" s="31"/>
      <c r="F135" s="31"/>
      <c r="G135" s="39" t="n">
        <f aca="false">SUM(G123:G134)</f>
        <v>21668</v>
      </c>
    </row>
    <row r="136" customFormat="false" ht="15" hidden="false" customHeight="false" outlineLevel="0" collapsed="false">
      <c r="B136" s="10" t="s">
        <v>132</v>
      </c>
      <c r="C136" s="37" t="n">
        <f aca="false">D94</f>
        <v>1550</v>
      </c>
      <c r="D136" s="37" t="n">
        <f aca="false">ROUND(D95*$C$99,0)</f>
        <v>73</v>
      </c>
      <c r="E136" s="37" t="n">
        <f aca="false">C136+D136</f>
        <v>1623</v>
      </c>
      <c r="F136" s="37" t="n">
        <f aca="false">D134</f>
        <v>78</v>
      </c>
      <c r="G136" s="45" t="n">
        <f aca="false">E136-F136</f>
        <v>1545</v>
      </c>
    </row>
    <row r="138" customFormat="false" ht="19.5" hidden="false" customHeight="true" outlineLevel="0" collapsed="false">
      <c r="A138" s="16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customFormat="false" ht="15" hidden="false" customHeight="false" outlineLevel="0" collapsed="false">
      <c r="B139" s="17" t="s">
        <v>134</v>
      </c>
    </row>
    <row r="140" customFormat="false" ht="15" hidden="false" customHeight="false" outlineLevel="0" collapsed="false">
      <c r="B140" s="27" t="s">
        <v>135</v>
      </c>
    </row>
    <row r="142" customFormat="false" ht="15" hidden="false" customHeight="false" outlineLevel="0" collapsed="false">
      <c r="B142" s="18" t="s">
        <v>381</v>
      </c>
    </row>
    <row r="143" customFormat="false" ht="25.5" hidden="false" customHeight="true" outlineLevel="0" collapsed="false">
      <c r="B143" s="20" t="s">
        <v>137</v>
      </c>
      <c r="C143" s="29" t="n">
        <v>0.15</v>
      </c>
    </row>
    <row r="144" customFormat="false" ht="15" hidden="false" customHeight="false" outlineLevel="0" collapsed="false">
      <c r="B144" s="10" t="s">
        <v>209</v>
      </c>
      <c r="C144" s="21" t="n">
        <v>25</v>
      </c>
    </row>
    <row r="145" customFormat="false" ht="39.75" hidden="false" customHeight="true" outlineLevel="0" collapsed="false">
      <c r="B145" s="5" t="s">
        <v>108</v>
      </c>
      <c r="C145" s="5" t="s">
        <v>139</v>
      </c>
      <c r="D145" s="5" t="s">
        <v>140</v>
      </c>
      <c r="E145" s="5" t="s">
        <v>141</v>
      </c>
      <c r="F145" s="5" t="s">
        <v>142</v>
      </c>
      <c r="G145" s="5" t="s">
        <v>143</v>
      </c>
      <c r="H145" s="5" t="s">
        <v>144</v>
      </c>
      <c r="I145" s="5" t="s">
        <v>49</v>
      </c>
      <c r="J145" s="5" t="s">
        <v>145</v>
      </c>
      <c r="K145" s="5" t="s">
        <v>146</v>
      </c>
    </row>
    <row r="146" customFormat="false" ht="15" hidden="false" customHeight="false" outlineLevel="0" collapsed="false">
      <c r="B146" s="10" t="s">
        <v>112</v>
      </c>
      <c r="C146" s="40" t="n">
        <f aca="false">$G$104*$F$40</f>
        <v>134.183673469388</v>
      </c>
      <c r="D146" s="40" t="n">
        <f aca="false">$G$123*$F$52</f>
        <v>61.6326530612245</v>
      </c>
      <c r="E146" s="40" t="n">
        <f aca="false">C146+D146</f>
        <v>195.816326530612</v>
      </c>
      <c r="F146" s="40" t="n">
        <f aca="false">E147*$C$143</f>
        <v>27.8724489795918</v>
      </c>
      <c r="G146" s="40" t="n">
        <f aca="false">$C$144</f>
        <v>25</v>
      </c>
      <c r="H146" s="42" t="n">
        <f aca="false">E146+F146-G146</f>
        <v>198.688775510204</v>
      </c>
      <c r="I146" s="24" t="n">
        <f aca="false">H146*$I$18</f>
        <v>690.359304738845</v>
      </c>
      <c r="J146" s="24" t="n">
        <f aca="false">I146*IF($G$18="Sí",$C$9,0)</f>
        <v>124.264674852992</v>
      </c>
      <c r="K146" s="36" t="n">
        <f aca="false">I146+J146</f>
        <v>814.623979591837</v>
      </c>
    </row>
    <row r="147" customFormat="false" ht="15" hidden="false" customHeight="false" outlineLevel="0" collapsed="false">
      <c r="B147" s="10" t="s">
        <v>113</v>
      </c>
      <c r="C147" s="40" t="n">
        <f aca="false">$G$105*$F$40</f>
        <v>128.061224489796</v>
      </c>
      <c r="D147" s="40" t="n">
        <f aca="false">$G$124*$F$52</f>
        <v>57.7551020408163</v>
      </c>
      <c r="E147" s="40" t="n">
        <f aca="false">C147+D147</f>
        <v>185.816326530612</v>
      </c>
      <c r="F147" s="40" t="n">
        <f aca="false">E148*$C$143</f>
        <v>31.9438775510204</v>
      </c>
      <c r="G147" s="40" t="n">
        <f aca="false">F146</f>
        <v>27.8724489795918</v>
      </c>
      <c r="H147" s="42" t="n">
        <f aca="false">E147+F147-G147</f>
        <v>189.887755102041</v>
      </c>
      <c r="I147" s="24" t="n">
        <f aca="false">H147*$I$18</f>
        <v>659.779488066413</v>
      </c>
      <c r="J147" s="24" t="n">
        <f aca="false">I147*IF($G$18="Sí",$C$9,0)</f>
        <v>118.760307851954</v>
      </c>
      <c r="K147" s="36" t="n">
        <f aca="false">I147+J147</f>
        <v>778.539795918368</v>
      </c>
    </row>
    <row r="148" customFormat="false" ht="15" hidden="false" customHeight="false" outlineLevel="0" collapsed="false">
      <c r="B148" s="10" t="s">
        <v>114</v>
      </c>
      <c r="C148" s="40" t="n">
        <f aca="false">$G$106*$F$40</f>
        <v>143.367346938776</v>
      </c>
      <c r="D148" s="40" t="n">
        <f aca="false">$G$125*$F$52</f>
        <v>69.5918367346939</v>
      </c>
      <c r="E148" s="40" t="n">
        <f aca="false">C148+D148</f>
        <v>212.959183673469</v>
      </c>
      <c r="F148" s="40" t="n">
        <f aca="false">E149*$C$143</f>
        <v>34.5</v>
      </c>
      <c r="G148" s="40" t="n">
        <f aca="false">F147</f>
        <v>31.9438775510204</v>
      </c>
      <c r="H148" s="42" t="n">
        <f aca="false">E148+F148-G148</f>
        <v>215.515306122449</v>
      </c>
      <c r="I148" s="24" t="n">
        <f aca="false">H148*$I$18</f>
        <v>748.824368730543</v>
      </c>
      <c r="J148" s="24" t="n">
        <f aca="false">I148*IF($G$18="Sí",$C$9,0)</f>
        <v>134.788386371498</v>
      </c>
      <c r="K148" s="36" t="n">
        <f aca="false">I148+J148</f>
        <v>883.612755102041</v>
      </c>
    </row>
    <row r="149" customFormat="false" ht="15" hidden="false" customHeight="false" outlineLevel="0" collapsed="false">
      <c r="B149" s="10" t="s">
        <v>115</v>
      </c>
      <c r="C149" s="40" t="n">
        <f aca="false">$G$107*$F$40</f>
        <v>156.122448979592</v>
      </c>
      <c r="D149" s="40" t="n">
        <f aca="false">$G$126*$F$52</f>
        <v>73.8775510204082</v>
      </c>
      <c r="E149" s="40" t="n">
        <f aca="false">C149+D149</f>
        <v>230</v>
      </c>
      <c r="F149" s="40" t="n">
        <f aca="false">E150*$C$143</f>
        <v>43.9438775510204</v>
      </c>
      <c r="G149" s="40" t="n">
        <f aca="false">F148</f>
        <v>34.5</v>
      </c>
      <c r="H149" s="42" t="n">
        <f aca="false">E149+F149-G149</f>
        <v>239.44387755102</v>
      </c>
      <c r="I149" s="24" t="n">
        <f aca="false">H149*$I$18</f>
        <v>831.966015219647</v>
      </c>
      <c r="J149" s="24" t="n">
        <f aca="false">I149*IF($G$18="Sí",$C$9,0)</f>
        <v>149.753882739537</v>
      </c>
      <c r="K149" s="36" t="n">
        <f aca="false">I149+J149</f>
        <v>981.719897959184</v>
      </c>
    </row>
    <row r="150" customFormat="false" ht="15" hidden="false" customHeight="false" outlineLevel="0" collapsed="false">
      <c r="B150" s="10" t="s">
        <v>116</v>
      </c>
      <c r="C150" s="40" t="n">
        <f aca="false">$G$108*$F$40</f>
        <v>211.734693877551</v>
      </c>
      <c r="D150" s="40" t="n">
        <f aca="false">$G$127*$F$52</f>
        <v>81.2244897959184</v>
      </c>
      <c r="E150" s="40" t="n">
        <f aca="false">C150+D150</f>
        <v>292.959183673469</v>
      </c>
      <c r="F150" s="40" t="n">
        <f aca="false">E151*$C$143</f>
        <v>35.5561224489796</v>
      </c>
      <c r="G150" s="40" t="n">
        <f aca="false">F149</f>
        <v>43.9438775510204</v>
      </c>
      <c r="H150" s="42" t="n">
        <f aca="false">E150+F150-G150</f>
        <v>284.571428571429</v>
      </c>
      <c r="I150" s="24" t="n">
        <f aca="false">H150*$I$18</f>
        <v>988.765133171913</v>
      </c>
      <c r="J150" s="24" t="n">
        <f aca="false">I150*IF($G$18="Sí",$C$9,0)</f>
        <v>177.977723970944</v>
      </c>
      <c r="K150" s="36" t="n">
        <f aca="false">I150+J150</f>
        <v>1166.74285714286</v>
      </c>
    </row>
    <row r="151" customFormat="false" ht="15" hidden="false" customHeight="false" outlineLevel="0" collapsed="false">
      <c r="B151" s="10" t="s">
        <v>117</v>
      </c>
      <c r="C151" s="40" t="n">
        <f aca="false">$G$109*$F$40</f>
        <v>163.775510204082</v>
      </c>
      <c r="D151" s="40" t="n">
        <f aca="false">$G$128*$F$52</f>
        <v>73.265306122449</v>
      </c>
      <c r="E151" s="40" t="n">
        <f aca="false">C151+D151</f>
        <v>237.040816326531</v>
      </c>
      <c r="F151" s="40" t="n">
        <f aca="false">E152*$C$143</f>
        <v>35.8010204081633</v>
      </c>
      <c r="G151" s="40" t="n">
        <f aca="false">F150</f>
        <v>35.5561224489796</v>
      </c>
      <c r="H151" s="42" t="n">
        <f aca="false">E151+F151-G151</f>
        <v>237.285714285714</v>
      </c>
      <c r="I151" s="24" t="n">
        <f aca="false">H151*$I$18</f>
        <v>824.467312348668</v>
      </c>
      <c r="J151" s="24" t="n">
        <f aca="false">I151*IF($G$18="Sí",$C$9,0)</f>
        <v>148.40411622276</v>
      </c>
      <c r="K151" s="36" t="n">
        <f aca="false">I151+J151</f>
        <v>972.871428571429</v>
      </c>
    </row>
    <row r="152" customFormat="false" ht="15" hidden="false" customHeight="false" outlineLevel="0" collapsed="false">
      <c r="B152" s="10" t="s">
        <v>118</v>
      </c>
      <c r="C152" s="40" t="n">
        <f aca="false">$G$110*$F$40</f>
        <v>168.877551020408</v>
      </c>
      <c r="D152" s="40" t="n">
        <f aca="false">$G$129*$F$52</f>
        <v>69.7959183673469</v>
      </c>
      <c r="E152" s="40" t="n">
        <f aca="false">C152+D152</f>
        <v>238.673469387755</v>
      </c>
      <c r="F152" s="40" t="n">
        <f aca="false">E153*$C$143</f>
        <v>38.9234693877551</v>
      </c>
      <c r="G152" s="40" t="n">
        <f aca="false">F151</f>
        <v>35.8010204081633</v>
      </c>
      <c r="H152" s="42" t="n">
        <f aca="false">E152+F152-G152</f>
        <v>241.795918367347</v>
      </c>
      <c r="I152" s="24" t="n">
        <f aca="false">H152*$I$18</f>
        <v>840.138360428918</v>
      </c>
      <c r="J152" s="24" t="n">
        <f aca="false">I152*IF($G$18="Sí",$C$9,0)</f>
        <v>151.224904877205</v>
      </c>
      <c r="K152" s="36" t="n">
        <f aca="false">I152+J152</f>
        <v>991.363265306123</v>
      </c>
    </row>
    <row r="153" customFormat="false" ht="15" hidden="false" customHeight="false" outlineLevel="0" collapsed="false">
      <c r="B153" s="10" t="s">
        <v>119</v>
      </c>
      <c r="C153" s="40" t="n">
        <f aca="false">$G$111*$F$40</f>
        <v>182.142857142857</v>
      </c>
      <c r="D153" s="40" t="n">
        <f aca="false">$G$130*$F$52</f>
        <v>77.3469387755102</v>
      </c>
      <c r="E153" s="40" t="n">
        <f aca="false">C153+D153</f>
        <v>259.489795918367</v>
      </c>
      <c r="F153" s="40" t="n">
        <f aca="false">E154*$C$143</f>
        <v>34.0744897959184</v>
      </c>
      <c r="G153" s="40" t="n">
        <f aca="false">F152</f>
        <v>38.9234693877551</v>
      </c>
      <c r="H153" s="42" t="n">
        <f aca="false">E153+F153-G153</f>
        <v>254.640816326531</v>
      </c>
      <c r="I153" s="24" t="n">
        <f aca="false">H153*$I$18</f>
        <v>884.768938083708</v>
      </c>
      <c r="J153" s="24" t="n">
        <f aca="false">I153*IF($G$18="Sí",$C$9,0)</f>
        <v>159.258408855067</v>
      </c>
      <c r="K153" s="36" t="n">
        <f aca="false">I153+J153</f>
        <v>1044.02734693878</v>
      </c>
    </row>
    <row r="154" customFormat="false" ht="15" hidden="false" customHeight="false" outlineLevel="0" collapsed="false">
      <c r="B154" s="10" t="s">
        <v>120</v>
      </c>
      <c r="C154" s="40" t="n">
        <f aca="false">$G$112*$F$40</f>
        <v>153.571428571429</v>
      </c>
      <c r="D154" s="40" t="n">
        <f aca="false">$G$131*$F$52</f>
        <v>73.5918367346939</v>
      </c>
      <c r="E154" s="40" t="n">
        <f aca="false">C154+D154</f>
        <v>227.163265306122</v>
      </c>
      <c r="F154" s="40" t="n">
        <f aca="false">E155*$C$143</f>
        <v>35.9051020408163</v>
      </c>
      <c r="G154" s="40" t="n">
        <f aca="false">F153</f>
        <v>34.0744897959184</v>
      </c>
      <c r="H154" s="42" t="n">
        <f aca="false">E154+F154-G154</f>
        <v>228.99387755102</v>
      </c>
      <c r="I154" s="24" t="n">
        <f aca="false">H154*$I$18</f>
        <v>795.656693185749</v>
      </c>
      <c r="J154" s="24" t="n">
        <f aca="false">I154*IF($G$18="Sí",$C$9,0)</f>
        <v>143.218204773435</v>
      </c>
      <c r="K154" s="36" t="n">
        <f aca="false">I154+J154</f>
        <v>938.874897959184</v>
      </c>
    </row>
    <row r="155" customFormat="false" ht="15" hidden="false" customHeight="false" outlineLevel="0" collapsed="false">
      <c r="B155" s="10" t="s">
        <v>121</v>
      </c>
      <c r="C155" s="40" t="n">
        <f aca="false">$G$113*$F$40</f>
        <v>163.775510204082</v>
      </c>
      <c r="D155" s="40" t="n">
        <f aca="false">$G$132*$F$52</f>
        <v>75.5918367346939</v>
      </c>
      <c r="E155" s="40" t="n">
        <f aca="false">C155+D155</f>
        <v>239.367346938776</v>
      </c>
      <c r="F155" s="40" t="n">
        <f aca="false">E156*$C$143</f>
        <v>38.3877551020408</v>
      </c>
      <c r="G155" s="40" t="n">
        <f aca="false">F154</f>
        <v>35.9051020408163</v>
      </c>
      <c r="H155" s="42" t="n">
        <f aca="false">E155+F155-G155</f>
        <v>241.85</v>
      </c>
      <c r="I155" s="24" t="n">
        <f aca="false">H155*$I$18</f>
        <v>840.326271186441</v>
      </c>
      <c r="J155" s="24" t="n">
        <f aca="false">I155*IF($G$18="Sí",$C$9,0)</f>
        <v>151.258728813559</v>
      </c>
      <c r="K155" s="36" t="n">
        <f aca="false">I155+J155</f>
        <v>991.585</v>
      </c>
    </row>
    <row r="156" customFormat="false" ht="15" hidden="false" customHeight="false" outlineLevel="0" collapsed="false">
      <c r="B156" s="10" t="s">
        <v>122</v>
      </c>
      <c r="C156" s="40" t="n">
        <f aca="false">$G$114*$F$40</f>
        <v>177.551020408163</v>
      </c>
      <c r="D156" s="40" t="n">
        <f aca="false">$G$133*$F$52</f>
        <v>78.3673469387755</v>
      </c>
      <c r="E156" s="40" t="n">
        <f aca="false">C156+D156</f>
        <v>255.918367346939</v>
      </c>
      <c r="F156" s="40" t="n">
        <f aca="false">E157*$C$143</f>
        <v>51.2785714285714</v>
      </c>
      <c r="G156" s="40" t="n">
        <f aca="false">F155</f>
        <v>38.3877551020408</v>
      </c>
      <c r="H156" s="42" t="n">
        <f aca="false">E156+F156-G156</f>
        <v>268.809183673469</v>
      </c>
      <c r="I156" s="24" t="n">
        <f aca="false">H156*$I$18</f>
        <v>933.998011068834</v>
      </c>
      <c r="J156" s="24" t="n">
        <f aca="false">I156*IF($G$18="Sí",$C$9,0)</f>
        <v>168.11964199239</v>
      </c>
      <c r="K156" s="36" t="n">
        <f aca="false">I156+J156</f>
        <v>1102.11765306122</v>
      </c>
    </row>
    <row r="157" customFormat="false" ht="15" hidden="false" customHeight="false" outlineLevel="0" collapsed="false">
      <c r="B157" s="10" t="s">
        <v>123</v>
      </c>
      <c r="C157" s="40" t="n">
        <f aca="false">$G$115*$F$40</f>
        <v>249.489795918367</v>
      </c>
      <c r="D157" s="40" t="n">
        <f aca="false">$G$134*$F$52</f>
        <v>92.3673469387755</v>
      </c>
      <c r="E157" s="40" t="n">
        <f aca="false">C157+D157</f>
        <v>341.857142857143</v>
      </c>
      <c r="F157" s="40" t="n">
        <f aca="false">E159*$C$143</f>
        <v>30.0459183673469</v>
      </c>
      <c r="G157" s="40" t="n">
        <f aca="false">F156</f>
        <v>51.2785714285714</v>
      </c>
      <c r="H157" s="42" t="n">
        <f aca="false">E157+F157-G157</f>
        <v>320.624489795918</v>
      </c>
      <c r="I157" s="24" t="n">
        <f aca="false">H157*$I$18</f>
        <v>1114.03424420616</v>
      </c>
      <c r="J157" s="24" t="n">
        <f aca="false">I157*IF($G$18="Sí",$C$9,0)</f>
        <v>200.526163957108</v>
      </c>
      <c r="K157" s="36" t="n">
        <f aca="false">I157+J157</f>
        <v>1314.56040816327</v>
      </c>
    </row>
    <row r="158" customFormat="false" ht="15" hidden="false" customHeight="false" outlineLevel="0" collapsed="false">
      <c r="B158" s="38" t="s">
        <v>124</v>
      </c>
      <c r="C158" s="31"/>
      <c r="D158" s="31"/>
      <c r="E158" s="43" t="n">
        <f aca="false">SUM(E146:E157)</f>
        <v>2917.0612244898</v>
      </c>
      <c r="F158" s="31"/>
      <c r="G158" s="31"/>
      <c r="H158" s="43" t="n">
        <f aca="false">SUM(H146:H157)</f>
        <v>2922.10714285714</v>
      </c>
      <c r="I158" s="44" t="n">
        <f aca="false">SUM(I146:I157)</f>
        <v>10153.0841404358</v>
      </c>
      <c r="J158" s="44" t="n">
        <f aca="false">SUM(J146:J157)</f>
        <v>1827.55514527845</v>
      </c>
      <c r="K158" s="44" t="n">
        <f aca="false">SUM(K146:K157)</f>
        <v>11980.6392857143</v>
      </c>
    </row>
    <row r="159" customFormat="false" ht="15" hidden="false" customHeight="false" outlineLevel="0" collapsed="false">
      <c r="B159" s="10" t="s">
        <v>147</v>
      </c>
      <c r="C159" s="40" t="n">
        <f aca="false">$G$117*$F$40</f>
        <v>137.244897959184</v>
      </c>
      <c r="D159" s="40" t="n">
        <f aca="false">$G$136*$F$52</f>
        <v>63.0612244897959</v>
      </c>
      <c r="E159" s="40" t="n">
        <f aca="false">C159+D159</f>
        <v>200.30612244898</v>
      </c>
      <c r="F159" s="19" t="s">
        <v>126</v>
      </c>
      <c r="G159" s="19" t="s">
        <v>126</v>
      </c>
      <c r="H159" s="19" t="s">
        <v>126</v>
      </c>
      <c r="I159" s="19" t="s">
        <v>126</v>
      </c>
      <c r="J159" s="19" t="s">
        <v>126</v>
      </c>
      <c r="K159" s="19" t="s">
        <v>126</v>
      </c>
    </row>
    <row r="161" customFormat="false" ht="15" hidden="false" customHeight="false" outlineLevel="0" collapsed="false">
      <c r="B161" s="18" t="s">
        <v>382</v>
      </c>
    </row>
    <row r="162" customFormat="false" ht="25.5" hidden="false" customHeight="true" outlineLevel="0" collapsed="false">
      <c r="B162" s="20" t="s">
        <v>137</v>
      </c>
      <c r="C162" s="29" t="n">
        <v>0.15</v>
      </c>
    </row>
    <row r="163" customFormat="false" ht="15" hidden="false" customHeight="false" outlineLevel="0" collapsed="false">
      <c r="B163" s="10" t="s">
        <v>209</v>
      </c>
      <c r="C163" s="21" t="n">
        <v>15</v>
      </c>
    </row>
    <row r="164" customFormat="false" ht="39.75" hidden="false" customHeight="true" outlineLevel="0" collapsed="false">
      <c r="B164" s="5" t="s">
        <v>108</v>
      </c>
      <c r="C164" s="5" t="s">
        <v>139</v>
      </c>
      <c r="D164" s="5" t="s">
        <v>140</v>
      </c>
      <c r="E164" s="5" t="s">
        <v>141</v>
      </c>
      <c r="F164" s="5" t="s">
        <v>142</v>
      </c>
      <c r="G164" s="5" t="s">
        <v>143</v>
      </c>
      <c r="H164" s="5" t="s">
        <v>144</v>
      </c>
      <c r="I164" s="5" t="s">
        <v>49</v>
      </c>
      <c r="J164" s="5" t="s">
        <v>145</v>
      </c>
      <c r="K164" s="5" t="s">
        <v>146</v>
      </c>
    </row>
    <row r="165" customFormat="false" ht="15" hidden="false" customHeight="false" outlineLevel="0" collapsed="false">
      <c r="B165" s="10" t="s">
        <v>112</v>
      </c>
      <c r="C165" s="40" t="n">
        <f aca="false">$G$104*$F$41</f>
        <v>66.4141414141414</v>
      </c>
      <c r="D165" s="40" t="n">
        <f aca="false">$G$123*$F$53</f>
        <v>33.5555555555556</v>
      </c>
      <c r="E165" s="40" t="n">
        <f aca="false">C165+D165</f>
        <v>99.969696969697</v>
      </c>
      <c r="F165" s="40" t="n">
        <f aca="false">E166*$C$162</f>
        <v>14.2242424242424</v>
      </c>
      <c r="G165" s="40" t="n">
        <f aca="false">$C$163</f>
        <v>15</v>
      </c>
      <c r="H165" s="42" t="n">
        <f aca="false">E165+F165-G165</f>
        <v>99.1939393939394</v>
      </c>
      <c r="I165" s="24" t="n">
        <f aca="false">H165*$I$19</f>
        <v>327.84437596302</v>
      </c>
      <c r="J165" s="24" t="n">
        <f aca="false">I165*IF($G$19="Sí",$C$9,0)</f>
        <v>59.0119876733436</v>
      </c>
      <c r="K165" s="36" t="n">
        <f aca="false">I165+J165</f>
        <v>386.856363636364</v>
      </c>
    </row>
    <row r="166" customFormat="false" ht="15" hidden="false" customHeight="false" outlineLevel="0" collapsed="false">
      <c r="B166" s="10" t="s">
        <v>113</v>
      </c>
      <c r="C166" s="40" t="n">
        <f aca="false">$G$105*$F$41</f>
        <v>63.3838383838384</v>
      </c>
      <c r="D166" s="40" t="n">
        <f aca="false">$G$124*$F$53</f>
        <v>31.4444444444444</v>
      </c>
      <c r="E166" s="40" t="n">
        <f aca="false">C166+D166</f>
        <v>94.8282828282828</v>
      </c>
      <c r="F166" s="40" t="n">
        <f aca="false">E167*$C$162</f>
        <v>16.3272727272727</v>
      </c>
      <c r="G166" s="40" t="n">
        <f aca="false">F165</f>
        <v>14.2242424242424</v>
      </c>
      <c r="H166" s="42" t="n">
        <f aca="false">E166+F166-G166</f>
        <v>96.9313131313131</v>
      </c>
      <c r="I166" s="24" t="n">
        <f aca="false">H166*$I$19</f>
        <v>320.366204417052</v>
      </c>
      <c r="J166" s="24" t="n">
        <f aca="false">I166*IF($G$19="Sí",$C$9,0)</f>
        <v>57.6659167950693</v>
      </c>
      <c r="K166" s="36" t="n">
        <f aca="false">I166+J166</f>
        <v>378.032121212121</v>
      </c>
    </row>
    <row r="167" customFormat="false" ht="15" hidden="false" customHeight="false" outlineLevel="0" collapsed="false">
      <c r="B167" s="10" t="s">
        <v>114</v>
      </c>
      <c r="C167" s="40" t="n">
        <f aca="false">$G$106*$F$41</f>
        <v>70.959595959596</v>
      </c>
      <c r="D167" s="40" t="n">
        <f aca="false">$G$125*$F$53</f>
        <v>37.8888888888889</v>
      </c>
      <c r="E167" s="40" t="n">
        <f aca="false">C167+D167</f>
        <v>108.848484848485</v>
      </c>
      <c r="F167" s="40" t="n">
        <f aca="false">E168*$C$162</f>
        <v>17.6242424242424</v>
      </c>
      <c r="G167" s="40" t="n">
        <f aca="false">F166</f>
        <v>16.3272727272727</v>
      </c>
      <c r="H167" s="42" t="n">
        <f aca="false">E167+F167-G167</f>
        <v>110.145454545455</v>
      </c>
      <c r="I167" s="24" t="n">
        <f aca="false">H167*$I$19</f>
        <v>364.040061633282</v>
      </c>
      <c r="J167" s="24" t="n">
        <f aca="false">I167*IF($G$19="Sí",$C$9,0)</f>
        <v>65.5272110939908</v>
      </c>
      <c r="K167" s="36" t="n">
        <f aca="false">I167+J167</f>
        <v>429.567272727273</v>
      </c>
    </row>
    <row r="168" customFormat="false" ht="15" hidden="false" customHeight="false" outlineLevel="0" collapsed="false">
      <c r="B168" s="10" t="s">
        <v>115</v>
      </c>
      <c r="C168" s="40" t="n">
        <f aca="false">$G$107*$F$41</f>
        <v>77.2727272727273</v>
      </c>
      <c r="D168" s="40" t="n">
        <f aca="false">$G$126*$F$53</f>
        <v>40.2222222222222</v>
      </c>
      <c r="E168" s="40" t="n">
        <f aca="false">C168+D168</f>
        <v>117.49494949495</v>
      </c>
      <c r="F168" s="40" t="n">
        <f aca="false">E169*$C$162</f>
        <v>22.3530303030303</v>
      </c>
      <c r="G168" s="40" t="n">
        <f aca="false">F167</f>
        <v>17.6242424242424</v>
      </c>
      <c r="H168" s="42" t="n">
        <f aca="false">E168+F168-G168</f>
        <v>122.223737373737</v>
      </c>
      <c r="I168" s="24" t="n">
        <f aca="false">H168*$I$19</f>
        <v>403.959809964047</v>
      </c>
      <c r="J168" s="24" t="n">
        <f aca="false">I168*IF($G$19="Sí",$C$9,0)</f>
        <v>72.7127657935285</v>
      </c>
      <c r="K168" s="36" t="n">
        <f aca="false">I168+J168</f>
        <v>476.672575757576</v>
      </c>
    </row>
    <row r="169" customFormat="false" ht="15" hidden="false" customHeight="false" outlineLevel="0" collapsed="false">
      <c r="B169" s="10" t="s">
        <v>116</v>
      </c>
      <c r="C169" s="40" t="n">
        <f aca="false">$G$108*$F$41</f>
        <v>104.79797979798</v>
      </c>
      <c r="D169" s="40" t="n">
        <f aca="false">$G$127*$F$53</f>
        <v>44.2222222222222</v>
      </c>
      <c r="E169" s="40" t="n">
        <f aca="false">C169+D169</f>
        <v>149.020202020202</v>
      </c>
      <c r="F169" s="40" t="n">
        <f aca="false">E170*$C$162</f>
        <v>18.1424242424242</v>
      </c>
      <c r="G169" s="40" t="n">
        <f aca="false">F168</f>
        <v>22.3530303030303</v>
      </c>
      <c r="H169" s="42" t="n">
        <f aca="false">E169+F169-G169</f>
        <v>144.809595959596</v>
      </c>
      <c r="I169" s="24" t="n">
        <f aca="false">H169*$I$19</f>
        <v>478.607986646122</v>
      </c>
      <c r="J169" s="24" t="n">
        <f aca="false">I169*IF($G$19="Sí",$C$9,0)</f>
        <v>86.149437596302</v>
      </c>
      <c r="K169" s="36" t="n">
        <f aca="false">I169+J169</f>
        <v>564.757424242424</v>
      </c>
    </row>
    <row r="170" customFormat="false" ht="15" hidden="false" customHeight="false" outlineLevel="0" collapsed="false">
      <c r="B170" s="10" t="s">
        <v>117</v>
      </c>
      <c r="C170" s="40" t="n">
        <f aca="false">$G$109*$F$41</f>
        <v>81.0606060606061</v>
      </c>
      <c r="D170" s="40" t="n">
        <f aca="false">$G$128*$F$53</f>
        <v>39.8888888888889</v>
      </c>
      <c r="E170" s="40" t="n">
        <f aca="false">C170+D170</f>
        <v>120.949494949495</v>
      </c>
      <c r="F170" s="40" t="n">
        <f aca="false">E171*$C$162</f>
        <v>18.2378787878788</v>
      </c>
      <c r="G170" s="40" t="n">
        <f aca="false">F169</f>
        <v>18.1424242424242</v>
      </c>
      <c r="H170" s="42" t="n">
        <f aca="false">E170+F170-G170</f>
        <v>121.044949494949</v>
      </c>
      <c r="I170" s="24" t="n">
        <f aca="false">H170*$I$19</f>
        <v>400.063816127375</v>
      </c>
      <c r="J170" s="24" t="n">
        <f aca="false">I170*IF($G$19="Sí",$C$9,0)</f>
        <v>72.0114869029276</v>
      </c>
      <c r="K170" s="36" t="n">
        <f aca="false">I170+J170</f>
        <v>472.075303030303</v>
      </c>
    </row>
    <row r="171" customFormat="false" ht="15" hidden="false" customHeight="false" outlineLevel="0" collapsed="false">
      <c r="B171" s="10" t="s">
        <v>118</v>
      </c>
      <c r="C171" s="40" t="n">
        <f aca="false">$G$110*$F$41</f>
        <v>83.5858585858586</v>
      </c>
      <c r="D171" s="40" t="n">
        <f aca="false">$G$129*$F$53</f>
        <v>38</v>
      </c>
      <c r="E171" s="40" t="n">
        <f aca="false">C171+D171</f>
        <v>121.585858585859</v>
      </c>
      <c r="F171" s="40" t="n">
        <f aca="false">E172*$C$162</f>
        <v>19.8393939393939</v>
      </c>
      <c r="G171" s="40" t="n">
        <f aca="false">F170</f>
        <v>18.2378787878788</v>
      </c>
      <c r="H171" s="42" t="n">
        <f aca="false">E171+F171-G171</f>
        <v>123.187373737374</v>
      </c>
      <c r="I171" s="24" t="n">
        <f aca="false">H171*$I$19</f>
        <v>407.144709809964</v>
      </c>
      <c r="J171" s="24" t="n">
        <f aca="false">I171*IF($G$19="Sí",$C$9,0)</f>
        <v>73.2860477657935</v>
      </c>
      <c r="K171" s="36" t="n">
        <f aca="false">I171+J171</f>
        <v>480.430757575758</v>
      </c>
    </row>
    <row r="172" customFormat="false" ht="15" hidden="false" customHeight="false" outlineLevel="0" collapsed="false">
      <c r="B172" s="10" t="s">
        <v>119</v>
      </c>
      <c r="C172" s="40" t="n">
        <f aca="false">$G$111*$F$41</f>
        <v>90.1515151515152</v>
      </c>
      <c r="D172" s="40" t="n">
        <f aca="false">$G$130*$F$53</f>
        <v>42.1111111111111</v>
      </c>
      <c r="E172" s="40" t="n">
        <f aca="false">C172+D172</f>
        <v>132.262626262626</v>
      </c>
      <c r="F172" s="40" t="n">
        <f aca="false">E173*$C$162</f>
        <v>17.4115151515152</v>
      </c>
      <c r="G172" s="40" t="n">
        <f aca="false">F171</f>
        <v>19.8393939393939</v>
      </c>
      <c r="H172" s="42" t="n">
        <f aca="false">E172+F172-G172</f>
        <v>129.834747474747</v>
      </c>
      <c r="I172" s="24" t="n">
        <f aca="false">H172*$I$19</f>
        <v>429.114843348742</v>
      </c>
      <c r="J172" s="24" t="n">
        <f aca="false">I172*IF($G$19="Sí",$C$9,0)</f>
        <v>77.2406718027735</v>
      </c>
      <c r="K172" s="36" t="n">
        <f aca="false">I172+J172</f>
        <v>506.355515151515</v>
      </c>
    </row>
    <row r="173" customFormat="false" ht="15" hidden="false" customHeight="false" outlineLevel="0" collapsed="false">
      <c r="B173" s="10" t="s">
        <v>120</v>
      </c>
      <c r="C173" s="40" t="n">
        <f aca="false">$G$112*$F$41</f>
        <v>76.010101010101</v>
      </c>
      <c r="D173" s="40" t="n">
        <f aca="false">$G$131*$F$53</f>
        <v>40.0666666666667</v>
      </c>
      <c r="E173" s="40" t="n">
        <f aca="false">C173+D173</f>
        <v>116.076767676768</v>
      </c>
      <c r="F173" s="40" t="n">
        <f aca="false">E174*$C$162</f>
        <v>18.3324242424242</v>
      </c>
      <c r="G173" s="40" t="n">
        <f aca="false">F172</f>
        <v>17.4115151515152</v>
      </c>
      <c r="H173" s="42" t="n">
        <f aca="false">E173+F173-G173</f>
        <v>116.997676767677</v>
      </c>
      <c r="I173" s="24" t="n">
        <f aca="false">H173*$I$19</f>
        <v>386.687236774525</v>
      </c>
      <c r="J173" s="24" t="n">
        <f aca="false">I173*IF($G$19="Sí",$C$9,0)</f>
        <v>69.6037026194145</v>
      </c>
      <c r="K173" s="36" t="n">
        <f aca="false">I173+J173</f>
        <v>456.29093939394</v>
      </c>
    </row>
    <row r="174" customFormat="false" ht="15" hidden="false" customHeight="false" outlineLevel="0" collapsed="false">
      <c r="B174" s="10" t="s">
        <v>121</v>
      </c>
      <c r="C174" s="40" t="n">
        <f aca="false">$G$113*$F$41</f>
        <v>81.0606060606061</v>
      </c>
      <c r="D174" s="40" t="n">
        <f aca="false">$G$132*$F$53</f>
        <v>41.1555555555556</v>
      </c>
      <c r="E174" s="40" t="n">
        <f aca="false">C174+D174</f>
        <v>122.216161616162</v>
      </c>
      <c r="F174" s="40" t="n">
        <f aca="false">E175*$C$162</f>
        <v>19.5818181818182</v>
      </c>
      <c r="G174" s="40" t="n">
        <f aca="false">F173</f>
        <v>18.3324242424242</v>
      </c>
      <c r="H174" s="42" t="n">
        <f aca="false">E174+F174-G174</f>
        <v>123.465555555556</v>
      </c>
      <c r="I174" s="24" t="n">
        <f aca="false">H174*$I$19</f>
        <v>408.064124293785</v>
      </c>
      <c r="J174" s="24" t="n">
        <f aca="false">I174*IF($G$19="Sí",$C$9,0)</f>
        <v>73.4515423728814</v>
      </c>
      <c r="K174" s="36" t="n">
        <f aca="false">I174+J174</f>
        <v>481.515666666667</v>
      </c>
    </row>
    <row r="175" customFormat="false" ht="15" hidden="false" customHeight="false" outlineLevel="0" collapsed="false">
      <c r="B175" s="10" t="s">
        <v>122</v>
      </c>
      <c r="C175" s="40" t="n">
        <f aca="false">$G$114*$F$41</f>
        <v>87.8787878787879</v>
      </c>
      <c r="D175" s="40" t="n">
        <f aca="false">$G$133*$F$53</f>
        <v>42.6666666666667</v>
      </c>
      <c r="E175" s="40" t="n">
        <f aca="false">C175+D175</f>
        <v>130.545454545455</v>
      </c>
      <c r="F175" s="40" t="n">
        <f aca="false">E176*$C$162</f>
        <v>26.0660606060606</v>
      </c>
      <c r="G175" s="40" t="n">
        <f aca="false">F174</f>
        <v>19.5818181818182</v>
      </c>
      <c r="H175" s="42" t="n">
        <f aca="false">E175+F175-G175</f>
        <v>137.029696969697</v>
      </c>
      <c r="I175" s="24" t="n">
        <f aca="false">H175*$I$19</f>
        <v>452.894761171032</v>
      </c>
      <c r="J175" s="24" t="n">
        <f aca="false">I175*IF($G$19="Sí",$C$9,0)</f>
        <v>81.5210570107858</v>
      </c>
      <c r="K175" s="36" t="n">
        <f aca="false">I175+J175</f>
        <v>534.415818181818</v>
      </c>
    </row>
    <row r="176" customFormat="false" ht="15" hidden="false" customHeight="false" outlineLevel="0" collapsed="false">
      <c r="B176" s="10" t="s">
        <v>123</v>
      </c>
      <c r="C176" s="40" t="n">
        <f aca="false">$G$115*$F$41</f>
        <v>123.484848484849</v>
      </c>
      <c r="D176" s="40" t="n">
        <f aca="false">$G$134*$F$53</f>
        <v>50.2888888888889</v>
      </c>
      <c r="E176" s="40" t="n">
        <f aca="false">C176+D176</f>
        <v>173.773737373737</v>
      </c>
      <c r="F176" s="40" t="n">
        <f aca="false">E178*$C$162</f>
        <v>15.3393939393939</v>
      </c>
      <c r="G176" s="40" t="n">
        <f aca="false">F175</f>
        <v>26.0660606060606</v>
      </c>
      <c r="H176" s="42" t="n">
        <f aca="false">E176+F176-G176</f>
        <v>163.047070707071</v>
      </c>
      <c r="I176" s="24" t="n">
        <f aca="false">H176*$I$19</f>
        <v>538.884386235234</v>
      </c>
      <c r="J176" s="24" t="n">
        <f aca="false">I176*IF($G$19="Sí",$C$9,0)</f>
        <v>96.9991895223421</v>
      </c>
      <c r="K176" s="36" t="n">
        <f aca="false">I176+J176</f>
        <v>635.883575757576</v>
      </c>
    </row>
    <row r="177" customFormat="false" ht="15" hidden="false" customHeight="false" outlineLevel="0" collapsed="false">
      <c r="B177" s="38" t="s">
        <v>124</v>
      </c>
      <c r="C177" s="31"/>
      <c r="D177" s="31"/>
      <c r="E177" s="43" t="n">
        <f aca="false">SUM(E165:E176)</f>
        <v>1487.57171717172</v>
      </c>
      <c r="F177" s="31"/>
      <c r="G177" s="31"/>
      <c r="H177" s="43" t="n">
        <f aca="false">SUM(H165:H176)</f>
        <v>1487.91111111111</v>
      </c>
      <c r="I177" s="44" t="n">
        <f aca="false">SUM(I165:I176)</f>
        <v>4917.67231638418</v>
      </c>
      <c r="J177" s="44" t="n">
        <f aca="false">SUM(J165:J176)</f>
        <v>885.181016949153</v>
      </c>
      <c r="K177" s="44" t="n">
        <f aca="false">SUM(K165:K176)</f>
        <v>5802.85333333333</v>
      </c>
    </row>
    <row r="178" customFormat="false" ht="15" hidden="false" customHeight="false" outlineLevel="0" collapsed="false">
      <c r="B178" s="10" t="s">
        <v>147</v>
      </c>
      <c r="C178" s="40" t="n">
        <f aca="false">$G$117*$F$41</f>
        <v>67.9292929292929</v>
      </c>
      <c r="D178" s="40" t="n">
        <f aca="false">$G$136*$F$53</f>
        <v>34.3333333333333</v>
      </c>
      <c r="E178" s="40" t="n">
        <f aca="false">C178+D178</f>
        <v>102.262626262626</v>
      </c>
      <c r="F178" s="19" t="s">
        <v>126</v>
      </c>
      <c r="G178" s="19" t="s">
        <v>126</v>
      </c>
      <c r="H178" s="19" t="s">
        <v>126</v>
      </c>
      <c r="I178" s="19" t="s">
        <v>126</v>
      </c>
      <c r="J178" s="19" t="s">
        <v>126</v>
      </c>
      <c r="K178" s="19" t="s">
        <v>126</v>
      </c>
    </row>
    <row r="180" customFormat="false" ht="15" hidden="false" customHeight="false" outlineLevel="0" collapsed="false">
      <c r="B180" s="18" t="s">
        <v>383</v>
      </c>
    </row>
    <row r="181" customFormat="false" ht="25.5" hidden="false" customHeight="true" outlineLevel="0" collapsed="false">
      <c r="B181" s="20" t="s">
        <v>137</v>
      </c>
      <c r="C181" s="29" t="n">
        <v>0.1</v>
      </c>
    </row>
    <row r="182" customFormat="false" ht="15" hidden="false" customHeight="false" outlineLevel="0" collapsed="false">
      <c r="B182" s="10" t="s">
        <v>212</v>
      </c>
      <c r="C182" s="21" t="n">
        <v>180</v>
      </c>
    </row>
    <row r="183" customFormat="false" ht="39.75" hidden="false" customHeight="true" outlineLevel="0" collapsed="false">
      <c r="B183" s="5" t="s">
        <v>108</v>
      </c>
      <c r="C183" s="5" t="s">
        <v>139</v>
      </c>
      <c r="D183" s="5" t="s">
        <v>140</v>
      </c>
      <c r="E183" s="5" t="s">
        <v>141</v>
      </c>
      <c r="F183" s="5" t="s">
        <v>142</v>
      </c>
      <c r="G183" s="5" t="s">
        <v>143</v>
      </c>
      <c r="H183" s="5" t="s">
        <v>144</v>
      </c>
      <c r="I183" s="5" t="s">
        <v>49</v>
      </c>
      <c r="J183" s="5" t="s">
        <v>145</v>
      </c>
      <c r="K183" s="5" t="s">
        <v>146</v>
      </c>
    </row>
    <row r="184" customFormat="false" ht="15" hidden="false" customHeight="false" outlineLevel="0" collapsed="false">
      <c r="B184" s="10" t="s">
        <v>112</v>
      </c>
      <c r="C184" s="40" t="n">
        <f aca="false">$G$104*$F$42</f>
        <v>1084.53608247423</v>
      </c>
      <c r="D184" s="40" t="n">
        <f aca="false">$G$123*$F$54</f>
        <v>544.845360824742</v>
      </c>
      <c r="E184" s="40" t="n">
        <f aca="false">C184+D184</f>
        <v>1629.38144329897</v>
      </c>
      <c r="F184" s="40" t="n">
        <f aca="false">E185*$C$181</f>
        <v>154.561855670103</v>
      </c>
      <c r="G184" s="40" t="n">
        <f aca="false">$C$182</f>
        <v>180</v>
      </c>
      <c r="H184" s="42" t="n">
        <f aca="false">E184+F184-G184</f>
        <v>1603.94329896907</v>
      </c>
      <c r="I184" s="24" t="n">
        <f aca="false">H184*$I$20</f>
        <v>882.16881443299</v>
      </c>
      <c r="J184" s="24" t="n">
        <f aca="false">I184*IF($G$20="Sí",$C$9,0)</f>
        <v>0</v>
      </c>
      <c r="K184" s="36" t="n">
        <f aca="false">I184+J184</f>
        <v>882.16881443299</v>
      </c>
    </row>
    <row r="185" customFormat="false" ht="15" hidden="false" customHeight="false" outlineLevel="0" collapsed="false">
      <c r="B185" s="10" t="s">
        <v>113</v>
      </c>
      <c r="C185" s="40" t="n">
        <f aca="false">$G$105*$F$42</f>
        <v>1035.05154639175</v>
      </c>
      <c r="D185" s="40" t="n">
        <f aca="false">$G$124*$F$54</f>
        <v>510.567010309278</v>
      </c>
      <c r="E185" s="40" t="n">
        <f aca="false">C185+D185</f>
        <v>1545.61855670103</v>
      </c>
      <c r="F185" s="40" t="n">
        <f aca="false">E186*$C$181</f>
        <v>177.396907216495</v>
      </c>
      <c r="G185" s="40" t="n">
        <f aca="false">F184</f>
        <v>154.561855670103</v>
      </c>
      <c r="H185" s="42" t="n">
        <f aca="false">E185+F185-G185</f>
        <v>1568.45360824742</v>
      </c>
      <c r="I185" s="24" t="n">
        <f aca="false">H185*$I$20</f>
        <v>862.649484536083</v>
      </c>
      <c r="J185" s="24" t="n">
        <f aca="false">I185*IF($G$20="Sí",$C$9,0)</f>
        <v>0</v>
      </c>
      <c r="K185" s="36" t="n">
        <f aca="false">I185+J185</f>
        <v>862.649484536083</v>
      </c>
    </row>
    <row r="186" customFormat="false" ht="15" hidden="false" customHeight="false" outlineLevel="0" collapsed="false">
      <c r="B186" s="10" t="s">
        <v>114</v>
      </c>
      <c r="C186" s="40" t="n">
        <f aca="false">$G$106*$F$42</f>
        <v>1158.76288659794</v>
      </c>
      <c r="D186" s="40" t="n">
        <f aca="false">$G$125*$F$54</f>
        <v>615.20618556701</v>
      </c>
      <c r="E186" s="40" t="n">
        <f aca="false">C186+D186</f>
        <v>1773.96907216495</v>
      </c>
      <c r="F186" s="40" t="n">
        <f aca="false">E187*$C$181</f>
        <v>191.494845360825</v>
      </c>
      <c r="G186" s="40" t="n">
        <f aca="false">F185</f>
        <v>177.396907216495</v>
      </c>
      <c r="H186" s="42" t="n">
        <f aca="false">E186+F186-G186</f>
        <v>1788.06701030928</v>
      </c>
      <c r="I186" s="24" t="n">
        <f aca="false">H186*$I$20</f>
        <v>983.436855670103</v>
      </c>
      <c r="J186" s="24" t="n">
        <f aca="false">I186*IF($G$20="Sí",$C$9,0)</f>
        <v>0</v>
      </c>
      <c r="K186" s="36" t="n">
        <f aca="false">I186+J186</f>
        <v>983.436855670103</v>
      </c>
    </row>
    <row r="187" customFormat="false" ht="15" hidden="false" customHeight="false" outlineLevel="0" collapsed="false">
      <c r="B187" s="10" t="s">
        <v>115</v>
      </c>
      <c r="C187" s="40" t="n">
        <f aca="false">$G$107*$F$42</f>
        <v>1261.85567010309</v>
      </c>
      <c r="D187" s="40" t="n">
        <f aca="false">$G$126*$F$54</f>
        <v>653.092783505155</v>
      </c>
      <c r="E187" s="40" t="n">
        <f aca="false">C187+D187</f>
        <v>1914.94845360825</v>
      </c>
      <c r="F187" s="40" t="n">
        <f aca="false">E188*$C$181</f>
        <v>242.938144329897</v>
      </c>
      <c r="G187" s="40" t="n">
        <f aca="false">F186</f>
        <v>191.494845360825</v>
      </c>
      <c r="H187" s="42" t="n">
        <f aca="false">E187+F187-G187</f>
        <v>1966.39175257732</v>
      </c>
      <c r="I187" s="24" t="n">
        <f aca="false">H187*$I$20</f>
        <v>1081.51546391753</v>
      </c>
      <c r="J187" s="24" t="n">
        <f aca="false">I187*IF($G$20="Sí",$C$9,0)</f>
        <v>0</v>
      </c>
      <c r="K187" s="36" t="n">
        <f aca="false">I187+J187</f>
        <v>1081.51546391753</v>
      </c>
    </row>
    <row r="188" customFormat="false" ht="15" hidden="false" customHeight="false" outlineLevel="0" collapsed="false">
      <c r="B188" s="10" t="s">
        <v>116</v>
      </c>
      <c r="C188" s="40" t="n">
        <f aca="false">$G$108*$F$42</f>
        <v>1711.34020618557</v>
      </c>
      <c r="D188" s="40" t="n">
        <f aca="false">$G$127*$F$54</f>
        <v>718.041237113402</v>
      </c>
      <c r="E188" s="40" t="n">
        <f aca="false">C188+D188</f>
        <v>2429.38144329897</v>
      </c>
      <c r="F188" s="40" t="n">
        <f aca="false">E189*$C$181</f>
        <v>197.139175257732</v>
      </c>
      <c r="G188" s="40" t="n">
        <f aca="false">F187</f>
        <v>242.938144329897</v>
      </c>
      <c r="H188" s="42" t="n">
        <f aca="false">E188+F188-G188</f>
        <v>2383.5824742268</v>
      </c>
      <c r="I188" s="24" t="n">
        <f aca="false">H188*$I$20</f>
        <v>1310.97036082474</v>
      </c>
      <c r="J188" s="24" t="n">
        <f aca="false">I188*IF($G$20="Sí",$C$9,0)</f>
        <v>0</v>
      </c>
      <c r="K188" s="36" t="n">
        <f aca="false">I188+J188</f>
        <v>1310.97036082474</v>
      </c>
    </row>
    <row r="189" customFormat="false" ht="15" hidden="false" customHeight="false" outlineLevel="0" collapsed="false">
      <c r="B189" s="10" t="s">
        <v>117</v>
      </c>
      <c r="C189" s="40" t="n">
        <f aca="false">$G$109*$F$42</f>
        <v>1323.71134020619</v>
      </c>
      <c r="D189" s="40" t="n">
        <f aca="false">$G$128*$F$54</f>
        <v>647.680412371134</v>
      </c>
      <c r="E189" s="40" t="n">
        <f aca="false">C189+D189</f>
        <v>1971.39175257732</v>
      </c>
      <c r="F189" s="40" t="n">
        <f aca="false">E190*$C$181</f>
        <v>198.19587628866</v>
      </c>
      <c r="G189" s="40" t="n">
        <f aca="false">F188</f>
        <v>197.139175257732</v>
      </c>
      <c r="H189" s="42" t="n">
        <f aca="false">E189+F189-G189</f>
        <v>1972.44845360825</v>
      </c>
      <c r="I189" s="24" t="n">
        <f aca="false">H189*$I$20</f>
        <v>1084.84664948454</v>
      </c>
      <c r="J189" s="24" t="n">
        <f aca="false">I189*IF($G$20="Sí",$C$9,0)</f>
        <v>0</v>
      </c>
      <c r="K189" s="36" t="n">
        <f aca="false">I189+J189</f>
        <v>1084.84664948454</v>
      </c>
    </row>
    <row r="190" customFormat="false" ht="15" hidden="false" customHeight="false" outlineLevel="0" collapsed="false">
      <c r="B190" s="10" t="s">
        <v>118</v>
      </c>
      <c r="C190" s="40" t="n">
        <f aca="false">$G$110*$F$42</f>
        <v>1364.94845360825</v>
      </c>
      <c r="D190" s="40" t="n">
        <f aca="false">$G$129*$F$54</f>
        <v>617.010309278351</v>
      </c>
      <c r="E190" s="40" t="n">
        <f aca="false">C190+D190</f>
        <v>1981.9587628866</v>
      </c>
      <c r="F190" s="40" t="n">
        <f aca="false">E191*$C$181</f>
        <v>215.592783505155</v>
      </c>
      <c r="G190" s="40" t="n">
        <f aca="false">F189</f>
        <v>198.19587628866</v>
      </c>
      <c r="H190" s="42" t="n">
        <f aca="false">E190+F190-G190</f>
        <v>1999.35567010309</v>
      </c>
      <c r="I190" s="24" t="n">
        <f aca="false">H190*$I$20</f>
        <v>1099.6456185567</v>
      </c>
      <c r="J190" s="24" t="n">
        <f aca="false">I190*IF($G$20="Sí",$C$9,0)</f>
        <v>0</v>
      </c>
      <c r="K190" s="36" t="n">
        <f aca="false">I190+J190</f>
        <v>1099.6456185567</v>
      </c>
    </row>
    <row r="191" customFormat="false" ht="15" hidden="false" customHeight="false" outlineLevel="0" collapsed="false">
      <c r="B191" s="10" t="s">
        <v>119</v>
      </c>
      <c r="C191" s="40" t="n">
        <f aca="false">$G$111*$F$42</f>
        <v>1472.16494845361</v>
      </c>
      <c r="D191" s="40" t="n">
        <f aca="false">$G$130*$F$54</f>
        <v>683.762886597938</v>
      </c>
      <c r="E191" s="40" t="n">
        <f aca="false">C191+D191</f>
        <v>2155.92783505155</v>
      </c>
      <c r="F191" s="40" t="n">
        <f aca="false">E192*$C$181</f>
        <v>189.180412371134</v>
      </c>
      <c r="G191" s="40" t="n">
        <f aca="false">F190</f>
        <v>215.592783505155</v>
      </c>
      <c r="H191" s="42" t="n">
        <f aca="false">E191+F191-G191</f>
        <v>2129.51546391753</v>
      </c>
      <c r="I191" s="24" t="n">
        <f aca="false">H191*$I$20</f>
        <v>1171.23350515464</v>
      </c>
      <c r="J191" s="24" t="n">
        <f aca="false">I191*IF($G$20="Sí",$C$9,0)</f>
        <v>0</v>
      </c>
      <c r="K191" s="36" t="n">
        <f aca="false">I191+J191</f>
        <v>1171.23350515464</v>
      </c>
    </row>
    <row r="192" customFormat="false" ht="15" hidden="false" customHeight="false" outlineLevel="0" collapsed="false">
      <c r="B192" s="10" t="s">
        <v>120</v>
      </c>
      <c r="C192" s="40" t="n">
        <f aca="false">$G$112*$F$42</f>
        <v>1241.23711340206</v>
      </c>
      <c r="D192" s="40" t="n">
        <f aca="false">$G$131*$F$54</f>
        <v>650.567010309278</v>
      </c>
      <c r="E192" s="40" t="n">
        <f aca="false">C192+D192</f>
        <v>1891.80412371134</v>
      </c>
      <c r="F192" s="40" t="n">
        <f aca="false">E193*$C$181</f>
        <v>199.19587628866</v>
      </c>
      <c r="G192" s="40" t="n">
        <f aca="false">F191</f>
        <v>189.180412371134</v>
      </c>
      <c r="H192" s="42" t="n">
        <f aca="false">E192+F192-G192</f>
        <v>1901.81958762887</v>
      </c>
      <c r="I192" s="24" t="n">
        <f aca="false">H192*$I$20</f>
        <v>1046.00077319588</v>
      </c>
      <c r="J192" s="24" t="n">
        <f aca="false">I192*IF($G$20="Sí",$C$9,0)</f>
        <v>0</v>
      </c>
      <c r="K192" s="36" t="n">
        <f aca="false">I192+J192</f>
        <v>1046.00077319588</v>
      </c>
    </row>
    <row r="193" customFormat="false" ht="15" hidden="false" customHeight="false" outlineLevel="0" collapsed="false">
      <c r="B193" s="10" t="s">
        <v>121</v>
      </c>
      <c r="C193" s="40" t="n">
        <f aca="false">$G$113*$F$42</f>
        <v>1323.71134020619</v>
      </c>
      <c r="D193" s="40" t="n">
        <f aca="false">$G$132*$F$54</f>
        <v>668.247422680412</v>
      </c>
      <c r="E193" s="40" t="n">
        <f aca="false">C193+D193</f>
        <v>1991.9587628866</v>
      </c>
      <c r="F193" s="40" t="n">
        <f aca="false">E194*$C$181</f>
        <v>212.783505154639</v>
      </c>
      <c r="G193" s="40" t="n">
        <f aca="false">F192</f>
        <v>199.19587628866</v>
      </c>
      <c r="H193" s="42" t="n">
        <f aca="false">E193+F193-G193</f>
        <v>2005.54639175258</v>
      </c>
      <c r="I193" s="24" t="n">
        <f aca="false">H193*$I$20</f>
        <v>1103.05051546392</v>
      </c>
      <c r="J193" s="24" t="n">
        <f aca="false">I193*IF($G$20="Sí",$C$9,0)</f>
        <v>0</v>
      </c>
      <c r="K193" s="36" t="n">
        <f aca="false">I193+J193</f>
        <v>1103.05051546392</v>
      </c>
    </row>
    <row r="194" customFormat="false" ht="15" hidden="false" customHeight="false" outlineLevel="0" collapsed="false">
      <c r="B194" s="10" t="s">
        <v>122</v>
      </c>
      <c r="C194" s="40" t="n">
        <f aca="false">$G$114*$F$42</f>
        <v>1435.05154639175</v>
      </c>
      <c r="D194" s="40" t="n">
        <f aca="false">$G$133*$F$54</f>
        <v>692.783505154639</v>
      </c>
      <c r="E194" s="40" t="n">
        <f aca="false">C194+D194</f>
        <v>2127.83505154639</v>
      </c>
      <c r="F194" s="40" t="n">
        <f aca="false">E195*$C$181</f>
        <v>283.30412371134</v>
      </c>
      <c r="G194" s="40" t="n">
        <f aca="false">F193</f>
        <v>212.783505154639</v>
      </c>
      <c r="H194" s="42" t="n">
        <f aca="false">E194+F194-G194</f>
        <v>2198.35567010309</v>
      </c>
      <c r="I194" s="24" t="n">
        <f aca="false">H194*$I$20</f>
        <v>1209.0956185567</v>
      </c>
      <c r="J194" s="24" t="n">
        <f aca="false">I194*IF($G$20="Sí",$C$9,0)</f>
        <v>0</v>
      </c>
      <c r="K194" s="36" t="n">
        <f aca="false">I194+J194</f>
        <v>1209.0956185567</v>
      </c>
    </row>
    <row r="195" customFormat="false" ht="15" hidden="false" customHeight="false" outlineLevel="0" collapsed="false">
      <c r="B195" s="10" t="s">
        <v>123</v>
      </c>
      <c r="C195" s="40" t="n">
        <f aca="false">$G$115*$F$42</f>
        <v>2016.49484536083</v>
      </c>
      <c r="D195" s="40" t="n">
        <f aca="false">$G$134*$F$54</f>
        <v>816.546391752577</v>
      </c>
      <c r="E195" s="40" t="n">
        <f aca="false">C195+D195</f>
        <v>2833.0412371134</v>
      </c>
      <c r="F195" s="40" t="n">
        <f aca="false">E197*$C$181</f>
        <v>166.675257731959</v>
      </c>
      <c r="G195" s="40" t="n">
        <f aca="false">F194</f>
        <v>283.30412371134</v>
      </c>
      <c r="H195" s="42" t="n">
        <f aca="false">E195+F195-G195</f>
        <v>2716.41237113402</v>
      </c>
      <c r="I195" s="24" t="n">
        <f aca="false">H195*$I$20</f>
        <v>1494.02680412371</v>
      </c>
      <c r="J195" s="24" t="n">
        <f aca="false">I195*IF($G$20="Sí",$C$9,0)</f>
        <v>0</v>
      </c>
      <c r="K195" s="36" t="n">
        <f aca="false">I195+J195</f>
        <v>1494.02680412371</v>
      </c>
    </row>
    <row r="196" customFormat="false" ht="15" hidden="false" customHeight="false" outlineLevel="0" collapsed="false">
      <c r="B196" s="38" t="s">
        <v>124</v>
      </c>
      <c r="C196" s="31"/>
      <c r="D196" s="31"/>
      <c r="E196" s="43" t="n">
        <f aca="false">SUM(E184:E195)</f>
        <v>24247.2164948454</v>
      </c>
      <c r="F196" s="31"/>
      <c r="G196" s="31"/>
      <c r="H196" s="43" t="n">
        <f aca="false">SUM(H184:H195)</f>
        <v>24233.8917525773</v>
      </c>
      <c r="I196" s="44" t="n">
        <f aca="false">SUM(I184:I195)</f>
        <v>13328.6404639175</v>
      </c>
      <c r="J196" s="44" t="n">
        <f aca="false">SUM(J184:J195)</f>
        <v>0</v>
      </c>
      <c r="K196" s="44" t="n">
        <f aca="false">SUM(K184:K195)</f>
        <v>13328.6404639175</v>
      </c>
    </row>
    <row r="197" customFormat="false" ht="15" hidden="false" customHeight="false" outlineLevel="0" collapsed="false">
      <c r="B197" s="10" t="s">
        <v>147</v>
      </c>
      <c r="C197" s="40" t="n">
        <f aca="false">$G$117*$F$42</f>
        <v>1109.27835051546</v>
      </c>
      <c r="D197" s="40" t="n">
        <f aca="false">$G$136*$F$54</f>
        <v>557.474226804124</v>
      </c>
      <c r="E197" s="40" t="n">
        <f aca="false">C197+D197</f>
        <v>1666.75257731959</v>
      </c>
      <c r="F197" s="19" t="s">
        <v>126</v>
      </c>
      <c r="G197" s="19" t="s">
        <v>126</v>
      </c>
      <c r="H197" s="19" t="s">
        <v>126</v>
      </c>
      <c r="I197" s="19" t="s">
        <v>126</v>
      </c>
      <c r="J197" s="19" t="s">
        <v>126</v>
      </c>
      <c r="K197" s="19" t="s">
        <v>126</v>
      </c>
    </row>
    <row r="199" customFormat="false" ht="15" hidden="false" customHeight="false" outlineLevel="0" collapsed="false">
      <c r="B199" s="18" t="s">
        <v>384</v>
      </c>
    </row>
    <row r="200" customFormat="false" ht="25.5" hidden="false" customHeight="true" outlineLevel="0" collapsed="false">
      <c r="B200" s="20" t="s">
        <v>137</v>
      </c>
      <c r="C200" s="29" t="n">
        <v>0.15</v>
      </c>
    </row>
    <row r="201" customFormat="false" ht="15" hidden="false" customHeight="false" outlineLevel="0" collapsed="false">
      <c r="B201" s="10" t="s">
        <v>209</v>
      </c>
      <c r="C201" s="21" t="n">
        <v>5</v>
      </c>
    </row>
    <row r="202" customFormat="false" ht="39.75" hidden="false" customHeight="true" outlineLevel="0" collapsed="false">
      <c r="B202" s="5" t="s">
        <v>108</v>
      </c>
      <c r="C202" s="5" t="s">
        <v>139</v>
      </c>
      <c r="D202" s="5" t="s">
        <v>140</v>
      </c>
      <c r="E202" s="5" t="s">
        <v>141</v>
      </c>
      <c r="F202" s="5" t="s">
        <v>142</v>
      </c>
      <c r="G202" s="5" t="s">
        <v>143</v>
      </c>
      <c r="H202" s="5" t="s">
        <v>144</v>
      </c>
      <c r="I202" s="5" t="s">
        <v>49</v>
      </c>
      <c r="J202" s="5" t="s">
        <v>145</v>
      </c>
      <c r="K202" s="5" t="s">
        <v>146</v>
      </c>
    </row>
    <row r="203" customFormat="false" ht="15" hidden="false" customHeight="false" outlineLevel="0" collapsed="false">
      <c r="B203" s="10" t="s">
        <v>112</v>
      </c>
      <c r="C203" s="40" t="n">
        <f aca="false">$G$104*$F$43</f>
        <v>53.1313131313131</v>
      </c>
      <c r="D203" s="40" t="n">
        <f aca="false">$G$123*$F$55</f>
        <v>24.4040404040404</v>
      </c>
      <c r="E203" s="40" t="n">
        <f aca="false">C203+D203</f>
        <v>77.5353535353535</v>
      </c>
      <c r="F203" s="40" t="n">
        <f aca="false">E204*$C$200</f>
        <v>11.0363636363636</v>
      </c>
      <c r="G203" s="40" t="n">
        <f aca="false">$C$201</f>
        <v>5</v>
      </c>
      <c r="H203" s="42" t="n">
        <f aca="false">E203+F203-G203</f>
        <v>83.5717171717172</v>
      </c>
      <c r="I203" s="24" t="n">
        <f aca="false">H203*$I$21</f>
        <v>885.293614107173</v>
      </c>
      <c r="J203" s="24" t="n">
        <f aca="false">I203*IF($G$21="Sí",$C$9,0)</f>
        <v>159.352850539291</v>
      </c>
      <c r="K203" s="36" t="n">
        <f aca="false">I203+J203</f>
        <v>1044.64646464646</v>
      </c>
    </row>
    <row r="204" customFormat="false" ht="15" hidden="false" customHeight="false" outlineLevel="0" collapsed="false">
      <c r="B204" s="10" t="s">
        <v>113</v>
      </c>
      <c r="C204" s="40" t="n">
        <f aca="false">$G$105*$F$43</f>
        <v>50.7070707070707</v>
      </c>
      <c r="D204" s="40" t="n">
        <f aca="false">$G$124*$F$55</f>
        <v>22.8686868686869</v>
      </c>
      <c r="E204" s="40" t="n">
        <f aca="false">C204+D204</f>
        <v>73.5757575757576</v>
      </c>
      <c r="F204" s="40" t="n">
        <f aca="false">E205*$C$200</f>
        <v>12.6484848484849</v>
      </c>
      <c r="G204" s="40" t="n">
        <f aca="false">F203</f>
        <v>11.0363636363636</v>
      </c>
      <c r="H204" s="42" t="n">
        <f aca="false">E204+F204-G204</f>
        <v>75.1878787878788</v>
      </c>
      <c r="I204" s="24" t="n">
        <f aca="false">H204*$I$21</f>
        <v>796.48176682075</v>
      </c>
      <c r="J204" s="24" t="n">
        <f aca="false">I204*IF($G$21="Sí",$C$9,0)</f>
        <v>143.366718027735</v>
      </c>
      <c r="K204" s="36" t="n">
        <f aca="false">I204+J204</f>
        <v>939.848484848485</v>
      </c>
    </row>
    <row r="205" customFormat="false" ht="15" hidden="false" customHeight="false" outlineLevel="0" collapsed="false">
      <c r="B205" s="10" t="s">
        <v>114</v>
      </c>
      <c r="C205" s="40" t="n">
        <f aca="false">$G$106*$F$43</f>
        <v>56.7676767676768</v>
      </c>
      <c r="D205" s="40" t="n">
        <f aca="false">$G$125*$F$55</f>
        <v>27.5555555555556</v>
      </c>
      <c r="E205" s="40" t="n">
        <f aca="false">C205+D205</f>
        <v>84.3232323232323</v>
      </c>
      <c r="F205" s="40" t="n">
        <f aca="false">E206*$C$200</f>
        <v>13.6606060606061</v>
      </c>
      <c r="G205" s="40" t="n">
        <f aca="false">F204</f>
        <v>12.6484848484849</v>
      </c>
      <c r="H205" s="42" t="n">
        <f aca="false">E205+F205-G205</f>
        <v>85.3353535353535</v>
      </c>
      <c r="I205" s="24" t="n">
        <f aca="false">H205*$I$21</f>
        <v>903.976202705016</v>
      </c>
      <c r="J205" s="24" t="n">
        <f aca="false">I205*IF($G$21="Sí",$C$9,0)</f>
        <v>162.715716486903</v>
      </c>
      <c r="K205" s="36" t="n">
        <f aca="false">I205+J205</f>
        <v>1066.69191919192</v>
      </c>
    </row>
    <row r="206" customFormat="false" ht="15" hidden="false" customHeight="false" outlineLevel="0" collapsed="false">
      <c r="B206" s="10" t="s">
        <v>115</v>
      </c>
      <c r="C206" s="40" t="n">
        <f aca="false">$G$107*$F$43</f>
        <v>61.8181818181818</v>
      </c>
      <c r="D206" s="40" t="n">
        <f aca="false">$G$126*$F$55</f>
        <v>29.2525252525253</v>
      </c>
      <c r="E206" s="40" t="n">
        <f aca="false">C206+D206</f>
        <v>91.0707070707071</v>
      </c>
      <c r="F206" s="40" t="n">
        <f aca="false">E207*$C$200</f>
        <v>17.4</v>
      </c>
      <c r="G206" s="40" t="n">
        <f aca="false">F205</f>
        <v>13.6606060606061</v>
      </c>
      <c r="H206" s="42" t="n">
        <f aca="false">E206+F206-G206</f>
        <v>94.810101010101</v>
      </c>
      <c r="I206" s="24" t="n">
        <f aca="false">H206*$I$21</f>
        <v>1004.34429036124</v>
      </c>
      <c r="J206" s="24" t="n">
        <f aca="false">I206*IF($G$21="Sí",$C$9,0)</f>
        <v>180.781972265023</v>
      </c>
      <c r="K206" s="36" t="n">
        <f aca="false">I206+J206</f>
        <v>1185.12626262626</v>
      </c>
    </row>
    <row r="207" customFormat="false" ht="15" hidden="false" customHeight="false" outlineLevel="0" collapsed="false">
      <c r="B207" s="10" t="s">
        <v>116</v>
      </c>
      <c r="C207" s="40" t="n">
        <f aca="false">$G$108*$F$43</f>
        <v>83.8383838383839</v>
      </c>
      <c r="D207" s="40" t="n">
        <f aca="false">$G$127*$F$55</f>
        <v>32.1616161616162</v>
      </c>
      <c r="E207" s="40" t="n">
        <f aca="false">C207+D207</f>
        <v>116</v>
      </c>
      <c r="F207" s="40" t="n">
        <f aca="false">E208*$C$200</f>
        <v>14.0787878787879</v>
      </c>
      <c r="G207" s="40" t="n">
        <f aca="false">F206</f>
        <v>17.4</v>
      </c>
      <c r="H207" s="42" t="n">
        <f aca="false">E207+F207-G207</f>
        <v>112.678787878788</v>
      </c>
      <c r="I207" s="24" t="n">
        <f aca="false">H207*$I$21</f>
        <v>1193.63122752953</v>
      </c>
      <c r="J207" s="24" t="n">
        <f aca="false">I207*IF($G$21="Sí",$C$9,0)</f>
        <v>214.853620955316</v>
      </c>
      <c r="K207" s="36" t="n">
        <f aca="false">I207+J207</f>
        <v>1408.48484848485</v>
      </c>
    </row>
    <row r="208" customFormat="false" ht="15" hidden="false" customHeight="false" outlineLevel="0" collapsed="false">
      <c r="B208" s="10" t="s">
        <v>117</v>
      </c>
      <c r="C208" s="40" t="n">
        <f aca="false">$G$109*$F$43</f>
        <v>64.8484848484849</v>
      </c>
      <c r="D208" s="40" t="n">
        <f aca="false">$G$128*$F$55</f>
        <v>29.010101010101</v>
      </c>
      <c r="E208" s="40" t="n">
        <f aca="false">C208+D208</f>
        <v>93.8585858585859</v>
      </c>
      <c r="F208" s="40" t="n">
        <f aca="false">E209*$C$200</f>
        <v>14.1757575757576</v>
      </c>
      <c r="G208" s="40" t="n">
        <f aca="false">F207</f>
        <v>14.0787878787879</v>
      </c>
      <c r="H208" s="42" t="n">
        <f aca="false">E208+F208-G208</f>
        <v>93.9555555555556</v>
      </c>
      <c r="I208" s="24" t="n">
        <f aca="false">H208*$I$21</f>
        <v>995.291902071563</v>
      </c>
      <c r="J208" s="24" t="n">
        <f aca="false">I208*IF($G$21="Sí",$C$9,0)</f>
        <v>179.152542372881</v>
      </c>
      <c r="K208" s="36" t="n">
        <f aca="false">I208+J208</f>
        <v>1174.44444444444</v>
      </c>
    </row>
    <row r="209" customFormat="false" ht="15" hidden="false" customHeight="false" outlineLevel="0" collapsed="false">
      <c r="B209" s="10" t="s">
        <v>118</v>
      </c>
      <c r="C209" s="40" t="n">
        <f aca="false">$G$110*$F$43</f>
        <v>66.8686868686869</v>
      </c>
      <c r="D209" s="40" t="n">
        <f aca="false">$G$129*$F$55</f>
        <v>27.6363636363636</v>
      </c>
      <c r="E209" s="40" t="n">
        <f aca="false">C209+D209</f>
        <v>94.5050505050505</v>
      </c>
      <c r="F209" s="40" t="n">
        <f aca="false">E210*$C$200</f>
        <v>15.4121212121212</v>
      </c>
      <c r="G209" s="40" t="n">
        <f aca="false">F208</f>
        <v>14.1757575757576</v>
      </c>
      <c r="H209" s="42" t="n">
        <f aca="false">E209+F209-G209</f>
        <v>95.7414141414142</v>
      </c>
      <c r="I209" s="24" t="n">
        <f aca="false">H209*$I$21</f>
        <v>1014.20989556583</v>
      </c>
      <c r="J209" s="24" t="n">
        <f aca="false">I209*IF($G$21="Sí",$C$9,0)</f>
        <v>182.557781201849</v>
      </c>
      <c r="K209" s="36" t="n">
        <f aca="false">I209+J209</f>
        <v>1196.76767676768</v>
      </c>
    </row>
    <row r="210" customFormat="false" ht="15" hidden="false" customHeight="false" outlineLevel="0" collapsed="false">
      <c r="B210" s="10" t="s">
        <v>119</v>
      </c>
      <c r="C210" s="40" t="n">
        <f aca="false">$G$111*$F$43</f>
        <v>72.1212121212121</v>
      </c>
      <c r="D210" s="40" t="n">
        <f aca="false">$G$130*$F$55</f>
        <v>30.6262626262626</v>
      </c>
      <c r="E210" s="40" t="n">
        <f aca="false">C210+D210</f>
        <v>102.747474747475</v>
      </c>
      <c r="F210" s="40" t="n">
        <f aca="false">E211*$C$200</f>
        <v>13.4921212121212</v>
      </c>
      <c r="G210" s="40" t="n">
        <f aca="false">F209</f>
        <v>15.4121212121212</v>
      </c>
      <c r="H210" s="42" t="n">
        <f aca="false">E210+F210-G210</f>
        <v>100.827474747475</v>
      </c>
      <c r="I210" s="24" t="n">
        <f aca="false">H210*$I$21</f>
        <v>1068.08765622325</v>
      </c>
      <c r="J210" s="24" t="n">
        <f aca="false">I210*IF($G$21="Sí",$C$9,0)</f>
        <v>192.255778120185</v>
      </c>
      <c r="K210" s="36" t="n">
        <f aca="false">I210+J210</f>
        <v>1260.34343434343</v>
      </c>
    </row>
    <row r="211" customFormat="false" ht="15" hidden="false" customHeight="false" outlineLevel="0" collapsed="false">
      <c r="B211" s="10" t="s">
        <v>120</v>
      </c>
      <c r="C211" s="40" t="n">
        <f aca="false">$G$112*$F$43</f>
        <v>60.8080808080808</v>
      </c>
      <c r="D211" s="40" t="n">
        <f aca="false">$G$131*$F$55</f>
        <v>29.1393939393939</v>
      </c>
      <c r="E211" s="40" t="n">
        <f aca="false">C211+D211</f>
        <v>89.9474747474748</v>
      </c>
      <c r="F211" s="40" t="n">
        <f aca="false">E212*$C$200</f>
        <v>14.2169696969697</v>
      </c>
      <c r="G211" s="40" t="n">
        <f aca="false">F210</f>
        <v>13.4921212121212</v>
      </c>
      <c r="H211" s="42" t="n">
        <f aca="false">E211+F211-G211</f>
        <v>90.6723232323232</v>
      </c>
      <c r="I211" s="24" t="n">
        <f aca="false">H211*$I$21</f>
        <v>960.511898647492</v>
      </c>
      <c r="J211" s="24" t="n">
        <f aca="false">I211*IF($G$21="Sí",$C$9,0)</f>
        <v>172.892141756549</v>
      </c>
      <c r="K211" s="36" t="n">
        <f aca="false">I211+J211</f>
        <v>1133.40404040404</v>
      </c>
    </row>
    <row r="212" customFormat="false" ht="15" hidden="false" customHeight="false" outlineLevel="0" collapsed="false">
      <c r="B212" s="10" t="s">
        <v>121</v>
      </c>
      <c r="C212" s="40" t="n">
        <f aca="false">$G$113*$F$43</f>
        <v>64.8484848484849</v>
      </c>
      <c r="D212" s="40" t="n">
        <f aca="false">$G$132*$F$55</f>
        <v>29.9313131313131</v>
      </c>
      <c r="E212" s="40" t="n">
        <f aca="false">C212+D212</f>
        <v>94.779797979798</v>
      </c>
      <c r="F212" s="40" t="n">
        <f aca="false">E213*$C$200</f>
        <v>15.2</v>
      </c>
      <c r="G212" s="40" t="n">
        <f aca="false">F211</f>
        <v>14.2169696969697</v>
      </c>
      <c r="H212" s="42" t="n">
        <f aca="false">E212+F212-G212</f>
        <v>95.7628282828283</v>
      </c>
      <c r="I212" s="24" t="n">
        <f aca="false">H212*$I$21</f>
        <v>1014.4367402842</v>
      </c>
      <c r="J212" s="24" t="n">
        <f aca="false">I212*IF($G$21="Sí",$C$9,0)</f>
        <v>182.598613251156</v>
      </c>
      <c r="K212" s="36" t="n">
        <f aca="false">I212+J212</f>
        <v>1197.03535353535</v>
      </c>
    </row>
    <row r="213" customFormat="false" ht="15" hidden="false" customHeight="false" outlineLevel="0" collapsed="false">
      <c r="B213" s="10" t="s">
        <v>122</v>
      </c>
      <c r="C213" s="40" t="n">
        <f aca="false">$G$114*$F$43</f>
        <v>70.3030303030303</v>
      </c>
      <c r="D213" s="40" t="n">
        <f aca="false">$G$133*$F$55</f>
        <v>31.030303030303</v>
      </c>
      <c r="E213" s="40" t="n">
        <f aca="false">C213+D213</f>
        <v>101.333333333333</v>
      </c>
      <c r="F213" s="40" t="n">
        <f aca="false">E214*$C$200</f>
        <v>20.3042424242424</v>
      </c>
      <c r="G213" s="40" t="n">
        <f aca="false">F212</f>
        <v>15.2</v>
      </c>
      <c r="H213" s="42" t="n">
        <f aca="false">E213+F213-G213</f>
        <v>106.437575757576</v>
      </c>
      <c r="I213" s="24" t="n">
        <f aca="false">H213*$I$21</f>
        <v>1127.5166923472</v>
      </c>
      <c r="J213" s="24" t="n">
        <f aca="false">I213*IF($G$21="Sí",$C$9,0)</f>
        <v>202.953004622496</v>
      </c>
      <c r="K213" s="36" t="n">
        <f aca="false">I213+J213</f>
        <v>1330.4696969697</v>
      </c>
    </row>
    <row r="214" customFormat="false" ht="15" hidden="false" customHeight="false" outlineLevel="0" collapsed="false">
      <c r="B214" s="10" t="s">
        <v>123</v>
      </c>
      <c r="C214" s="40" t="n">
        <f aca="false">$G$115*$F$43</f>
        <v>98.7878787878788</v>
      </c>
      <c r="D214" s="40" t="n">
        <f aca="false">$G$134*$F$55</f>
        <v>36.5737373737374</v>
      </c>
      <c r="E214" s="40" t="n">
        <f aca="false">C214+D214</f>
        <v>135.361616161616</v>
      </c>
      <c r="F214" s="40" t="n">
        <f aca="false">E216*$C$200</f>
        <v>11.8969696969697</v>
      </c>
      <c r="G214" s="40" t="n">
        <f aca="false">F213</f>
        <v>20.3042424242424</v>
      </c>
      <c r="H214" s="42" t="n">
        <f aca="false">E214+F214-G214</f>
        <v>126.954343434343</v>
      </c>
      <c r="I214" s="24" t="n">
        <f aca="false">H214*$I$21</f>
        <v>1344.85533299093</v>
      </c>
      <c r="J214" s="24" t="n">
        <f aca="false">I214*IF($G$21="Sí",$C$9,0)</f>
        <v>242.073959938367</v>
      </c>
      <c r="K214" s="36" t="n">
        <f aca="false">I214+J214</f>
        <v>1586.92929292929</v>
      </c>
    </row>
    <row r="215" customFormat="false" ht="15" hidden="false" customHeight="false" outlineLevel="0" collapsed="false">
      <c r="B215" s="38" t="s">
        <v>124</v>
      </c>
      <c r="C215" s="31"/>
      <c r="D215" s="31"/>
      <c r="E215" s="43" t="n">
        <f aca="false">SUM(E203:E214)</f>
        <v>1155.03838383838</v>
      </c>
      <c r="F215" s="31"/>
      <c r="G215" s="31"/>
      <c r="H215" s="43" t="n">
        <f aca="false">SUM(H203:H214)</f>
        <v>1161.93535353535</v>
      </c>
      <c r="I215" s="44" t="n">
        <f aca="false">SUM(I203:I214)</f>
        <v>12308.6372196542</v>
      </c>
      <c r="J215" s="44" t="n">
        <f aca="false">SUM(J203:J214)</f>
        <v>2215.55469953775</v>
      </c>
      <c r="K215" s="44" t="n">
        <f aca="false">SUM(K203:K214)</f>
        <v>14524.1919191919</v>
      </c>
    </row>
    <row r="216" customFormat="false" ht="15" hidden="false" customHeight="false" outlineLevel="0" collapsed="false">
      <c r="B216" s="10" t="s">
        <v>147</v>
      </c>
      <c r="C216" s="40" t="n">
        <f aca="false">$G$117*$F$43</f>
        <v>54.3434343434344</v>
      </c>
      <c r="D216" s="40" t="n">
        <f aca="false">$G$136*$F$55</f>
        <v>24.969696969697</v>
      </c>
      <c r="E216" s="40" t="n">
        <f aca="false">C216+D216</f>
        <v>79.3131313131313</v>
      </c>
      <c r="F216" s="19" t="s">
        <v>126</v>
      </c>
      <c r="G216" s="19" t="s">
        <v>126</v>
      </c>
      <c r="H216" s="19" t="s">
        <v>126</v>
      </c>
      <c r="I216" s="19" t="s">
        <v>126</v>
      </c>
      <c r="J216" s="19" t="s">
        <v>126</v>
      </c>
      <c r="K216" s="19" t="s">
        <v>126</v>
      </c>
    </row>
    <row r="218" customFormat="false" ht="15" hidden="false" customHeight="false" outlineLevel="0" collapsed="false">
      <c r="B218" s="18" t="s">
        <v>385</v>
      </c>
    </row>
    <row r="219" customFormat="false" ht="25.5" hidden="false" customHeight="true" outlineLevel="0" collapsed="false">
      <c r="B219" s="20" t="s">
        <v>137</v>
      </c>
      <c r="C219" s="29" t="n">
        <v>0.05</v>
      </c>
    </row>
    <row r="220" customFormat="false" ht="15" hidden="false" customHeight="false" outlineLevel="0" collapsed="false">
      <c r="B220" s="10" t="s">
        <v>209</v>
      </c>
      <c r="C220" s="21" t="n">
        <v>10</v>
      </c>
    </row>
    <row r="221" customFormat="false" ht="39.75" hidden="false" customHeight="true" outlineLevel="0" collapsed="false">
      <c r="B221" s="5" t="s">
        <v>108</v>
      </c>
      <c r="C221" s="5" t="s">
        <v>139</v>
      </c>
      <c r="D221" s="5" t="s">
        <v>140</v>
      </c>
      <c r="E221" s="5" t="s">
        <v>141</v>
      </c>
      <c r="F221" s="5" t="s">
        <v>142</v>
      </c>
      <c r="G221" s="5" t="s">
        <v>143</v>
      </c>
      <c r="H221" s="5" t="s">
        <v>144</v>
      </c>
      <c r="I221" s="5" t="s">
        <v>49</v>
      </c>
      <c r="J221" s="5" t="s">
        <v>145</v>
      </c>
      <c r="K221" s="5" t="s">
        <v>146</v>
      </c>
    </row>
    <row r="222" customFormat="false" ht="15" hidden="false" customHeight="false" outlineLevel="0" collapsed="false">
      <c r="B222" s="10" t="s">
        <v>112</v>
      </c>
      <c r="C222" s="40" t="n">
        <f aca="false">$G$104*$F$44</f>
        <v>170.176470588235</v>
      </c>
      <c r="D222" s="40" t="n">
        <f aca="false">$G$123*$F$56</f>
        <v>74.6117647058824</v>
      </c>
      <c r="E222" s="40" t="n">
        <f aca="false">C222+D222</f>
        <v>244.788235294118</v>
      </c>
      <c r="F222" s="40" t="n">
        <f aca="false">E223*$C$219</f>
        <v>11.6164705882353</v>
      </c>
      <c r="G222" s="40" t="n">
        <f aca="false">$C$220</f>
        <v>10</v>
      </c>
      <c r="H222" s="42" t="n">
        <f aca="false">E222+F222-G222</f>
        <v>246.404705882353</v>
      </c>
      <c r="I222" s="24" t="n">
        <f aca="false">H222*$I$22</f>
        <v>862.416470588235</v>
      </c>
      <c r="J222" s="24" t="n">
        <f aca="false">I222*IF($G$22="Sí",$C$9,0)</f>
        <v>0</v>
      </c>
      <c r="K222" s="36" t="n">
        <f aca="false">I222+J222</f>
        <v>862.416470588235</v>
      </c>
    </row>
    <row r="223" customFormat="false" ht="15" hidden="false" customHeight="false" outlineLevel="0" collapsed="false">
      <c r="B223" s="10" t="s">
        <v>113</v>
      </c>
      <c r="C223" s="40" t="n">
        <f aca="false">$G$105*$F$44</f>
        <v>162.411764705882</v>
      </c>
      <c r="D223" s="40" t="n">
        <f aca="false">$G$124*$F$56</f>
        <v>69.9176470588235</v>
      </c>
      <c r="E223" s="40" t="n">
        <f aca="false">C223+D223</f>
        <v>232.329411764706</v>
      </c>
      <c r="F223" s="40" t="n">
        <f aca="false">E224*$C$219</f>
        <v>13.3035294117647</v>
      </c>
      <c r="G223" s="40" t="n">
        <f aca="false">F222</f>
        <v>11.6164705882353</v>
      </c>
      <c r="H223" s="42" t="n">
        <f aca="false">E223+F223-G223</f>
        <v>234.016470588235</v>
      </c>
      <c r="I223" s="24" t="n">
        <f aca="false">H223*$I$22</f>
        <v>819.057647058824</v>
      </c>
      <c r="J223" s="24" t="n">
        <f aca="false">I223*IF($G$22="Sí",$C$9,0)</f>
        <v>0</v>
      </c>
      <c r="K223" s="36" t="n">
        <f aca="false">I223+J223</f>
        <v>819.057647058824</v>
      </c>
    </row>
    <row r="224" customFormat="false" ht="15" hidden="false" customHeight="false" outlineLevel="0" collapsed="false">
      <c r="B224" s="10" t="s">
        <v>114</v>
      </c>
      <c r="C224" s="40" t="n">
        <f aca="false">$G$106*$F$44</f>
        <v>181.823529411765</v>
      </c>
      <c r="D224" s="40" t="n">
        <f aca="false">$G$125*$F$56</f>
        <v>84.2470588235294</v>
      </c>
      <c r="E224" s="40" t="n">
        <f aca="false">C224+D224</f>
        <v>266.070588235294</v>
      </c>
      <c r="F224" s="40" t="n">
        <f aca="false">E225*$C$219</f>
        <v>14.3717647058824</v>
      </c>
      <c r="G224" s="40" t="n">
        <f aca="false">F223</f>
        <v>13.3035294117647</v>
      </c>
      <c r="H224" s="42" t="n">
        <f aca="false">E224+F224-G224</f>
        <v>267.138823529412</v>
      </c>
      <c r="I224" s="24" t="n">
        <f aca="false">H224*$I$22</f>
        <v>934.985882352941</v>
      </c>
      <c r="J224" s="24" t="n">
        <f aca="false">I224*IF($G$22="Sí",$C$9,0)</f>
        <v>0</v>
      </c>
      <c r="K224" s="36" t="n">
        <f aca="false">I224+J224</f>
        <v>934.985882352941</v>
      </c>
    </row>
    <row r="225" customFormat="false" ht="15" hidden="false" customHeight="false" outlineLevel="0" collapsed="false">
      <c r="B225" s="10" t="s">
        <v>115</v>
      </c>
      <c r="C225" s="40" t="n">
        <f aca="false">$G$107*$F$44</f>
        <v>198</v>
      </c>
      <c r="D225" s="40" t="n">
        <f aca="false">$G$126*$F$56</f>
        <v>89.4352941176471</v>
      </c>
      <c r="E225" s="40" t="n">
        <f aca="false">C225+D225</f>
        <v>287.435294117647</v>
      </c>
      <c r="F225" s="40" t="n">
        <f aca="false">E226*$C$219</f>
        <v>18.3429411764706</v>
      </c>
      <c r="G225" s="40" t="n">
        <f aca="false">F224</f>
        <v>14.3717647058824</v>
      </c>
      <c r="H225" s="42" t="n">
        <f aca="false">E225+F225-G225</f>
        <v>291.406470588235</v>
      </c>
      <c r="I225" s="24" t="n">
        <f aca="false">H225*$I$22</f>
        <v>1019.92264705882</v>
      </c>
      <c r="J225" s="24" t="n">
        <f aca="false">I225*IF($G$22="Sí",$C$9,0)</f>
        <v>0</v>
      </c>
      <c r="K225" s="36" t="n">
        <f aca="false">I225+J225</f>
        <v>1019.92264705882</v>
      </c>
    </row>
    <row r="226" customFormat="false" ht="15" hidden="false" customHeight="false" outlineLevel="0" collapsed="false">
      <c r="B226" s="10" t="s">
        <v>116</v>
      </c>
      <c r="C226" s="40" t="n">
        <f aca="false">$G$108*$F$44</f>
        <v>268.529411764706</v>
      </c>
      <c r="D226" s="40" t="n">
        <f aca="false">$G$127*$F$56</f>
        <v>98.3294117647059</v>
      </c>
      <c r="E226" s="40" t="n">
        <f aca="false">C226+D226</f>
        <v>366.858823529412</v>
      </c>
      <c r="F226" s="40" t="n">
        <f aca="false">E227*$C$219</f>
        <v>14.82</v>
      </c>
      <c r="G226" s="40" t="n">
        <f aca="false">F225</f>
        <v>18.3429411764706</v>
      </c>
      <c r="H226" s="42" t="n">
        <f aca="false">E226+F226-G226</f>
        <v>363.335882352941</v>
      </c>
      <c r="I226" s="24" t="n">
        <f aca="false">H226*$I$22</f>
        <v>1271.67558823529</v>
      </c>
      <c r="J226" s="24" t="n">
        <f aca="false">I226*IF($G$22="Sí",$C$9,0)</f>
        <v>0</v>
      </c>
      <c r="K226" s="36" t="n">
        <f aca="false">I226+J226</f>
        <v>1271.67558823529</v>
      </c>
    </row>
    <row r="227" customFormat="false" ht="15" hidden="false" customHeight="false" outlineLevel="0" collapsed="false">
      <c r="B227" s="10" t="s">
        <v>117</v>
      </c>
      <c r="C227" s="40" t="n">
        <f aca="false">$G$109*$F$44</f>
        <v>207.705882352941</v>
      </c>
      <c r="D227" s="40" t="n">
        <f aca="false">$G$128*$F$56</f>
        <v>88.6941176470588</v>
      </c>
      <c r="E227" s="40" t="n">
        <f aca="false">C227+D227</f>
        <v>296.4</v>
      </c>
      <c r="F227" s="40" t="n">
        <f aca="false">E228*$C$219</f>
        <v>14.9335294117647</v>
      </c>
      <c r="G227" s="40" t="n">
        <f aca="false">F226</f>
        <v>14.82</v>
      </c>
      <c r="H227" s="42" t="n">
        <f aca="false">E227+F227-G227</f>
        <v>296.513529411765</v>
      </c>
      <c r="I227" s="24" t="n">
        <f aca="false">H227*$I$22</f>
        <v>1037.79735294118</v>
      </c>
      <c r="J227" s="24" t="n">
        <f aca="false">I227*IF($G$22="Sí",$C$9,0)</f>
        <v>0</v>
      </c>
      <c r="K227" s="36" t="n">
        <f aca="false">I227+J227</f>
        <v>1037.79735294118</v>
      </c>
    </row>
    <row r="228" customFormat="false" ht="15" hidden="false" customHeight="false" outlineLevel="0" collapsed="false">
      <c r="B228" s="10" t="s">
        <v>118</v>
      </c>
      <c r="C228" s="40" t="n">
        <f aca="false">$G$110*$F$44</f>
        <v>214.176470588235</v>
      </c>
      <c r="D228" s="40" t="n">
        <f aca="false">$G$129*$F$56</f>
        <v>84.4941176470588</v>
      </c>
      <c r="E228" s="40" t="n">
        <f aca="false">C228+D228</f>
        <v>298.670588235294</v>
      </c>
      <c r="F228" s="40" t="n">
        <f aca="false">E229*$C$219</f>
        <v>16.2317647058824</v>
      </c>
      <c r="G228" s="40" t="n">
        <f aca="false">F227</f>
        <v>14.9335294117647</v>
      </c>
      <c r="H228" s="42" t="n">
        <f aca="false">E228+F228-G228</f>
        <v>299.968823529412</v>
      </c>
      <c r="I228" s="24" t="n">
        <f aca="false">H228*$I$22</f>
        <v>1049.89088235294</v>
      </c>
      <c r="J228" s="24" t="n">
        <f aca="false">I228*IF($G$22="Sí",$C$9,0)</f>
        <v>0</v>
      </c>
      <c r="K228" s="36" t="n">
        <f aca="false">I228+J228</f>
        <v>1049.89088235294</v>
      </c>
    </row>
    <row r="229" customFormat="false" ht="15" hidden="false" customHeight="false" outlineLevel="0" collapsed="false">
      <c r="B229" s="10" t="s">
        <v>119</v>
      </c>
      <c r="C229" s="40" t="n">
        <f aca="false">$G$111*$F$44</f>
        <v>231</v>
      </c>
      <c r="D229" s="40" t="n">
        <f aca="false">$G$130*$F$56</f>
        <v>93.6352941176471</v>
      </c>
      <c r="E229" s="40" t="n">
        <f aca="false">C229+D229</f>
        <v>324.635294117647</v>
      </c>
      <c r="F229" s="40" t="n">
        <f aca="false">E230*$C$219</f>
        <v>14.1927058823529</v>
      </c>
      <c r="G229" s="40" t="n">
        <f aca="false">F228</f>
        <v>16.2317647058824</v>
      </c>
      <c r="H229" s="42" t="n">
        <f aca="false">E229+F229-G229</f>
        <v>322.596235294118</v>
      </c>
      <c r="I229" s="24" t="n">
        <f aca="false">H229*$I$22</f>
        <v>1129.08682352941</v>
      </c>
      <c r="J229" s="24" t="n">
        <f aca="false">I229*IF($G$22="Sí",$C$9,0)</f>
        <v>0</v>
      </c>
      <c r="K229" s="36" t="n">
        <f aca="false">I229+J229</f>
        <v>1129.08682352941</v>
      </c>
    </row>
    <row r="230" customFormat="false" ht="15" hidden="false" customHeight="false" outlineLevel="0" collapsed="false">
      <c r="B230" s="10" t="s">
        <v>120</v>
      </c>
      <c r="C230" s="40" t="n">
        <f aca="false">$G$112*$F$44</f>
        <v>194.764705882353</v>
      </c>
      <c r="D230" s="40" t="n">
        <f aca="false">$G$131*$F$56</f>
        <v>89.0894117647059</v>
      </c>
      <c r="E230" s="40" t="n">
        <f aca="false">C230+D230</f>
        <v>283.854117647059</v>
      </c>
      <c r="F230" s="40" t="n">
        <f aca="false">E231*$C$219</f>
        <v>14.9608235294118</v>
      </c>
      <c r="G230" s="40" t="n">
        <f aca="false">F229</f>
        <v>14.1927058823529</v>
      </c>
      <c r="H230" s="42" t="n">
        <f aca="false">E230+F230-G230</f>
        <v>284.622235294118</v>
      </c>
      <c r="I230" s="24" t="n">
        <f aca="false">H230*$I$22</f>
        <v>996.177823529412</v>
      </c>
      <c r="J230" s="24" t="n">
        <f aca="false">I230*IF($G$22="Sí",$C$9,0)</f>
        <v>0</v>
      </c>
      <c r="K230" s="36" t="n">
        <f aca="false">I230+J230</f>
        <v>996.177823529412</v>
      </c>
    </row>
    <row r="231" customFormat="false" ht="15" hidden="false" customHeight="false" outlineLevel="0" collapsed="false">
      <c r="B231" s="10" t="s">
        <v>121</v>
      </c>
      <c r="C231" s="40" t="n">
        <f aca="false">$G$113*$F$44</f>
        <v>207.705882352941</v>
      </c>
      <c r="D231" s="40" t="n">
        <f aca="false">$G$132*$F$56</f>
        <v>91.5105882352941</v>
      </c>
      <c r="E231" s="40" t="n">
        <f aca="false">C231+D231</f>
        <v>299.216470588235</v>
      </c>
      <c r="F231" s="40" t="n">
        <f aca="false">E232*$C$219</f>
        <v>16.0023529411765</v>
      </c>
      <c r="G231" s="40" t="n">
        <f aca="false">F230</f>
        <v>14.9608235294118</v>
      </c>
      <c r="H231" s="42" t="n">
        <f aca="false">E231+F231-G231</f>
        <v>300.258</v>
      </c>
      <c r="I231" s="24" t="n">
        <f aca="false">H231*$I$22</f>
        <v>1050.903</v>
      </c>
      <c r="J231" s="24" t="n">
        <f aca="false">I231*IF($G$22="Sí",$C$9,0)</f>
        <v>0</v>
      </c>
      <c r="K231" s="36" t="n">
        <f aca="false">I231+J231</f>
        <v>1050.903</v>
      </c>
    </row>
    <row r="232" customFormat="false" ht="15" hidden="false" customHeight="false" outlineLevel="0" collapsed="false">
      <c r="B232" s="10" t="s">
        <v>122</v>
      </c>
      <c r="C232" s="40" t="n">
        <f aca="false">$G$114*$F$44</f>
        <v>225.176470588235</v>
      </c>
      <c r="D232" s="40" t="n">
        <f aca="false">$G$133*$F$56</f>
        <v>94.8705882352941</v>
      </c>
      <c r="E232" s="40" t="n">
        <f aca="false">C232+D232</f>
        <v>320.047058823529</v>
      </c>
      <c r="F232" s="40" t="n">
        <f aca="false">E233*$C$219</f>
        <v>21.4115294117647</v>
      </c>
      <c r="G232" s="40" t="n">
        <f aca="false">F231</f>
        <v>16.0023529411765</v>
      </c>
      <c r="H232" s="42" t="n">
        <f aca="false">E232+F232-G232</f>
        <v>325.456235294118</v>
      </c>
      <c r="I232" s="24" t="n">
        <f aca="false">H232*$I$22</f>
        <v>1139.09682352941</v>
      </c>
      <c r="J232" s="24" t="n">
        <f aca="false">I232*IF($G$22="Sí",$C$9,0)</f>
        <v>0</v>
      </c>
      <c r="K232" s="36" t="n">
        <f aca="false">I232+J232</f>
        <v>1139.09682352941</v>
      </c>
    </row>
    <row r="233" customFormat="false" ht="15" hidden="false" customHeight="false" outlineLevel="0" collapsed="false">
      <c r="B233" s="10" t="s">
        <v>123</v>
      </c>
      <c r="C233" s="40" t="n">
        <f aca="false">$G$115*$F$44</f>
        <v>316.411764705882</v>
      </c>
      <c r="D233" s="40" t="n">
        <f aca="false">$G$134*$F$56</f>
        <v>111.818823529412</v>
      </c>
      <c r="E233" s="40" t="n">
        <f aca="false">C233+D233</f>
        <v>428.230588235294</v>
      </c>
      <c r="F233" s="40" t="n">
        <f aca="false">E235*$C$219</f>
        <v>12.52</v>
      </c>
      <c r="G233" s="40" t="n">
        <f aca="false">F232</f>
        <v>21.4115294117647</v>
      </c>
      <c r="H233" s="42" t="n">
        <f aca="false">E233+F233-G233</f>
        <v>419.339058823529</v>
      </c>
      <c r="I233" s="24" t="n">
        <f aca="false">H233*$I$22</f>
        <v>1467.68670588235</v>
      </c>
      <c r="J233" s="24" t="n">
        <f aca="false">I233*IF($G$22="Sí",$C$9,0)</f>
        <v>0</v>
      </c>
      <c r="K233" s="36" t="n">
        <f aca="false">I233+J233</f>
        <v>1467.68670588235</v>
      </c>
    </row>
    <row r="234" customFormat="false" ht="15" hidden="false" customHeight="false" outlineLevel="0" collapsed="false">
      <c r="B234" s="38" t="s">
        <v>124</v>
      </c>
      <c r="C234" s="31"/>
      <c r="D234" s="31"/>
      <c r="E234" s="43" t="n">
        <f aca="false">SUM(E222:E233)</f>
        <v>3648.53647058824</v>
      </c>
      <c r="F234" s="31"/>
      <c r="G234" s="31"/>
      <c r="H234" s="43" t="n">
        <f aca="false">SUM(H222:H233)</f>
        <v>3651.05647058824</v>
      </c>
      <c r="I234" s="44" t="n">
        <f aca="false">SUM(I222:I233)</f>
        <v>12778.6976470588</v>
      </c>
      <c r="J234" s="44" t="n">
        <f aca="false">SUM(J222:J233)</f>
        <v>0</v>
      </c>
      <c r="K234" s="44" t="n">
        <f aca="false">SUM(K222:K233)</f>
        <v>12778.6976470588</v>
      </c>
    </row>
    <row r="235" customFormat="false" ht="15" hidden="false" customHeight="false" outlineLevel="0" collapsed="false">
      <c r="B235" s="10" t="s">
        <v>147</v>
      </c>
      <c r="C235" s="40" t="n">
        <f aca="false">$G$117*$F$44</f>
        <v>174.058823529412</v>
      </c>
      <c r="D235" s="40" t="n">
        <f aca="false">$G$136*$F$56</f>
        <v>76.3411764705882</v>
      </c>
      <c r="E235" s="40" t="n">
        <f aca="false">C235+D235</f>
        <v>250.4</v>
      </c>
      <c r="F235" s="19" t="s">
        <v>126</v>
      </c>
      <c r="G235" s="19" t="s">
        <v>126</v>
      </c>
      <c r="H235" s="19" t="s">
        <v>126</v>
      </c>
      <c r="I235" s="19" t="s">
        <v>126</v>
      </c>
      <c r="J235" s="19" t="s">
        <v>126</v>
      </c>
      <c r="K235" s="19" t="s">
        <v>126</v>
      </c>
    </row>
    <row r="237" customFormat="false" ht="15" hidden="false" customHeight="false" outlineLevel="0" collapsed="false">
      <c r="B237" s="18" t="s">
        <v>386</v>
      </c>
    </row>
    <row r="238" customFormat="false" ht="25.5" hidden="false" customHeight="true" outlineLevel="0" collapsed="false">
      <c r="B238" s="20" t="s">
        <v>137</v>
      </c>
      <c r="C238" s="29" t="n">
        <v>0.15</v>
      </c>
    </row>
    <row r="239" customFormat="false" ht="15" hidden="false" customHeight="false" outlineLevel="0" collapsed="false">
      <c r="B239" s="10" t="s">
        <v>209</v>
      </c>
      <c r="C239" s="21" t="n">
        <v>5</v>
      </c>
    </row>
    <row r="240" customFormat="false" ht="39.75" hidden="false" customHeight="true" outlineLevel="0" collapsed="false">
      <c r="B240" s="5" t="s">
        <v>108</v>
      </c>
      <c r="C240" s="5" t="s">
        <v>139</v>
      </c>
      <c r="D240" s="5" t="s">
        <v>140</v>
      </c>
      <c r="E240" s="5" t="s">
        <v>141</v>
      </c>
      <c r="F240" s="5" t="s">
        <v>142</v>
      </c>
      <c r="G240" s="5" t="s">
        <v>143</v>
      </c>
      <c r="H240" s="5" t="s">
        <v>144</v>
      </c>
      <c r="I240" s="5" t="s">
        <v>49</v>
      </c>
      <c r="J240" s="5" t="s">
        <v>145</v>
      </c>
      <c r="K240" s="5" t="s">
        <v>146</v>
      </c>
    </row>
    <row r="241" customFormat="false" ht="15" hidden="false" customHeight="false" outlineLevel="0" collapsed="false">
      <c r="B241" s="10" t="s">
        <v>112</v>
      </c>
      <c r="C241" s="40" t="n">
        <f aca="false">$G$104*$F$45</f>
        <v>31.56</v>
      </c>
      <c r="D241" s="40" t="n">
        <f aca="false">$G$123*$F$57</f>
        <v>15.1</v>
      </c>
      <c r="E241" s="40" t="n">
        <f aca="false">C241+D241</f>
        <v>46.66</v>
      </c>
      <c r="F241" s="40" t="n">
        <f aca="false">E242*$C$238</f>
        <v>6.6405</v>
      </c>
      <c r="G241" s="40" t="n">
        <f aca="false">$C$239</f>
        <v>5</v>
      </c>
      <c r="H241" s="42" t="n">
        <f aca="false">E241+F241-G241</f>
        <v>48.3005</v>
      </c>
      <c r="I241" s="24" t="n">
        <f aca="false">H241*$I$23</f>
        <v>373.083840925141</v>
      </c>
      <c r="J241" s="24" t="n">
        <f aca="false">I241*IF($G$23="Sí",$C$9,0)</f>
        <v>67.1550913665254</v>
      </c>
      <c r="K241" s="36" t="n">
        <f aca="false">I241+J241</f>
        <v>440.238932291667</v>
      </c>
    </row>
    <row r="242" customFormat="false" ht="15" hidden="false" customHeight="false" outlineLevel="0" collapsed="false">
      <c r="B242" s="10" t="s">
        <v>113</v>
      </c>
      <c r="C242" s="40" t="n">
        <f aca="false">$G$105*$F$45</f>
        <v>30.12</v>
      </c>
      <c r="D242" s="40" t="n">
        <f aca="false">$G$124*$F$57</f>
        <v>14.15</v>
      </c>
      <c r="E242" s="40" t="n">
        <f aca="false">C242+D242</f>
        <v>44.27</v>
      </c>
      <c r="F242" s="40" t="n">
        <f aca="false">E243*$C$238</f>
        <v>7.6155</v>
      </c>
      <c r="G242" s="40" t="n">
        <f aca="false">F241</f>
        <v>6.6405</v>
      </c>
      <c r="H242" s="42" t="n">
        <f aca="false">E242+F242-G242</f>
        <v>45.245</v>
      </c>
      <c r="I242" s="24" t="n">
        <f aca="false">H242*$I$23</f>
        <v>349.482477048023</v>
      </c>
      <c r="J242" s="24" t="n">
        <f aca="false">I242*IF($G$23="Sí",$C$9,0)</f>
        <v>62.9068458686441</v>
      </c>
      <c r="K242" s="36" t="n">
        <f aca="false">I242+J242</f>
        <v>412.389322916667</v>
      </c>
    </row>
    <row r="243" customFormat="false" ht="15" hidden="false" customHeight="false" outlineLevel="0" collapsed="false">
      <c r="B243" s="10" t="s">
        <v>114</v>
      </c>
      <c r="C243" s="40" t="n">
        <f aca="false">$G$106*$F$45</f>
        <v>33.72</v>
      </c>
      <c r="D243" s="40" t="n">
        <f aca="false">$G$125*$F$57</f>
        <v>17.05</v>
      </c>
      <c r="E243" s="40" t="n">
        <f aca="false">C243+D243</f>
        <v>50.77</v>
      </c>
      <c r="F243" s="40" t="n">
        <f aca="false">E244*$C$238</f>
        <v>8.223</v>
      </c>
      <c r="G243" s="40" t="n">
        <f aca="false">F242</f>
        <v>7.6155</v>
      </c>
      <c r="H243" s="42" t="n">
        <f aca="false">E243+F243-G243</f>
        <v>51.3775</v>
      </c>
      <c r="I243" s="24" t="n">
        <f aca="false">H243*$I$23</f>
        <v>396.851275600282</v>
      </c>
      <c r="J243" s="24" t="n">
        <f aca="false">I243*IF($G$23="Sí",$C$9,0)</f>
        <v>71.4332296080508</v>
      </c>
      <c r="K243" s="36" t="n">
        <f aca="false">I243+J243</f>
        <v>468.284505208333</v>
      </c>
    </row>
    <row r="244" customFormat="false" ht="15" hidden="false" customHeight="false" outlineLevel="0" collapsed="false">
      <c r="B244" s="10" t="s">
        <v>115</v>
      </c>
      <c r="C244" s="40" t="n">
        <f aca="false">$G$107*$F$45</f>
        <v>36.72</v>
      </c>
      <c r="D244" s="40" t="n">
        <f aca="false">$G$126*$F$57</f>
        <v>18.1</v>
      </c>
      <c r="E244" s="40" t="n">
        <f aca="false">C244+D244</f>
        <v>54.82</v>
      </c>
      <c r="F244" s="40" t="n">
        <f aca="false">E245*$C$238</f>
        <v>10.455</v>
      </c>
      <c r="G244" s="40" t="n">
        <f aca="false">F243</f>
        <v>8.223</v>
      </c>
      <c r="H244" s="42" t="n">
        <f aca="false">E244+F244-G244</f>
        <v>57.052</v>
      </c>
      <c r="I244" s="24" t="n">
        <f aca="false">H244*$I$23</f>
        <v>440.682379943503</v>
      </c>
      <c r="J244" s="24" t="n">
        <f aca="false">I244*IF($G$23="Sí",$C$9,0)</f>
        <v>79.3228283898305</v>
      </c>
      <c r="K244" s="36" t="n">
        <f aca="false">I244+J244</f>
        <v>520.005208333333</v>
      </c>
    </row>
    <row r="245" customFormat="false" ht="15" hidden="false" customHeight="false" outlineLevel="0" collapsed="false">
      <c r="B245" s="10" t="s">
        <v>116</v>
      </c>
      <c r="C245" s="40" t="n">
        <f aca="false">$G$108*$F$45</f>
        <v>49.8</v>
      </c>
      <c r="D245" s="40" t="n">
        <f aca="false">$G$127*$F$57</f>
        <v>19.9</v>
      </c>
      <c r="E245" s="40" t="n">
        <f aca="false">C245+D245</f>
        <v>69.7</v>
      </c>
      <c r="F245" s="40" t="n">
        <f aca="false">E246*$C$238</f>
        <v>8.4705</v>
      </c>
      <c r="G245" s="40" t="n">
        <f aca="false">F244</f>
        <v>10.455</v>
      </c>
      <c r="H245" s="42" t="n">
        <f aca="false">E245+F245-G245</f>
        <v>67.7155</v>
      </c>
      <c r="I245" s="24" t="n">
        <f aca="false">H245*$I$23</f>
        <v>523.04963365113</v>
      </c>
      <c r="J245" s="24" t="n">
        <f aca="false">I245*IF($G$23="Sí",$C$9,0)</f>
        <v>94.1489340572034</v>
      </c>
      <c r="K245" s="36" t="n">
        <f aca="false">I245+J245</f>
        <v>617.198567708333</v>
      </c>
    </row>
    <row r="246" customFormat="false" ht="15" hidden="false" customHeight="false" outlineLevel="0" collapsed="false">
      <c r="B246" s="10" t="s">
        <v>117</v>
      </c>
      <c r="C246" s="40" t="n">
        <f aca="false">$G$109*$F$45</f>
        <v>38.52</v>
      </c>
      <c r="D246" s="40" t="n">
        <f aca="false">$G$128*$F$57</f>
        <v>17.95</v>
      </c>
      <c r="E246" s="40" t="n">
        <f aca="false">C246+D246</f>
        <v>56.47</v>
      </c>
      <c r="F246" s="40" t="n">
        <f aca="false">E247*$C$238</f>
        <v>8.523</v>
      </c>
      <c r="G246" s="40" t="n">
        <f aca="false">F245</f>
        <v>8.4705</v>
      </c>
      <c r="H246" s="42" t="n">
        <f aca="false">E246+F246-G246</f>
        <v>56.5225</v>
      </c>
      <c r="I246" s="24" t="n">
        <f aca="false">H246*$I$23</f>
        <v>436.592403778249</v>
      </c>
      <c r="J246" s="24" t="n">
        <f aca="false">I246*IF($G$23="Sí",$C$9,0)</f>
        <v>78.5866326800847</v>
      </c>
      <c r="K246" s="36" t="n">
        <f aca="false">I246+J246</f>
        <v>515.179036458333</v>
      </c>
    </row>
    <row r="247" customFormat="false" ht="15" hidden="false" customHeight="false" outlineLevel="0" collapsed="false">
      <c r="B247" s="10" t="s">
        <v>118</v>
      </c>
      <c r="C247" s="40" t="n">
        <f aca="false">$G$110*$F$45</f>
        <v>39.72</v>
      </c>
      <c r="D247" s="40" t="n">
        <f aca="false">$G$129*$F$57</f>
        <v>17.1</v>
      </c>
      <c r="E247" s="40" t="n">
        <f aca="false">C247+D247</f>
        <v>56.82</v>
      </c>
      <c r="F247" s="40" t="n">
        <f aca="false">E248*$C$238</f>
        <v>9.2685</v>
      </c>
      <c r="G247" s="40" t="n">
        <f aca="false">F246</f>
        <v>8.523</v>
      </c>
      <c r="H247" s="42" t="n">
        <f aca="false">E247+F247-G247</f>
        <v>57.5655</v>
      </c>
      <c r="I247" s="24" t="n">
        <f aca="false">H247*$I$23</f>
        <v>444.648768538136</v>
      </c>
      <c r="J247" s="24" t="n">
        <f aca="false">I247*IF($G$23="Sí",$C$9,0)</f>
        <v>80.0367783368644</v>
      </c>
      <c r="K247" s="36" t="n">
        <f aca="false">I247+J247</f>
        <v>524.685546875</v>
      </c>
    </row>
    <row r="248" customFormat="false" ht="15" hidden="false" customHeight="false" outlineLevel="0" collapsed="false">
      <c r="B248" s="10" t="s">
        <v>119</v>
      </c>
      <c r="C248" s="40" t="n">
        <f aca="false">$G$111*$F$45</f>
        <v>42.84</v>
      </c>
      <c r="D248" s="40" t="n">
        <f aca="false">$G$130*$F$57</f>
        <v>18.95</v>
      </c>
      <c r="E248" s="40" t="n">
        <f aca="false">C248+D248</f>
        <v>61.79</v>
      </c>
      <c r="F248" s="40" t="n">
        <f aca="false">E249*$C$238</f>
        <v>8.1225</v>
      </c>
      <c r="G248" s="40" t="n">
        <f aca="false">F247</f>
        <v>9.2685</v>
      </c>
      <c r="H248" s="42" t="n">
        <f aca="false">E248+F248-G248</f>
        <v>60.644</v>
      </c>
      <c r="I248" s="24" t="n">
        <f aca="false">H248*$I$23</f>
        <v>468.427789548023</v>
      </c>
      <c r="J248" s="24" t="n">
        <f aca="false">I248*IF($G$23="Sí",$C$9,0)</f>
        <v>84.3170021186441</v>
      </c>
      <c r="K248" s="36" t="n">
        <f aca="false">I248+J248</f>
        <v>552.744791666667</v>
      </c>
    </row>
    <row r="249" customFormat="false" ht="15" hidden="false" customHeight="false" outlineLevel="0" collapsed="false">
      <c r="B249" s="10" t="s">
        <v>120</v>
      </c>
      <c r="C249" s="40" t="n">
        <f aca="false">$G$112*$F$45</f>
        <v>36.12</v>
      </c>
      <c r="D249" s="40" t="n">
        <f aca="false">$G$131*$F$57</f>
        <v>18.03</v>
      </c>
      <c r="E249" s="40" t="n">
        <f aca="false">C249+D249</f>
        <v>54.15</v>
      </c>
      <c r="F249" s="40" t="n">
        <f aca="false">E250*$C$238</f>
        <v>8.556</v>
      </c>
      <c r="G249" s="40" t="n">
        <f aca="false">F248</f>
        <v>8.1225</v>
      </c>
      <c r="H249" s="42" t="n">
        <f aca="false">E249+F249-G249</f>
        <v>54.5835</v>
      </c>
      <c r="I249" s="24" t="n">
        <f aca="false">H249*$I$23</f>
        <v>421.615135063559</v>
      </c>
      <c r="J249" s="24" t="n">
        <f aca="false">I249*IF($G$23="Sí",$C$9,0)</f>
        <v>75.8907243114407</v>
      </c>
      <c r="K249" s="36" t="n">
        <f aca="false">I249+J249</f>
        <v>497.505859375</v>
      </c>
    </row>
    <row r="250" customFormat="false" ht="15" hidden="false" customHeight="false" outlineLevel="0" collapsed="false">
      <c r="B250" s="10" t="s">
        <v>121</v>
      </c>
      <c r="C250" s="40" t="n">
        <f aca="false">$G$113*$F$45</f>
        <v>38.52</v>
      </c>
      <c r="D250" s="40" t="n">
        <f aca="false">$G$132*$F$57</f>
        <v>18.52</v>
      </c>
      <c r="E250" s="40" t="n">
        <f aca="false">C250+D250</f>
        <v>57.04</v>
      </c>
      <c r="F250" s="40" t="n">
        <f aca="false">E251*$C$238</f>
        <v>9.144</v>
      </c>
      <c r="G250" s="40" t="n">
        <f aca="false">F249</f>
        <v>8.556</v>
      </c>
      <c r="H250" s="42" t="n">
        <f aca="false">E250+F250-G250</f>
        <v>57.628</v>
      </c>
      <c r="I250" s="24" t="n">
        <f aca="false">H250*$I$23</f>
        <v>445.131532485876</v>
      </c>
      <c r="J250" s="24" t="n">
        <f aca="false">I250*IF($G$23="Sí",$C$9,0)</f>
        <v>80.1236758474576</v>
      </c>
      <c r="K250" s="36" t="n">
        <f aca="false">I250+J250</f>
        <v>525.255208333333</v>
      </c>
    </row>
    <row r="251" customFormat="false" ht="15" hidden="false" customHeight="false" outlineLevel="0" collapsed="false">
      <c r="B251" s="10" t="s">
        <v>122</v>
      </c>
      <c r="C251" s="40" t="n">
        <f aca="false">$G$114*$F$45</f>
        <v>41.76</v>
      </c>
      <c r="D251" s="40" t="n">
        <f aca="false">$G$133*$F$57</f>
        <v>19.2</v>
      </c>
      <c r="E251" s="40" t="n">
        <f aca="false">C251+D251</f>
        <v>60.96</v>
      </c>
      <c r="F251" s="40" t="n">
        <f aca="false">E252*$C$238</f>
        <v>12.1965</v>
      </c>
      <c r="G251" s="40" t="n">
        <f aca="false">F250</f>
        <v>9.144</v>
      </c>
      <c r="H251" s="42" t="n">
        <f aca="false">E251+F251-G251</f>
        <v>64.0125</v>
      </c>
      <c r="I251" s="24" t="n">
        <f aca="false">H251*$I$23</f>
        <v>494.446835275424</v>
      </c>
      <c r="J251" s="24" t="n">
        <f aca="false">I251*IF($G$23="Sí",$C$9,0)</f>
        <v>89.0004303495763</v>
      </c>
      <c r="K251" s="36" t="n">
        <f aca="false">I251+J251</f>
        <v>583.447265625</v>
      </c>
    </row>
    <row r="252" customFormat="false" ht="15" hidden="false" customHeight="false" outlineLevel="0" collapsed="false">
      <c r="B252" s="10" t="s">
        <v>123</v>
      </c>
      <c r="C252" s="40" t="n">
        <f aca="false">$G$115*$F$45</f>
        <v>58.68</v>
      </c>
      <c r="D252" s="40" t="n">
        <f aca="false">$G$134*$F$57</f>
        <v>22.63</v>
      </c>
      <c r="E252" s="40" t="n">
        <f aca="false">C252+D252</f>
        <v>81.31</v>
      </c>
      <c r="F252" s="40" t="n">
        <f aca="false">E254*$C$238</f>
        <v>7.1595</v>
      </c>
      <c r="G252" s="40" t="n">
        <f aca="false">F251</f>
        <v>12.1965</v>
      </c>
      <c r="H252" s="42" t="n">
        <f aca="false">E252+F252-G252</f>
        <v>76.273</v>
      </c>
      <c r="I252" s="24" t="n">
        <f aca="false">H252*$I$23</f>
        <v>589.149673375706</v>
      </c>
      <c r="J252" s="24" t="n">
        <f aca="false">I252*IF($G$23="Sí",$C$9,0)</f>
        <v>106.046941207627</v>
      </c>
      <c r="K252" s="36" t="n">
        <f aca="false">I252+J252</f>
        <v>695.196614583333</v>
      </c>
    </row>
    <row r="253" customFormat="false" ht="15" hidden="false" customHeight="false" outlineLevel="0" collapsed="false">
      <c r="B253" s="38" t="s">
        <v>124</v>
      </c>
      <c r="C253" s="31"/>
      <c r="D253" s="31"/>
      <c r="E253" s="43" t="n">
        <f aca="false">SUM(E241:E252)</f>
        <v>694.76</v>
      </c>
      <c r="F253" s="31"/>
      <c r="G253" s="31"/>
      <c r="H253" s="43" t="n">
        <f aca="false">SUM(H241:H252)</f>
        <v>696.9195</v>
      </c>
      <c r="I253" s="44" t="n">
        <f aca="false">SUM(I241:I252)</f>
        <v>5383.16174523305</v>
      </c>
      <c r="J253" s="44" t="n">
        <f aca="false">SUM(J241:J252)</f>
        <v>968.969114141949</v>
      </c>
      <c r="K253" s="44" t="n">
        <f aca="false">SUM(K241:K252)</f>
        <v>6352.130859375</v>
      </c>
    </row>
    <row r="254" customFormat="false" ht="15" hidden="false" customHeight="false" outlineLevel="0" collapsed="false">
      <c r="B254" s="10" t="s">
        <v>147</v>
      </c>
      <c r="C254" s="40" t="n">
        <f aca="false">$G$117*$F$45</f>
        <v>32.28</v>
      </c>
      <c r="D254" s="40" t="n">
        <f aca="false">$G$136*$F$57</f>
        <v>15.45</v>
      </c>
      <c r="E254" s="40" t="n">
        <f aca="false">C254+D254</f>
        <v>47.73</v>
      </c>
      <c r="F254" s="19" t="s">
        <v>126</v>
      </c>
      <c r="G254" s="19" t="s">
        <v>126</v>
      </c>
      <c r="H254" s="19" t="s">
        <v>126</v>
      </c>
      <c r="I254" s="19" t="s">
        <v>126</v>
      </c>
      <c r="J254" s="19" t="s">
        <v>126</v>
      </c>
      <c r="K254" s="19" t="s">
        <v>126</v>
      </c>
    </row>
    <row r="256" customFormat="false" ht="15" hidden="false" customHeight="false" outlineLevel="0" collapsed="false">
      <c r="B256" s="18" t="s">
        <v>387</v>
      </c>
    </row>
    <row r="257" customFormat="false" ht="25.5" hidden="false" customHeight="true" outlineLevel="0" collapsed="false">
      <c r="B257" s="20" t="s">
        <v>137</v>
      </c>
      <c r="C257" s="29" t="n">
        <v>0.15</v>
      </c>
    </row>
    <row r="258" customFormat="false" ht="15" hidden="false" customHeight="false" outlineLevel="0" collapsed="false">
      <c r="B258" s="10" t="s">
        <v>212</v>
      </c>
      <c r="C258" s="21" t="n">
        <v>25</v>
      </c>
    </row>
    <row r="259" customFormat="false" ht="39.75" hidden="false" customHeight="true" outlineLevel="0" collapsed="false">
      <c r="B259" s="5" t="s">
        <v>108</v>
      </c>
      <c r="C259" s="5" t="s">
        <v>139</v>
      </c>
      <c r="D259" s="5" t="s">
        <v>140</v>
      </c>
      <c r="E259" s="5" t="s">
        <v>141</v>
      </c>
      <c r="F259" s="5" t="s">
        <v>142</v>
      </c>
      <c r="G259" s="5" t="s">
        <v>143</v>
      </c>
      <c r="H259" s="5" t="s">
        <v>144</v>
      </c>
      <c r="I259" s="5" t="s">
        <v>49</v>
      </c>
      <c r="J259" s="5" t="s">
        <v>145</v>
      </c>
      <c r="K259" s="5" t="s">
        <v>146</v>
      </c>
    </row>
    <row r="260" customFormat="false" ht="15" hidden="false" customHeight="false" outlineLevel="0" collapsed="false">
      <c r="B260" s="10" t="s">
        <v>112</v>
      </c>
      <c r="C260" s="40" t="n">
        <f aca="false">$G$104*$F$46</f>
        <v>268.367346938776</v>
      </c>
      <c r="D260" s="41" t="n">
        <v>0</v>
      </c>
      <c r="E260" s="40" t="n">
        <f aca="false">C260+D260</f>
        <v>268.367346938776</v>
      </c>
      <c r="F260" s="40" t="n">
        <f aca="false">E261*$C$257</f>
        <v>38.4183673469388</v>
      </c>
      <c r="G260" s="40" t="n">
        <f aca="false">$C$258</f>
        <v>25</v>
      </c>
      <c r="H260" s="42" t="n">
        <f aca="false">E260+F260-G260</f>
        <v>281.785714285714</v>
      </c>
      <c r="I260" s="24" t="n">
        <f aca="false">H260*$I$24</f>
        <v>229.249394673124</v>
      </c>
      <c r="J260" s="24" t="n">
        <f aca="false">I260*IF($G$24="Sí",$C$9,0)</f>
        <v>41.2648910411622</v>
      </c>
      <c r="K260" s="36" t="n">
        <f aca="false">I260+J260</f>
        <v>270.514285714286</v>
      </c>
    </row>
    <row r="261" customFormat="false" ht="15" hidden="false" customHeight="false" outlineLevel="0" collapsed="false">
      <c r="B261" s="10" t="s">
        <v>113</v>
      </c>
      <c r="C261" s="40" t="n">
        <f aca="false">$G$105*$F$46</f>
        <v>256.122448979592</v>
      </c>
      <c r="D261" s="41" t="n">
        <v>0</v>
      </c>
      <c r="E261" s="40" t="n">
        <f aca="false">C261+D261</f>
        <v>256.122448979592</v>
      </c>
      <c r="F261" s="40" t="n">
        <f aca="false">E262*$C$257</f>
        <v>43.0102040816327</v>
      </c>
      <c r="G261" s="40" t="n">
        <f aca="false">F260</f>
        <v>38.4183673469388</v>
      </c>
      <c r="H261" s="42" t="n">
        <f aca="false">E261+F261-G261</f>
        <v>260.714285714286</v>
      </c>
      <c r="I261" s="24" t="n">
        <f aca="false">H261*$I$24</f>
        <v>212.106537530266</v>
      </c>
      <c r="J261" s="24" t="n">
        <f aca="false">I261*IF($G$24="Sí",$C$9,0)</f>
        <v>38.179176755448</v>
      </c>
      <c r="K261" s="36" t="n">
        <f aca="false">I261+J261</f>
        <v>250.285714285714</v>
      </c>
    </row>
    <row r="262" customFormat="false" ht="15" hidden="false" customHeight="false" outlineLevel="0" collapsed="false">
      <c r="B262" s="10" t="s">
        <v>114</v>
      </c>
      <c r="C262" s="40" t="n">
        <f aca="false">$G$106*$F$46</f>
        <v>286.734693877551</v>
      </c>
      <c r="D262" s="41" t="n">
        <v>0</v>
      </c>
      <c r="E262" s="40" t="n">
        <f aca="false">C262+D262</f>
        <v>286.734693877551</v>
      </c>
      <c r="F262" s="40" t="n">
        <f aca="false">E263*$C$257</f>
        <v>46.8367346938776</v>
      </c>
      <c r="G262" s="40" t="n">
        <f aca="false">F261</f>
        <v>43.0102040816327</v>
      </c>
      <c r="H262" s="42" t="n">
        <f aca="false">E262+F262-G262</f>
        <v>290.561224489796</v>
      </c>
      <c r="I262" s="24" t="n">
        <f aca="false">H262*$I$24</f>
        <v>236.388792805258</v>
      </c>
      <c r="J262" s="24" t="n">
        <f aca="false">I262*IF($G$24="Sí",$C$9,0)</f>
        <v>42.5499827049464</v>
      </c>
      <c r="K262" s="36" t="n">
        <f aca="false">I262+J262</f>
        <v>278.938775510204</v>
      </c>
    </row>
    <row r="263" customFormat="false" ht="15" hidden="false" customHeight="false" outlineLevel="0" collapsed="false">
      <c r="B263" s="10" t="s">
        <v>115</v>
      </c>
      <c r="C263" s="40" t="n">
        <f aca="false">$G$107*$F$46</f>
        <v>312.244897959184</v>
      </c>
      <c r="D263" s="41" t="n">
        <v>0</v>
      </c>
      <c r="E263" s="40" t="n">
        <f aca="false">C263+D263</f>
        <v>312.244897959184</v>
      </c>
      <c r="F263" s="40" t="n">
        <f aca="false">E264*$C$257</f>
        <v>63.5204081632653</v>
      </c>
      <c r="G263" s="40" t="n">
        <f aca="false">F262</f>
        <v>46.8367346938776</v>
      </c>
      <c r="H263" s="42" t="n">
        <f aca="false">E263+F263-G263</f>
        <v>328.928571428571</v>
      </c>
      <c r="I263" s="24" t="n">
        <f aca="false">H263*$I$24</f>
        <v>267.602905569007</v>
      </c>
      <c r="J263" s="24" t="n">
        <f aca="false">I263*IF($G$24="Sí",$C$9,0)</f>
        <v>48.1685230024213</v>
      </c>
      <c r="K263" s="36" t="n">
        <f aca="false">I263+J263</f>
        <v>315.771428571429</v>
      </c>
    </row>
    <row r="264" customFormat="false" ht="15" hidden="false" customHeight="false" outlineLevel="0" collapsed="false">
      <c r="B264" s="10" t="s">
        <v>116</v>
      </c>
      <c r="C264" s="40" t="n">
        <f aca="false">$G$108*$F$46</f>
        <v>423.469387755102</v>
      </c>
      <c r="D264" s="41" t="n">
        <v>0</v>
      </c>
      <c r="E264" s="40" t="n">
        <f aca="false">C264+D264</f>
        <v>423.469387755102</v>
      </c>
      <c r="F264" s="40" t="n">
        <f aca="false">E265*$C$257</f>
        <v>49.1326530612245</v>
      </c>
      <c r="G264" s="40" t="n">
        <f aca="false">F263</f>
        <v>63.5204081632653</v>
      </c>
      <c r="H264" s="42" t="n">
        <f aca="false">E264+F264-G264</f>
        <v>409.081632653061</v>
      </c>
      <c r="I264" s="24" t="n">
        <f aca="false">H264*$I$24</f>
        <v>332.812175717745</v>
      </c>
      <c r="J264" s="24" t="n">
        <f aca="false">I264*IF($G$24="Sí",$C$9,0)</f>
        <v>59.9061916291941</v>
      </c>
      <c r="K264" s="36" t="n">
        <f aca="false">I264+J264</f>
        <v>392.718367346939</v>
      </c>
    </row>
    <row r="265" customFormat="false" ht="15" hidden="false" customHeight="false" outlineLevel="0" collapsed="false">
      <c r="B265" s="10" t="s">
        <v>117</v>
      </c>
      <c r="C265" s="40" t="n">
        <f aca="false">$G$109*$F$46</f>
        <v>327.551020408163</v>
      </c>
      <c r="D265" s="41" t="n">
        <v>0</v>
      </c>
      <c r="E265" s="40" t="n">
        <f aca="false">C265+D265</f>
        <v>327.551020408163</v>
      </c>
      <c r="F265" s="40" t="n">
        <f aca="false">E266*$C$257</f>
        <v>50.6632653061225</v>
      </c>
      <c r="G265" s="40" t="n">
        <f aca="false">F264</f>
        <v>49.1326530612245</v>
      </c>
      <c r="H265" s="42" t="n">
        <f aca="false">E265+F265-G265</f>
        <v>329.081632653061</v>
      </c>
      <c r="I265" s="24" t="n">
        <f aca="false">H265*$I$24</f>
        <v>267.727429955033</v>
      </c>
      <c r="J265" s="24" t="n">
        <f aca="false">I265*IF($G$24="Sí",$C$9,0)</f>
        <v>48.1909373919059</v>
      </c>
      <c r="K265" s="36" t="n">
        <f aca="false">I265+J265</f>
        <v>315.918367346939</v>
      </c>
    </row>
    <row r="266" customFormat="false" ht="15" hidden="false" customHeight="false" outlineLevel="0" collapsed="false">
      <c r="B266" s="10" t="s">
        <v>118</v>
      </c>
      <c r="C266" s="40" t="n">
        <f aca="false">$G$110*$F$46</f>
        <v>337.755102040816</v>
      </c>
      <c r="D266" s="41" t="n">
        <v>0</v>
      </c>
      <c r="E266" s="40" t="n">
        <f aca="false">C266+D266</f>
        <v>337.755102040816</v>
      </c>
      <c r="F266" s="40" t="n">
        <f aca="false">E267*$C$257</f>
        <v>54.6428571428571</v>
      </c>
      <c r="G266" s="40" t="n">
        <f aca="false">F265</f>
        <v>50.6632653061225</v>
      </c>
      <c r="H266" s="42" t="n">
        <f aca="false">E266+F266-G266</f>
        <v>341.734693877551</v>
      </c>
      <c r="I266" s="24" t="n">
        <f aca="false">H266*$I$24</f>
        <v>278.021445866482</v>
      </c>
      <c r="J266" s="24" t="n">
        <f aca="false">I266*IF($G$24="Sí",$C$9,0)</f>
        <v>50.0438602559668</v>
      </c>
      <c r="K266" s="36" t="n">
        <f aca="false">I266+J266</f>
        <v>328.065306122449</v>
      </c>
    </row>
    <row r="267" customFormat="false" ht="15" hidden="false" customHeight="false" outlineLevel="0" collapsed="false">
      <c r="B267" s="10" t="s">
        <v>119</v>
      </c>
      <c r="C267" s="40" t="n">
        <f aca="false">$G$111*$F$46</f>
        <v>364.285714285714</v>
      </c>
      <c r="D267" s="41" t="n">
        <v>0</v>
      </c>
      <c r="E267" s="40" t="n">
        <f aca="false">C267+D267</f>
        <v>364.285714285714</v>
      </c>
      <c r="F267" s="40" t="n">
        <f aca="false">E268*$C$257</f>
        <v>46.0714285714286</v>
      </c>
      <c r="G267" s="40" t="n">
        <f aca="false">F266</f>
        <v>54.6428571428571</v>
      </c>
      <c r="H267" s="42" t="n">
        <f aca="false">E267+F267-G267</f>
        <v>355.714285714286</v>
      </c>
      <c r="I267" s="24" t="n">
        <f aca="false">H267*$I$24</f>
        <v>289.394673123487</v>
      </c>
      <c r="J267" s="24" t="n">
        <f aca="false">I267*IF($G$24="Sí",$C$9,0)</f>
        <v>52.0910411622276</v>
      </c>
      <c r="K267" s="36" t="n">
        <f aca="false">I267+J267</f>
        <v>341.485714285714</v>
      </c>
    </row>
    <row r="268" customFormat="false" ht="15" hidden="false" customHeight="false" outlineLevel="0" collapsed="false">
      <c r="B268" s="10" t="s">
        <v>120</v>
      </c>
      <c r="C268" s="40" t="n">
        <f aca="false">$G$112*$F$46</f>
        <v>307.142857142857</v>
      </c>
      <c r="D268" s="41" t="n">
        <v>0</v>
      </c>
      <c r="E268" s="40" t="n">
        <f aca="false">C268+D268</f>
        <v>307.142857142857</v>
      </c>
      <c r="F268" s="40" t="n">
        <f aca="false">E269*$C$257</f>
        <v>49.1326530612245</v>
      </c>
      <c r="G268" s="40" t="n">
        <f aca="false">F267</f>
        <v>46.0714285714286</v>
      </c>
      <c r="H268" s="42" t="n">
        <f aca="false">E268+F268-G268</f>
        <v>310.204081632653</v>
      </c>
      <c r="I268" s="24" t="n">
        <f aca="false">H268*$I$24</f>
        <v>252.369422345209</v>
      </c>
      <c r="J268" s="24" t="n">
        <f aca="false">I268*IF($G$24="Sí",$C$9,0)</f>
        <v>45.4264960221377</v>
      </c>
      <c r="K268" s="36" t="n">
        <f aca="false">I268+J268</f>
        <v>297.795918367347</v>
      </c>
    </row>
    <row r="269" customFormat="false" ht="15" hidden="false" customHeight="false" outlineLevel="0" collapsed="false">
      <c r="B269" s="10" t="s">
        <v>121</v>
      </c>
      <c r="C269" s="40" t="n">
        <f aca="false">$G$113*$F$46</f>
        <v>327.551020408163</v>
      </c>
      <c r="D269" s="41" t="n">
        <v>0</v>
      </c>
      <c r="E269" s="40" t="n">
        <f aca="false">C269+D269</f>
        <v>327.551020408163</v>
      </c>
      <c r="F269" s="40" t="n">
        <f aca="false">E270*$C$257</f>
        <v>53.265306122449</v>
      </c>
      <c r="G269" s="40" t="n">
        <f aca="false">F268</f>
        <v>49.1326530612245</v>
      </c>
      <c r="H269" s="42" t="n">
        <f aca="false">E269+F269-G269</f>
        <v>331.683673469388</v>
      </c>
      <c r="I269" s="24" t="n">
        <f aca="false">H269*$I$24</f>
        <v>269.844344517468</v>
      </c>
      <c r="J269" s="24" t="n">
        <f aca="false">I269*IF($G$24="Sí",$C$9,0)</f>
        <v>48.5719820131442</v>
      </c>
      <c r="K269" s="36" t="n">
        <f aca="false">I269+J269</f>
        <v>318.416326530612</v>
      </c>
    </row>
    <row r="270" customFormat="false" ht="15" hidden="false" customHeight="false" outlineLevel="0" collapsed="false">
      <c r="B270" s="10" t="s">
        <v>122</v>
      </c>
      <c r="C270" s="40" t="n">
        <f aca="false">$G$114*$F$46</f>
        <v>355.102040816327</v>
      </c>
      <c r="D270" s="41" t="n">
        <v>0</v>
      </c>
      <c r="E270" s="40" t="n">
        <f aca="false">C270+D270</f>
        <v>355.102040816327</v>
      </c>
      <c r="F270" s="40" t="n">
        <f aca="false">E271*$C$257</f>
        <v>74.8469387755102</v>
      </c>
      <c r="G270" s="40" t="n">
        <f aca="false">F269</f>
        <v>53.265306122449</v>
      </c>
      <c r="H270" s="42" t="n">
        <f aca="false">E270+F270-G270</f>
        <v>376.683673469388</v>
      </c>
      <c r="I270" s="24" t="n">
        <f aca="false">H270*$I$24</f>
        <v>306.454514008993</v>
      </c>
      <c r="J270" s="24" t="n">
        <f aca="false">I270*IF($G$24="Sí",$C$9,0)</f>
        <v>55.1618125216188</v>
      </c>
      <c r="K270" s="36" t="n">
        <f aca="false">I270+J270</f>
        <v>361.616326530612</v>
      </c>
    </row>
    <row r="271" customFormat="false" ht="15" hidden="false" customHeight="false" outlineLevel="0" collapsed="false">
      <c r="B271" s="10" t="s">
        <v>123</v>
      </c>
      <c r="C271" s="40" t="n">
        <f aca="false">$G$115*$F$46</f>
        <v>498.979591836735</v>
      </c>
      <c r="D271" s="41" t="n">
        <v>0</v>
      </c>
      <c r="E271" s="40" t="n">
        <f aca="false">C271+D271</f>
        <v>498.979591836735</v>
      </c>
      <c r="F271" s="40" t="n">
        <f aca="false">E273*$C$257</f>
        <v>41.1734693877551</v>
      </c>
      <c r="G271" s="40" t="n">
        <f aca="false">F270</f>
        <v>74.8469387755102</v>
      </c>
      <c r="H271" s="42" t="n">
        <f aca="false">E271+F271-G271</f>
        <v>465.30612244898</v>
      </c>
      <c r="I271" s="24" t="n">
        <f aca="false">H271*$I$24</f>
        <v>378.554133517814</v>
      </c>
      <c r="J271" s="24" t="n">
        <f aca="false">I271*IF($G$24="Sí",$C$9,0)</f>
        <v>68.1397440332065</v>
      </c>
      <c r="K271" s="36" t="n">
        <f aca="false">I271+J271</f>
        <v>446.69387755102</v>
      </c>
    </row>
    <row r="272" customFormat="false" ht="15" hidden="false" customHeight="false" outlineLevel="0" collapsed="false">
      <c r="B272" s="38" t="s">
        <v>124</v>
      </c>
      <c r="C272" s="31"/>
      <c r="D272" s="31"/>
      <c r="E272" s="43" t="n">
        <f aca="false">SUM(E260:E271)</f>
        <v>4065.30612244898</v>
      </c>
      <c r="F272" s="31"/>
      <c r="G272" s="31"/>
      <c r="H272" s="43" t="n">
        <f aca="false">SUM(H260:H271)</f>
        <v>4081.47959183674</v>
      </c>
      <c r="I272" s="44" t="n">
        <f aca="false">SUM(I260:I271)</f>
        <v>3320.52576962989</v>
      </c>
      <c r="J272" s="44" t="n">
        <f aca="false">SUM(J260:J271)</f>
        <v>597.69463853338</v>
      </c>
      <c r="K272" s="44" t="n">
        <f aca="false">SUM(K260:K271)</f>
        <v>3918.22040816327</v>
      </c>
    </row>
    <row r="273" customFormat="false" ht="15" hidden="false" customHeight="false" outlineLevel="0" collapsed="false">
      <c r="B273" s="10" t="s">
        <v>147</v>
      </c>
      <c r="C273" s="40" t="n">
        <f aca="false">$G$117*$F$46</f>
        <v>274.489795918367</v>
      </c>
      <c r="D273" s="41" t="n">
        <v>0</v>
      </c>
      <c r="E273" s="40" t="n">
        <f aca="false">C273+D273</f>
        <v>274.489795918367</v>
      </c>
      <c r="F273" s="19" t="s">
        <v>126</v>
      </c>
      <c r="G273" s="19" t="s">
        <v>126</v>
      </c>
      <c r="H273" s="19" t="s">
        <v>126</v>
      </c>
      <c r="I273" s="19" t="s">
        <v>126</v>
      </c>
      <c r="J273" s="19" t="s">
        <v>126</v>
      </c>
      <c r="K273" s="19" t="s">
        <v>126</v>
      </c>
    </row>
    <row r="275" customFormat="false" ht="15" hidden="false" customHeight="false" outlineLevel="0" collapsed="false">
      <c r="B275" s="18" t="s">
        <v>388</v>
      </c>
    </row>
    <row r="276" customFormat="false" ht="25.5" hidden="false" customHeight="true" outlineLevel="0" collapsed="false">
      <c r="B276" s="20" t="s">
        <v>137</v>
      </c>
      <c r="C276" s="29" t="n">
        <v>0.15</v>
      </c>
    </row>
    <row r="277" customFormat="false" ht="15" hidden="false" customHeight="false" outlineLevel="0" collapsed="false">
      <c r="B277" s="10" t="s">
        <v>212</v>
      </c>
      <c r="C277" s="21" t="n">
        <v>25</v>
      </c>
    </row>
    <row r="278" customFormat="false" ht="39.75" hidden="false" customHeight="true" outlineLevel="0" collapsed="false">
      <c r="B278" s="5" t="s">
        <v>108</v>
      </c>
      <c r="C278" s="5" t="s">
        <v>139</v>
      </c>
      <c r="D278" s="5" t="s">
        <v>140</v>
      </c>
      <c r="E278" s="5" t="s">
        <v>141</v>
      </c>
      <c r="F278" s="5" t="s">
        <v>142</v>
      </c>
      <c r="G278" s="5" t="s">
        <v>143</v>
      </c>
      <c r="H278" s="5" t="s">
        <v>144</v>
      </c>
      <c r="I278" s="5" t="s">
        <v>49</v>
      </c>
      <c r="J278" s="5" t="s">
        <v>145</v>
      </c>
      <c r="K278" s="5" t="s">
        <v>146</v>
      </c>
    </row>
    <row r="279" customFormat="false" ht="15" hidden="false" customHeight="false" outlineLevel="0" collapsed="false">
      <c r="B279" s="10" t="s">
        <v>112</v>
      </c>
      <c r="C279" s="40" t="n">
        <f aca="false">$G$104*$F$47</f>
        <v>268.367346938776</v>
      </c>
      <c r="D279" s="41" t="n">
        <v>0</v>
      </c>
      <c r="E279" s="40" t="n">
        <f aca="false">C279+D279</f>
        <v>268.367346938776</v>
      </c>
      <c r="F279" s="40" t="n">
        <f aca="false">E280*$C$276</f>
        <v>38.4183673469388</v>
      </c>
      <c r="G279" s="40" t="n">
        <f aca="false">$C$277</f>
        <v>25</v>
      </c>
      <c r="H279" s="42" t="n">
        <f aca="false">E279+F279-G279</f>
        <v>281.785714285714</v>
      </c>
      <c r="I279" s="24" t="n">
        <f aca="false">H279*$I$25</f>
        <v>429.842615012107</v>
      </c>
      <c r="J279" s="24" t="n">
        <f aca="false">I279*IF($G$25="Sí",$C$9,0)</f>
        <v>77.3716707021792</v>
      </c>
      <c r="K279" s="36" t="n">
        <f aca="false">I279+J279</f>
        <v>507.214285714286</v>
      </c>
    </row>
    <row r="280" customFormat="false" ht="15" hidden="false" customHeight="false" outlineLevel="0" collapsed="false">
      <c r="B280" s="10" t="s">
        <v>113</v>
      </c>
      <c r="C280" s="40" t="n">
        <f aca="false">$G$105*$F$47</f>
        <v>256.122448979592</v>
      </c>
      <c r="D280" s="41" t="n">
        <v>0</v>
      </c>
      <c r="E280" s="40" t="n">
        <f aca="false">C280+D280</f>
        <v>256.122448979592</v>
      </c>
      <c r="F280" s="40" t="n">
        <f aca="false">E281*$C$276</f>
        <v>43.0102040816327</v>
      </c>
      <c r="G280" s="40" t="n">
        <f aca="false">F279</f>
        <v>38.4183673469388</v>
      </c>
      <c r="H280" s="42" t="n">
        <f aca="false">E280+F280-G280</f>
        <v>260.714285714286</v>
      </c>
      <c r="I280" s="24" t="n">
        <f aca="false">H280*$I$25</f>
        <v>397.699757869249</v>
      </c>
      <c r="J280" s="24" t="n">
        <f aca="false">I280*IF($G$25="Sí",$C$9,0)</f>
        <v>71.5859564164649</v>
      </c>
      <c r="K280" s="36" t="n">
        <f aca="false">I280+J280</f>
        <v>469.285714285714</v>
      </c>
    </row>
    <row r="281" customFormat="false" ht="15" hidden="false" customHeight="false" outlineLevel="0" collapsed="false">
      <c r="B281" s="10" t="s">
        <v>114</v>
      </c>
      <c r="C281" s="40" t="n">
        <f aca="false">$G$106*$F$47</f>
        <v>286.734693877551</v>
      </c>
      <c r="D281" s="41" t="n">
        <v>0</v>
      </c>
      <c r="E281" s="40" t="n">
        <f aca="false">C281+D281</f>
        <v>286.734693877551</v>
      </c>
      <c r="F281" s="40" t="n">
        <f aca="false">E282*$C$276</f>
        <v>46.8367346938776</v>
      </c>
      <c r="G281" s="40" t="n">
        <f aca="false">F280</f>
        <v>43.0102040816327</v>
      </c>
      <c r="H281" s="42" t="n">
        <f aca="false">E281+F281-G281</f>
        <v>290.561224489796</v>
      </c>
      <c r="I281" s="24" t="n">
        <f aca="false">H281*$I$25</f>
        <v>443.228986509858</v>
      </c>
      <c r="J281" s="24" t="n">
        <f aca="false">I281*IF($G$25="Sí",$C$9,0)</f>
        <v>79.7812175717745</v>
      </c>
      <c r="K281" s="36" t="n">
        <f aca="false">I281+J281</f>
        <v>523.010204081633</v>
      </c>
    </row>
    <row r="282" customFormat="false" ht="15" hidden="false" customHeight="false" outlineLevel="0" collapsed="false">
      <c r="B282" s="10" t="s">
        <v>115</v>
      </c>
      <c r="C282" s="40" t="n">
        <f aca="false">$G$107*$F$47</f>
        <v>312.244897959184</v>
      </c>
      <c r="D282" s="41" t="n">
        <v>0</v>
      </c>
      <c r="E282" s="40" t="n">
        <f aca="false">C282+D282</f>
        <v>312.244897959184</v>
      </c>
      <c r="F282" s="40" t="n">
        <f aca="false">E283*$C$276</f>
        <v>63.5204081632653</v>
      </c>
      <c r="G282" s="40" t="n">
        <f aca="false">F281</f>
        <v>46.8367346938776</v>
      </c>
      <c r="H282" s="42" t="n">
        <f aca="false">E282+F282-G282</f>
        <v>328.928571428571</v>
      </c>
      <c r="I282" s="24" t="n">
        <f aca="false">H282*$I$25</f>
        <v>501.755447941889</v>
      </c>
      <c r="J282" s="24" t="n">
        <f aca="false">I282*IF($G$25="Sí",$C$9,0)</f>
        <v>90.31598062954</v>
      </c>
      <c r="K282" s="36" t="n">
        <f aca="false">I282+J282</f>
        <v>592.071428571429</v>
      </c>
    </row>
    <row r="283" customFormat="false" ht="15" hidden="false" customHeight="false" outlineLevel="0" collapsed="false">
      <c r="B283" s="10" t="s">
        <v>116</v>
      </c>
      <c r="C283" s="40" t="n">
        <f aca="false">$G$108*$F$47</f>
        <v>423.469387755102</v>
      </c>
      <c r="D283" s="41" t="n">
        <v>0</v>
      </c>
      <c r="E283" s="40" t="n">
        <f aca="false">C283+D283</f>
        <v>423.469387755102</v>
      </c>
      <c r="F283" s="40" t="n">
        <f aca="false">E284*$C$276</f>
        <v>49.1326530612245</v>
      </c>
      <c r="G283" s="40" t="n">
        <f aca="false">F282</f>
        <v>63.5204081632653</v>
      </c>
      <c r="H283" s="42" t="n">
        <f aca="false">E283+F283-G283</f>
        <v>409.081632653061</v>
      </c>
      <c r="I283" s="24" t="n">
        <f aca="false">H283*$I$25</f>
        <v>624.022829470771</v>
      </c>
      <c r="J283" s="24" t="n">
        <f aca="false">I283*IF($G$25="Sí",$C$9,0)</f>
        <v>112.324109304739</v>
      </c>
      <c r="K283" s="36" t="n">
        <f aca="false">I283+J283</f>
        <v>736.34693877551</v>
      </c>
    </row>
    <row r="284" customFormat="false" ht="15" hidden="false" customHeight="false" outlineLevel="0" collapsed="false">
      <c r="B284" s="10" t="s">
        <v>117</v>
      </c>
      <c r="C284" s="40" t="n">
        <f aca="false">$G$109*$F$47</f>
        <v>327.551020408163</v>
      </c>
      <c r="D284" s="41" t="n">
        <v>0</v>
      </c>
      <c r="E284" s="40" t="n">
        <f aca="false">C284+D284</f>
        <v>327.551020408163</v>
      </c>
      <c r="F284" s="40" t="n">
        <f aca="false">E285*$C$276</f>
        <v>50.6632653061225</v>
      </c>
      <c r="G284" s="40" t="n">
        <f aca="false">F283</f>
        <v>49.1326530612245</v>
      </c>
      <c r="H284" s="42" t="n">
        <f aca="false">E284+F284-G284</f>
        <v>329.081632653061</v>
      </c>
      <c r="I284" s="24" t="n">
        <f aca="false">H284*$I$25</f>
        <v>501.988931165687</v>
      </c>
      <c r="J284" s="24" t="n">
        <f aca="false">I284*IF($G$25="Sí",$C$9,0)</f>
        <v>90.3580076098236</v>
      </c>
      <c r="K284" s="36" t="n">
        <f aca="false">I284+J284</f>
        <v>592.34693877551</v>
      </c>
    </row>
    <row r="285" customFormat="false" ht="15" hidden="false" customHeight="false" outlineLevel="0" collapsed="false">
      <c r="B285" s="10" t="s">
        <v>118</v>
      </c>
      <c r="C285" s="40" t="n">
        <f aca="false">$G$110*$F$47</f>
        <v>337.755102040816</v>
      </c>
      <c r="D285" s="41" t="n">
        <v>0</v>
      </c>
      <c r="E285" s="40" t="n">
        <f aca="false">C285+D285</f>
        <v>337.755102040816</v>
      </c>
      <c r="F285" s="40" t="n">
        <f aca="false">E286*$C$276</f>
        <v>54.6428571428571</v>
      </c>
      <c r="G285" s="40" t="n">
        <f aca="false">F284</f>
        <v>50.6632653061225</v>
      </c>
      <c r="H285" s="42" t="n">
        <f aca="false">E285+F285-G285</f>
        <v>341.734693877551</v>
      </c>
      <c r="I285" s="24" t="n">
        <f aca="false">H285*$I$25</f>
        <v>521.290210999654</v>
      </c>
      <c r="J285" s="24" t="n">
        <f aca="false">I285*IF($G$25="Sí",$C$9,0)</f>
        <v>93.8322379799377</v>
      </c>
      <c r="K285" s="36" t="n">
        <f aca="false">I285+J285</f>
        <v>615.122448979592</v>
      </c>
    </row>
    <row r="286" customFormat="false" ht="15" hidden="false" customHeight="false" outlineLevel="0" collapsed="false">
      <c r="B286" s="10" t="s">
        <v>119</v>
      </c>
      <c r="C286" s="40" t="n">
        <f aca="false">$G$111*$F$47</f>
        <v>364.285714285714</v>
      </c>
      <c r="D286" s="41" t="n">
        <v>0</v>
      </c>
      <c r="E286" s="40" t="n">
        <f aca="false">C286+D286</f>
        <v>364.285714285714</v>
      </c>
      <c r="F286" s="40" t="n">
        <f aca="false">E287*$C$276</f>
        <v>46.0714285714286</v>
      </c>
      <c r="G286" s="40" t="n">
        <f aca="false">F285</f>
        <v>54.6428571428571</v>
      </c>
      <c r="H286" s="42" t="n">
        <f aca="false">E286+F286-G286</f>
        <v>355.714285714286</v>
      </c>
      <c r="I286" s="24" t="n">
        <f aca="false">H286*$I$25</f>
        <v>542.615012106537</v>
      </c>
      <c r="J286" s="24" t="n">
        <f aca="false">I286*IF($G$25="Sí",$C$9,0)</f>
        <v>97.6707021791767</v>
      </c>
      <c r="K286" s="36" t="n">
        <f aca="false">I286+J286</f>
        <v>640.285714285714</v>
      </c>
    </row>
    <row r="287" customFormat="false" ht="15" hidden="false" customHeight="false" outlineLevel="0" collapsed="false">
      <c r="B287" s="10" t="s">
        <v>120</v>
      </c>
      <c r="C287" s="40" t="n">
        <f aca="false">$G$112*$F$47</f>
        <v>307.142857142857</v>
      </c>
      <c r="D287" s="41" t="n">
        <v>0</v>
      </c>
      <c r="E287" s="40" t="n">
        <f aca="false">C287+D287</f>
        <v>307.142857142857</v>
      </c>
      <c r="F287" s="40" t="n">
        <f aca="false">E288*$C$276</f>
        <v>49.1326530612245</v>
      </c>
      <c r="G287" s="40" t="n">
        <f aca="false">F286</f>
        <v>46.0714285714286</v>
      </c>
      <c r="H287" s="42" t="n">
        <f aca="false">E287+F287-G287</f>
        <v>310.204081632653</v>
      </c>
      <c r="I287" s="24" t="n">
        <f aca="false">H287*$I$25</f>
        <v>473.192666897268</v>
      </c>
      <c r="J287" s="24" t="n">
        <f aca="false">I287*IF($G$25="Sí",$C$9,0)</f>
        <v>85.1746800415081</v>
      </c>
      <c r="K287" s="36" t="n">
        <f aca="false">I287+J287</f>
        <v>558.367346938776</v>
      </c>
    </row>
    <row r="288" customFormat="false" ht="15" hidden="false" customHeight="false" outlineLevel="0" collapsed="false">
      <c r="B288" s="10" t="s">
        <v>121</v>
      </c>
      <c r="C288" s="40" t="n">
        <f aca="false">$G$113*$F$47</f>
        <v>327.551020408163</v>
      </c>
      <c r="D288" s="41" t="n">
        <v>0</v>
      </c>
      <c r="E288" s="40" t="n">
        <f aca="false">C288+D288</f>
        <v>327.551020408163</v>
      </c>
      <c r="F288" s="40" t="n">
        <f aca="false">E289*$C$276</f>
        <v>53.265306122449</v>
      </c>
      <c r="G288" s="40" t="n">
        <f aca="false">F287</f>
        <v>49.1326530612245</v>
      </c>
      <c r="H288" s="42" t="n">
        <f aca="false">E288+F288-G288</f>
        <v>331.683673469388</v>
      </c>
      <c r="I288" s="24" t="n">
        <f aca="false">H288*$I$25</f>
        <v>505.958145970252</v>
      </c>
      <c r="J288" s="24" t="n">
        <f aca="false">I288*IF($G$25="Sí",$C$9,0)</f>
        <v>91.0724662746454</v>
      </c>
      <c r="K288" s="36" t="n">
        <f aca="false">I288+J288</f>
        <v>597.030612244898</v>
      </c>
    </row>
    <row r="289" customFormat="false" ht="15" hidden="false" customHeight="false" outlineLevel="0" collapsed="false">
      <c r="B289" s="10" t="s">
        <v>122</v>
      </c>
      <c r="C289" s="40" t="n">
        <f aca="false">$G$114*$F$47</f>
        <v>355.102040816327</v>
      </c>
      <c r="D289" s="41" t="n">
        <v>0</v>
      </c>
      <c r="E289" s="40" t="n">
        <f aca="false">C289+D289</f>
        <v>355.102040816327</v>
      </c>
      <c r="F289" s="40" t="n">
        <f aca="false">E290*$C$276</f>
        <v>74.8469387755102</v>
      </c>
      <c r="G289" s="40" t="n">
        <f aca="false">F288</f>
        <v>53.265306122449</v>
      </c>
      <c r="H289" s="42" t="n">
        <f aca="false">E289+F289-G289</f>
        <v>376.683673469388</v>
      </c>
      <c r="I289" s="24" t="n">
        <f aca="false">H289*$I$25</f>
        <v>574.602213766863</v>
      </c>
      <c r="J289" s="24" t="n">
        <f aca="false">I289*IF($G$25="Sí",$C$9,0)</f>
        <v>103.428398478035</v>
      </c>
      <c r="K289" s="36" t="n">
        <f aca="false">I289+J289</f>
        <v>678.030612244898</v>
      </c>
    </row>
    <row r="290" customFormat="false" ht="15" hidden="false" customHeight="false" outlineLevel="0" collapsed="false">
      <c r="B290" s="10" t="s">
        <v>123</v>
      </c>
      <c r="C290" s="40" t="n">
        <f aca="false">$G$115*$F$47</f>
        <v>498.979591836735</v>
      </c>
      <c r="D290" s="41" t="n">
        <v>0</v>
      </c>
      <c r="E290" s="40" t="n">
        <f aca="false">C290+D290</f>
        <v>498.979591836735</v>
      </c>
      <c r="F290" s="40" t="n">
        <f aca="false">E292*$C$276</f>
        <v>41.1734693877551</v>
      </c>
      <c r="G290" s="40" t="n">
        <f aca="false">F289</f>
        <v>74.8469387755102</v>
      </c>
      <c r="H290" s="42" t="n">
        <f aca="false">E290+F290-G290</f>
        <v>465.30612244898</v>
      </c>
      <c r="I290" s="24" t="n">
        <f aca="false">H290*$I$25</f>
        <v>709.789000345901</v>
      </c>
      <c r="J290" s="24" t="n">
        <f aca="false">I290*IF($G$25="Sí",$C$9,0)</f>
        <v>127.762020062262</v>
      </c>
      <c r="K290" s="36" t="n">
        <f aca="false">I290+J290</f>
        <v>837.551020408163</v>
      </c>
    </row>
    <row r="291" customFormat="false" ht="15" hidden="false" customHeight="false" outlineLevel="0" collapsed="false">
      <c r="B291" s="38" t="s">
        <v>124</v>
      </c>
      <c r="C291" s="31"/>
      <c r="D291" s="31"/>
      <c r="E291" s="43" t="n">
        <f aca="false">SUM(E279:E290)</f>
        <v>4065.30612244898</v>
      </c>
      <c r="F291" s="31"/>
      <c r="G291" s="31"/>
      <c r="H291" s="43" t="n">
        <f aca="false">SUM(H279:H290)</f>
        <v>4081.47959183674</v>
      </c>
      <c r="I291" s="44" t="n">
        <f aca="false">SUM(I279:I290)</f>
        <v>6225.98581805604</v>
      </c>
      <c r="J291" s="44" t="n">
        <f aca="false">SUM(J279:J290)</f>
        <v>1120.67744725009</v>
      </c>
      <c r="K291" s="44" t="n">
        <f aca="false">SUM(K279:K290)</f>
        <v>7346.66326530612</v>
      </c>
    </row>
    <row r="292" customFormat="false" ht="15" hidden="false" customHeight="false" outlineLevel="0" collapsed="false">
      <c r="B292" s="10" t="s">
        <v>147</v>
      </c>
      <c r="C292" s="40" t="n">
        <f aca="false">$G$117*$F$47</f>
        <v>274.489795918367</v>
      </c>
      <c r="D292" s="41" t="n">
        <v>0</v>
      </c>
      <c r="E292" s="40" t="n">
        <f aca="false">C292+D292</f>
        <v>274.489795918367</v>
      </c>
      <c r="F292" s="19" t="s">
        <v>126</v>
      </c>
      <c r="G292" s="19" t="s">
        <v>126</v>
      </c>
      <c r="H292" s="19" t="s">
        <v>126</v>
      </c>
      <c r="I292" s="19" t="s">
        <v>126</v>
      </c>
      <c r="J292" s="19" t="s">
        <v>126</v>
      </c>
      <c r="K292" s="19" t="s">
        <v>126</v>
      </c>
    </row>
    <row r="294" customFormat="false" ht="15" hidden="false" customHeight="false" outlineLevel="0" collapsed="false">
      <c r="B294" s="18" t="s">
        <v>389</v>
      </c>
    </row>
    <row r="295" customFormat="false" ht="25.5" hidden="false" customHeight="true" outlineLevel="0" collapsed="false">
      <c r="B295" s="20" t="s">
        <v>137</v>
      </c>
      <c r="C295" s="29" t="n">
        <v>0.15</v>
      </c>
    </row>
    <row r="296" customFormat="false" ht="15" hidden="false" customHeight="false" outlineLevel="0" collapsed="false">
      <c r="B296" s="10" t="s">
        <v>212</v>
      </c>
      <c r="C296" s="21" t="n">
        <v>200</v>
      </c>
    </row>
    <row r="297" customFormat="false" ht="39.75" hidden="false" customHeight="true" outlineLevel="0" collapsed="false">
      <c r="B297" s="5" t="s">
        <v>108</v>
      </c>
      <c r="C297" s="5" t="s">
        <v>139</v>
      </c>
      <c r="D297" s="5" t="s">
        <v>140</v>
      </c>
      <c r="E297" s="5" t="s">
        <v>141</v>
      </c>
      <c r="F297" s="5" t="s">
        <v>142</v>
      </c>
      <c r="G297" s="5" t="s">
        <v>143</v>
      </c>
      <c r="H297" s="5" t="s">
        <v>144</v>
      </c>
      <c r="I297" s="5" t="s">
        <v>49</v>
      </c>
      <c r="J297" s="5" t="s">
        <v>145</v>
      </c>
      <c r="K297" s="5" t="s">
        <v>146</v>
      </c>
    </row>
    <row r="298" customFormat="false" ht="15" hidden="false" customHeight="false" outlineLevel="0" collapsed="false">
      <c r="B298" s="10" t="s">
        <v>112</v>
      </c>
      <c r="C298" s="41" t="n">
        <v>0</v>
      </c>
      <c r="D298" s="40" t="n">
        <f aca="false">$G$123*$F$58</f>
        <v>1556.70103092784</v>
      </c>
      <c r="E298" s="40" t="n">
        <f aca="false">C298+D298</f>
        <v>1556.70103092784</v>
      </c>
      <c r="F298" s="40" t="n">
        <f aca="false">E299*$C$295</f>
        <v>218.814432989691</v>
      </c>
      <c r="G298" s="40" t="n">
        <f aca="false">$C$296</f>
        <v>200</v>
      </c>
      <c r="H298" s="42" t="n">
        <f aca="false">E298+F298-G298</f>
        <v>1575.51546391753</v>
      </c>
      <c r="I298" s="24" t="n">
        <f aca="false">H298*$I$26</f>
        <v>58.7480342477722</v>
      </c>
      <c r="J298" s="24" t="n">
        <f aca="false">I298*IF($G$26="Sí",$C$9,0)</f>
        <v>10.574646164599</v>
      </c>
      <c r="K298" s="36" t="n">
        <f aca="false">I298+J298</f>
        <v>69.3226804123711</v>
      </c>
    </row>
    <row r="299" customFormat="false" ht="15" hidden="false" customHeight="false" outlineLevel="0" collapsed="false">
      <c r="B299" s="10" t="s">
        <v>113</v>
      </c>
      <c r="C299" s="41" t="n">
        <v>0</v>
      </c>
      <c r="D299" s="40" t="n">
        <f aca="false">$G$124*$F$58</f>
        <v>1458.76288659794</v>
      </c>
      <c r="E299" s="40" t="n">
        <f aca="false">C299+D299</f>
        <v>1458.76288659794</v>
      </c>
      <c r="F299" s="40" t="n">
        <f aca="false">E300*$C$295</f>
        <v>263.659793814433</v>
      </c>
      <c r="G299" s="40" t="n">
        <f aca="false">F298</f>
        <v>218.814432989691</v>
      </c>
      <c r="H299" s="42" t="n">
        <f aca="false">E299+F299-G299</f>
        <v>1503.60824742268</v>
      </c>
      <c r="I299" s="24" t="n">
        <f aca="false">H299*$I$26</f>
        <v>56.0667482089813</v>
      </c>
      <c r="J299" s="24" t="n">
        <f aca="false">I299*IF($G$26="Sí",$C$9,0)</f>
        <v>10.0920146776166</v>
      </c>
      <c r="K299" s="36" t="n">
        <f aca="false">I299+J299</f>
        <v>66.158762886598</v>
      </c>
    </row>
    <row r="300" customFormat="false" ht="15" hidden="false" customHeight="false" outlineLevel="0" collapsed="false">
      <c r="B300" s="10" t="s">
        <v>114</v>
      </c>
      <c r="C300" s="41" t="n">
        <v>0</v>
      </c>
      <c r="D300" s="40" t="n">
        <f aca="false">$G$125*$F$58</f>
        <v>1757.73195876289</v>
      </c>
      <c r="E300" s="40" t="n">
        <f aca="false">C300+D300</f>
        <v>1757.73195876289</v>
      </c>
      <c r="F300" s="40" t="n">
        <f aca="false">E301*$C$295</f>
        <v>279.896907216495</v>
      </c>
      <c r="G300" s="40" t="n">
        <f aca="false">F299</f>
        <v>263.659793814433</v>
      </c>
      <c r="H300" s="42" t="n">
        <f aca="false">E300+F300-G300</f>
        <v>1773.96907216495</v>
      </c>
      <c r="I300" s="24" t="n">
        <f aca="false">H300*$I$26</f>
        <v>66.1479993010659</v>
      </c>
      <c r="J300" s="24" t="n">
        <f aca="false">I300*IF($G$26="Sí",$C$9,0)</f>
        <v>11.9066398741919</v>
      </c>
      <c r="K300" s="36" t="n">
        <f aca="false">I300+J300</f>
        <v>78.0546391752577</v>
      </c>
    </row>
    <row r="301" customFormat="false" ht="15" hidden="false" customHeight="false" outlineLevel="0" collapsed="false">
      <c r="B301" s="10" t="s">
        <v>115</v>
      </c>
      <c r="C301" s="41" t="n">
        <v>0</v>
      </c>
      <c r="D301" s="40" t="n">
        <f aca="false">$G$126*$F$58</f>
        <v>1865.9793814433</v>
      </c>
      <c r="E301" s="40" t="n">
        <f aca="false">C301+D301</f>
        <v>1865.9793814433</v>
      </c>
      <c r="F301" s="40" t="n">
        <f aca="false">E302*$C$295</f>
        <v>307.731958762887</v>
      </c>
      <c r="G301" s="40" t="n">
        <f aca="false">F300</f>
        <v>279.896907216495</v>
      </c>
      <c r="H301" s="42" t="n">
        <f aca="false">E301+F301-G301</f>
        <v>1893.81443298969</v>
      </c>
      <c r="I301" s="24" t="n">
        <f aca="false">H301*$I$26</f>
        <v>70.6168093657173</v>
      </c>
      <c r="J301" s="24" t="n">
        <f aca="false">I301*IF($G$26="Sí",$C$9,0)</f>
        <v>12.7110256858291</v>
      </c>
      <c r="K301" s="36" t="n">
        <f aca="false">I301+J301</f>
        <v>83.3278350515464</v>
      </c>
    </row>
    <row r="302" customFormat="false" ht="15" hidden="false" customHeight="false" outlineLevel="0" collapsed="false">
      <c r="B302" s="10" t="s">
        <v>116</v>
      </c>
      <c r="C302" s="41" t="n">
        <v>0</v>
      </c>
      <c r="D302" s="40" t="n">
        <f aca="false">$G$127*$F$58</f>
        <v>2051.54639175258</v>
      </c>
      <c r="E302" s="40" t="n">
        <f aca="false">C302+D302</f>
        <v>2051.54639175258</v>
      </c>
      <c r="F302" s="40" t="n">
        <f aca="false">E303*$C$295</f>
        <v>277.577319587629</v>
      </c>
      <c r="G302" s="40" t="n">
        <f aca="false">F301</f>
        <v>307.731958762887</v>
      </c>
      <c r="H302" s="42" t="n">
        <f aca="false">E302+F302-G302</f>
        <v>2021.39175257732</v>
      </c>
      <c r="I302" s="24" t="n">
        <f aca="false">H302*$I$26</f>
        <v>75.3739297571204</v>
      </c>
      <c r="J302" s="24" t="n">
        <f aca="false">I302*IF($G$26="Sí",$C$9,0)</f>
        <v>13.5673073562817</v>
      </c>
      <c r="K302" s="36" t="n">
        <f aca="false">I302+J302</f>
        <v>88.9412371134021</v>
      </c>
    </row>
    <row r="303" customFormat="false" ht="15" hidden="false" customHeight="false" outlineLevel="0" collapsed="false">
      <c r="B303" s="10" t="s">
        <v>117</v>
      </c>
      <c r="C303" s="41" t="n">
        <v>0</v>
      </c>
      <c r="D303" s="40" t="n">
        <f aca="false">$G$128*$F$58</f>
        <v>1850.51546391753</v>
      </c>
      <c r="E303" s="40" t="n">
        <f aca="false">C303+D303</f>
        <v>1850.51546391753</v>
      </c>
      <c r="F303" s="40" t="n">
        <f aca="false">E304*$C$295</f>
        <v>264.432989690722</v>
      </c>
      <c r="G303" s="40" t="n">
        <f aca="false">F302</f>
        <v>277.577319587629</v>
      </c>
      <c r="H303" s="42" t="n">
        <f aca="false">E303+F303-G303</f>
        <v>1837.37113402062</v>
      </c>
      <c r="I303" s="24" t="n">
        <f aca="false">H303*$I$26</f>
        <v>68.5121439804299</v>
      </c>
      <c r="J303" s="24" t="n">
        <f aca="false">I303*IF($G$26="Sí",$C$9,0)</f>
        <v>12.3321859164774</v>
      </c>
      <c r="K303" s="36" t="n">
        <f aca="false">I303+J303</f>
        <v>80.8443298969072</v>
      </c>
    </row>
    <row r="304" customFormat="false" ht="15" hidden="false" customHeight="false" outlineLevel="0" collapsed="false">
      <c r="B304" s="10" t="s">
        <v>118</v>
      </c>
      <c r="C304" s="41" t="n">
        <v>0</v>
      </c>
      <c r="D304" s="40" t="n">
        <f aca="false">$G$129*$F$58</f>
        <v>1762.88659793814</v>
      </c>
      <c r="E304" s="40" t="n">
        <f aca="false">C304+D304</f>
        <v>1762.88659793814</v>
      </c>
      <c r="F304" s="40" t="n">
        <f aca="false">E305*$C$295</f>
        <v>293.041237113402</v>
      </c>
      <c r="G304" s="40" t="n">
        <f aca="false">F303</f>
        <v>264.432989690722</v>
      </c>
      <c r="H304" s="42" t="n">
        <f aca="false">E304+F304-G304</f>
        <v>1791.49484536083</v>
      </c>
      <c r="I304" s="24" t="n">
        <f aca="false">H304*$I$26</f>
        <v>66.8015027083698</v>
      </c>
      <c r="J304" s="24" t="n">
        <f aca="false">I304*IF($G$26="Sí",$C$9,0)</f>
        <v>12.0242704875066</v>
      </c>
      <c r="K304" s="36" t="n">
        <f aca="false">I304+J304</f>
        <v>78.8257731958763</v>
      </c>
    </row>
    <row r="305" customFormat="false" ht="15" hidden="false" customHeight="false" outlineLevel="0" collapsed="false">
      <c r="B305" s="10" t="s">
        <v>119</v>
      </c>
      <c r="C305" s="41" t="n">
        <v>0</v>
      </c>
      <c r="D305" s="40" t="n">
        <f aca="false">$G$130*$F$58</f>
        <v>1953.60824742268</v>
      </c>
      <c r="E305" s="40" t="n">
        <f aca="false">C305+D305</f>
        <v>1953.60824742268</v>
      </c>
      <c r="F305" s="40" t="n">
        <f aca="false">E306*$C$295</f>
        <v>278.814432989691</v>
      </c>
      <c r="G305" s="40" t="n">
        <f aca="false">F304</f>
        <v>293.041237113402</v>
      </c>
      <c r="H305" s="42" t="n">
        <f aca="false">E305+F305-G305</f>
        <v>1939.38144329897</v>
      </c>
      <c r="I305" s="24" t="n">
        <f aca="false">H305*$I$26</f>
        <v>72.3159182247073</v>
      </c>
      <c r="J305" s="24" t="n">
        <f aca="false">I305*IF($G$26="Sí",$C$9,0)</f>
        <v>13.0168652804473</v>
      </c>
      <c r="K305" s="36" t="n">
        <f aca="false">I305+J305</f>
        <v>85.3327835051547</v>
      </c>
    </row>
    <row r="306" customFormat="false" ht="15" hidden="false" customHeight="false" outlineLevel="0" collapsed="false">
      <c r="B306" s="10" t="s">
        <v>120</v>
      </c>
      <c r="C306" s="41" t="n">
        <v>0</v>
      </c>
      <c r="D306" s="40" t="n">
        <f aca="false">$G$131*$F$58</f>
        <v>1858.76288659794</v>
      </c>
      <c r="E306" s="40" t="n">
        <f aca="false">C306+D306</f>
        <v>1858.76288659794</v>
      </c>
      <c r="F306" s="40" t="n">
        <f aca="false">E307*$C$295</f>
        <v>286.39175257732</v>
      </c>
      <c r="G306" s="40" t="n">
        <f aca="false">F305</f>
        <v>278.814432989691</v>
      </c>
      <c r="H306" s="42" t="n">
        <f aca="false">E306+F306-G306</f>
        <v>1866.34020618557</v>
      </c>
      <c r="I306" s="24" t="n">
        <f aca="false">H306*$I$26</f>
        <v>69.5923466713262</v>
      </c>
      <c r="J306" s="24" t="n">
        <f aca="false">I306*IF($G$26="Sí",$C$9,0)</f>
        <v>12.5266224008387</v>
      </c>
      <c r="K306" s="36" t="n">
        <f aca="false">I306+J306</f>
        <v>82.118969072165</v>
      </c>
    </row>
    <row r="307" customFormat="false" ht="15" hidden="false" customHeight="false" outlineLevel="0" collapsed="false">
      <c r="B307" s="10" t="s">
        <v>121</v>
      </c>
      <c r="C307" s="41" t="n">
        <v>0</v>
      </c>
      <c r="D307" s="40" t="n">
        <f aca="false">$G$132*$F$58</f>
        <v>1909.27835051546</v>
      </c>
      <c r="E307" s="40" t="n">
        <f aca="false">C307+D307</f>
        <v>1909.27835051546</v>
      </c>
      <c r="F307" s="40" t="n">
        <f aca="false">E308*$C$295</f>
        <v>296.907216494845</v>
      </c>
      <c r="G307" s="40" t="n">
        <f aca="false">F306</f>
        <v>286.39175257732</v>
      </c>
      <c r="H307" s="42" t="n">
        <f aca="false">E307+F307-G307</f>
        <v>1919.79381443299</v>
      </c>
      <c r="I307" s="24" t="n">
        <f aca="false">H307*$I$26</f>
        <v>71.585532063603</v>
      </c>
      <c r="J307" s="24" t="n">
        <f aca="false">I307*IF($G$26="Sí",$C$9,0)</f>
        <v>12.8853957714485</v>
      </c>
      <c r="K307" s="36" t="n">
        <f aca="false">I307+J307</f>
        <v>84.4709278350516</v>
      </c>
    </row>
    <row r="308" customFormat="false" ht="15" hidden="false" customHeight="false" outlineLevel="0" collapsed="false">
      <c r="B308" s="10" t="s">
        <v>122</v>
      </c>
      <c r="C308" s="41" t="n">
        <v>0</v>
      </c>
      <c r="D308" s="40" t="n">
        <f aca="false">$G$133*$F$58</f>
        <v>1979.38144329897</v>
      </c>
      <c r="E308" s="40" t="n">
        <f aca="false">C308+D308</f>
        <v>1979.38144329897</v>
      </c>
      <c r="F308" s="40" t="n">
        <f aca="false">E309*$C$295</f>
        <v>349.948453608247</v>
      </c>
      <c r="G308" s="40" t="n">
        <f aca="false">F307</f>
        <v>296.907216494845</v>
      </c>
      <c r="H308" s="42" t="n">
        <f aca="false">E308+F308-G308</f>
        <v>2032.42268041237</v>
      </c>
      <c r="I308" s="24" t="n">
        <f aca="false">H308*$I$26</f>
        <v>75.7852524899528</v>
      </c>
      <c r="J308" s="24" t="n">
        <f aca="false">I308*IF($G$26="Sí",$C$9,0)</f>
        <v>13.6413454481915</v>
      </c>
      <c r="K308" s="36" t="n">
        <f aca="false">I308+J308</f>
        <v>89.4265979381443</v>
      </c>
    </row>
    <row r="309" customFormat="false" ht="15" hidden="false" customHeight="false" outlineLevel="0" collapsed="false">
      <c r="B309" s="10" t="s">
        <v>123</v>
      </c>
      <c r="C309" s="41" t="n">
        <v>0</v>
      </c>
      <c r="D309" s="40" t="n">
        <f aca="false">$G$134*$F$58</f>
        <v>2332.98969072165</v>
      </c>
      <c r="E309" s="40" t="n">
        <f aca="false">C309+D309</f>
        <v>2332.98969072165</v>
      </c>
      <c r="F309" s="40" t="n">
        <f aca="false">E311*$C$295</f>
        <v>238.917525773196</v>
      </c>
      <c r="G309" s="40" t="n">
        <f aca="false">F308</f>
        <v>349.948453608247</v>
      </c>
      <c r="H309" s="42" t="n">
        <f aca="false">E309+F309-G309</f>
        <v>2221.9587628866</v>
      </c>
      <c r="I309" s="24" t="n">
        <f aca="false">H309*$I$26</f>
        <v>82.8526996330596</v>
      </c>
      <c r="J309" s="24" t="n">
        <f aca="false">I309*IF($G$26="Sí",$C$9,0)</f>
        <v>14.9134859339507</v>
      </c>
      <c r="K309" s="36" t="n">
        <f aca="false">I309+J309</f>
        <v>97.7661855670103</v>
      </c>
    </row>
    <row r="310" customFormat="false" ht="15" hidden="false" customHeight="false" outlineLevel="0" collapsed="false">
      <c r="B310" s="38" t="s">
        <v>124</v>
      </c>
      <c r="C310" s="31"/>
      <c r="D310" s="31"/>
      <c r="E310" s="43" t="n">
        <f aca="false">SUM(E298:E309)</f>
        <v>22338.1443298969</v>
      </c>
      <c r="F310" s="31"/>
      <c r="G310" s="31"/>
      <c r="H310" s="43" t="n">
        <f aca="false">SUM(H298:H309)</f>
        <v>22377.0618556701</v>
      </c>
      <c r="I310" s="44" t="n">
        <f aca="false">SUM(I298:I309)</f>
        <v>834.398916652106</v>
      </c>
      <c r="J310" s="44" t="n">
        <f aca="false">SUM(J298:J309)</f>
        <v>150.191804997379</v>
      </c>
      <c r="K310" s="44" t="n">
        <f aca="false">SUM(K298:K309)</f>
        <v>984.590721649485</v>
      </c>
    </row>
    <row r="311" customFormat="false" ht="15" hidden="false" customHeight="false" outlineLevel="0" collapsed="false">
      <c r="B311" s="10" t="s">
        <v>147</v>
      </c>
      <c r="C311" s="41" t="n">
        <v>0</v>
      </c>
      <c r="D311" s="40" t="n">
        <f aca="false">$G$136*$F$58</f>
        <v>1592.78350515464</v>
      </c>
      <c r="E311" s="40" t="n">
        <f aca="false">C311+D311</f>
        <v>1592.78350515464</v>
      </c>
      <c r="F311" s="19" t="s">
        <v>126</v>
      </c>
      <c r="G311" s="19" t="s">
        <v>126</v>
      </c>
      <c r="H311" s="19" t="s">
        <v>126</v>
      </c>
      <c r="I311" s="19" t="s">
        <v>126</v>
      </c>
      <c r="J311" s="19" t="s">
        <v>126</v>
      </c>
      <c r="K311" s="19" t="s">
        <v>126</v>
      </c>
    </row>
    <row r="313" customFormat="false" ht="15" hidden="false" customHeight="false" outlineLevel="0" collapsed="false">
      <c r="B313" s="18" t="s">
        <v>390</v>
      </c>
    </row>
    <row r="314" customFormat="false" ht="25.5" hidden="false" customHeight="true" outlineLevel="0" collapsed="false">
      <c r="B314" s="20" t="s">
        <v>137</v>
      </c>
      <c r="C314" s="29" t="n">
        <v>0.15</v>
      </c>
    </row>
    <row r="315" customFormat="false" ht="15" hidden="false" customHeight="false" outlineLevel="0" collapsed="false">
      <c r="B315" s="10" t="s">
        <v>212</v>
      </c>
      <c r="C315" s="21" t="n">
        <v>150</v>
      </c>
    </row>
    <row r="316" customFormat="false" ht="39.75" hidden="false" customHeight="true" outlineLevel="0" collapsed="false">
      <c r="B316" s="5" t="s">
        <v>108</v>
      </c>
      <c r="C316" s="5" t="s">
        <v>139</v>
      </c>
      <c r="D316" s="5" t="s">
        <v>140</v>
      </c>
      <c r="E316" s="5" t="s">
        <v>141</v>
      </c>
      <c r="F316" s="5" t="s">
        <v>142</v>
      </c>
      <c r="G316" s="5" t="s">
        <v>143</v>
      </c>
      <c r="H316" s="5" t="s">
        <v>144</v>
      </c>
      <c r="I316" s="5" t="s">
        <v>49</v>
      </c>
      <c r="J316" s="5" t="s">
        <v>145</v>
      </c>
      <c r="K316" s="5" t="s">
        <v>146</v>
      </c>
    </row>
    <row r="317" customFormat="false" ht="15" hidden="false" customHeight="false" outlineLevel="0" collapsed="false">
      <c r="B317" s="10" t="s">
        <v>112</v>
      </c>
      <c r="C317" s="41" t="n">
        <v>0</v>
      </c>
      <c r="D317" s="40" t="n">
        <f aca="false">$G$123*$F$59</f>
        <v>1540.81632653061</v>
      </c>
      <c r="E317" s="40" t="n">
        <f aca="false">C317+D317</f>
        <v>1540.81632653061</v>
      </c>
      <c r="F317" s="40" t="n">
        <f aca="false">E318*$C$314</f>
        <v>216.581632653061</v>
      </c>
      <c r="G317" s="40" t="n">
        <f aca="false">$C$315</f>
        <v>150</v>
      </c>
      <c r="H317" s="42" t="n">
        <f aca="false">E317+F317-G317</f>
        <v>1607.39795918367</v>
      </c>
      <c r="I317" s="24" t="n">
        <f aca="false">H317*$I$27</f>
        <v>163.464199239018</v>
      </c>
      <c r="J317" s="24" t="n">
        <f aca="false">I317*IF($G$27="Sí",$C$9,0)</f>
        <v>29.4235558630232</v>
      </c>
      <c r="K317" s="36" t="n">
        <f aca="false">I317+J317</f>
        <v>192.887755102041</v>
      </c>
    </row>
    <row r="318" customFormat="false" ht="15" hidden="false" customHeight="false" outlineLevel="0" collapsed="false">
      <c r="B318" s="10" t="s">
        <v>113</v>
      </c>
      <c r="C318" s="41" t="n">
        <v>0</v>
      </c>
      <c r="D318" s="40" t="n">
        <f aca="false">$G$124*$F$59</f>
        <v>1443.87755102041</v>
      </c>
      <c r="E318" s="40" t="n">
        <f aca="false">C318+D318</f>
        <v>1443.87755102041</v>
      </c>
      <c r="F318" s="40" t="n">
        <f aca="false">E319*$C$314</f>
        <v>260.969387755102</v>
      </c>
      <c r="G318" s="40" t="n">
        <f aca="false">F317</f>
        <v>216.581632653061</v>
      </c>
      <c r="H318" s="42" t="n">
        <f aca="false">E318+F318-G318</f>
        <v>1488.26530612245</v>
      </c>
      <c r="I318" s="24" t="n">
        <f aca="false">H318*$I$27</f>
        <v>151.349014181944</v>
      </c>
      <c r="J318" s="24" t="n">
        <f aca="false">I318*IF($G$27="Sí",$C$9,0)</f>
        <v>27.2428225527499</v>
      </c>
      <c r="K318" s="36" t="n">
        <f aca="false">I318+J318</f>
        <v>178.591836734694</v>
      </c>
    </row>
    <row r="319" customFormat="false" ht="15" hidden="false" customHeight="false" outlineLevel="0" collapsed="false">
      <c r="B319" s="10" t="s">
        <v>114</v>
      </c>
      <c r="C319" s="41" t="n">
        <v>0</v>
      </c>
      <c r="D319" s="40" t="n">
        <f aca="false">$G$125*$F$59</f>
        <v>1739.79591836735</v>
      </c>
      <c r="E319" s="40" t="n">
        <f aca="false">C319+D319</f>
        <v>1739.79591836735</v>
      </c>
      <c r="F319" s="40" t="n">
        <f aca="false">E320*$C$314</f>
        <v>277.040816326531</v>
      </c>
      <c r="G319" s="40" t="n">
        <f aca="false">F318</f>
        <v>260.969387755102</v>
      </c>
      <c r="H319" s="42" t="n">
        <f aca="false">E319+F319-G319</f>
        <v>1755.86734693878</v>
      </c>
      <c r="I319" s="24" t="n">
        <f aca="false">H319*$I$27</f>
        <v>178.562781044621</v>
      </c>
      <c r="J319" s="24" t="n">
        <f aca="false">I319*IF($G$27="Sí",$C$9,0)</f>
        <v>32.1413005880318</v>
      </c>
      <c r="K319" s="36" t="n">
        <f aca="false">I319+J319</f>
        <v>210.704081632653</v>
      </c>
    </row>
    <row r="320" customFormat="false" ht="15" hidden="false" customHeight="false" outlineLevel="0" collapsed="false">
      <c r="B320" s="10" t="s">
        <v>115</v>
      </c>
      <c r="C320" s="41" t="n">
        <v>0</v>
      </c>
      <c r="D320" s="40" t="n">
        <f aca="false">$G$126*$F$59</f>
        <v>1846.9387755102</v>
      </c>
      <c r="E320" s="40" t="n">
        <f aca="false">C320+D320</f>
        <v>1846.9387755102</v>
      </c>
      <c r="F320" s="40" t="n">
        <f aca="false">E321*$C$314</f>
        <v>304.591836734694</v>
      </c>
      <c r="G320" s="40" t="n">
        <f aca="false">F319</f>
        <v>277.040816326531</v>
      </c>
      <c r="H320" s="42" t="n">
        <f aca="false">E320+F320-G320</f>
        <v>1874.48979591837</v>
      </c>
      <c r="I320" s="24" t="n">
        <f aca="false">H320*$I$27</f>
        <v>190.626080940851</v>
      </c>
      <c r="J320" s="24" t="n">
        <f aca="false">I320*IF($G$27="Sí",$C$9,0)</f>
        <v>34.3126945693532</v>
      </c>
      <c r="K320" s="36" t="n">
        <f aca="false">I320+J320</f>
        <v>224.938775510204</v>
      </c>
    </row>
    <row r="321" customFormat="false" ht="15" hidden="false" customHeight="false" outlineLevel="0" collapsed="false">
      <c r="B321" s="10" t="s">
        <v>116</v>
      </c>
      <c r="C321" s="41" t="n">
        <v>0</v>
      </c>
      <c r="D321" s="40" t="n">
        <f aca="false">$G$127*$F$59</f>
        <v>2030.61224489796</v>
      </c>
      <c r="E321" s="40" t="n">
        <f aca="false">C321+D321</f>
        <v>2030.61224489796</v>
      </c>
      <c r="F321" s="40" t="n">
        <f aca="false">E322*$C$314</f>
        <v>274.744897959184</v>
      </c>
      <c r="G321" s="40" t="n">
        <f aca="false">F320</f>
        <v>304.591836734694</v>
      </c>
      <c r="H321" s="42" t="n">
        <f aca="false">E321+F321-G321</f>
        <v>2000.76530612245</v>
      </c>
      <c r="I321" s="24" t="n">
        <f aca="false">H321*$I$27</f>
        <v>203.467658249741</v>
      </c>
      <c r="J321" s="24" t="n">
        <f aca="false">I321*IF($G$27="Sí",$C$9,0)</f>
        <v>36.6241784849533</v>
      </c>
      <c r="K321" s="36" t="n">
        <f aca="false">I321+J321</f>
        <v>240.091836734694</v>
      </c>
    </row>
    <row r="322" customFormat="false" ht="15" hidden="false" customHeight="false" outlineLevel="0" collapsed="false">
      <c r="B322" s="10" t="s">
        <v>117</v>
      </c>
      <c r="C322" s="41" t="n">
        <v>0</v>
      </c>
      <c r="D322" s="40" t="n">
        <f aca="false">$G$128*$F$59</f>
        <v>1831.63265306122</v>
      </c>
      <c r="E322" s="40" t="n">
        <f aca="false">C322+D322</f>
        <v>1831.63265306122</v>
      </c>
      <c r="F322" s="40" t="n">
        <f aca="false">E323*$C$314</f>
        <v>261.734693877551</v>
      </c>
      <c r="G322" s="40" t="n">
        <f aca="false">F321</f>
        <v>274.744897959184</v>
      </c>
      <c r="H322" s="42" t="n">
        <f aca="false">E322+F322-G322</f>
        <v>1818.62244897959</v>
      </c>
      <c r="I322" s="24" t="n">
        <f aca="false">H322*$I$27</f>
        <v>184.944655828433</v>
      </c>
      <c r="J322" s="24" t="n">
        <f aca="false">I322*IF($G$27="Sí",$C$9,0)</f>
        <v>33.290038049118</v>
      </c>
      <c r="K322" s="36" t="n">
        <f aca="false">I322+J322</f>
        <v>218.234693877551</v>
      </c>
    </row>
    <row r="323" customFormat="false" ht="15" hidden="false" customHeight="false" outlineLevel="0" collapsed="false">
      <c r="B323" s="10" t="s">
        <v>118</v>
      </c>
      <c r="C323" s="41" t="n">
        <v>0</v>
      </c>
      <c r="D323" s="40" t="n">
        <f aca="false">$G$129*$F$59</f>
        <v>1744.89795918367</v>
      </c>
      <c r="E323" s="40" t="n">
        <f aca="false">C323+D323</f>
        <v>1744.89795918367</v>
      </c>
      <c r="F323" s="40" t="n">
        <f aca="false">E324*$C$314</f>
        <v>290.051020408163</v>
      </c>
      <c r="G323" s="40" t="n">
        <f aca="false">F322</f>
        <v>261.734693877551</v>
      </c>
      <c r="H323" s="42" t="n">
        <f aca="false">E323+F323-G323</f>
        <v>1773.21428571429</v>
      </c>
      <c r="I323" s="24" t="n">
        <f aca="false">H323*$I$27</f>
        <v>180.326876513317</v>
      </c>
      <c r="J323" s="24" t="n">
        <f aca="false">I323*IF($G$27="Sí",$C$9,0)</f>
        <v>32.4588377723971</v>
      </c>
      <c r="K323" s="36" t="n">
        <f aca="false">I323+J323</f>
        <v>212.785714285714</v>
      </c>
    </row>
    <row r="324" customFormat="false" ht="15" hidden="false" customHeight="false" outlineLevel="0" collapsed="false">
      <c r="B324" s="10" t="s">
        <v>119</v>
      </c>
      <c r="C324" s="41" t="n">
        <v>0</v>
      </c>
      <c r="D324" s="40" t="n">
        <f aca="false">$G$130*$F$59</f>
        <v>1933.67346938776</v>
      </c>
      <c r="E324" s="40" t="n">
        <f aca="false">C324+D324</f>
        <v>1933.67346938776</v>
      </c>
      <c r="F324" s="40" t="n">
        <f aca="false">E325*$C$314</f>
        <v>275.969387755102</v>
      </c>
      <c r="G324" s="40" t="n">
        <f aca="false">F323</f>
        <v>290.051020408163</v>
      </c>
      <c r="H324" s="42" t="n">
        <f aca="false">E324+F324-G324</f>
        <v>1919.59183673469</v>
      </c>
      <c r="I324" s="24" t="n">
        <f aca="false">H324*$I$27</f>
        <v>195.21272915946</v>
      </c>
      <c r="J324" s="24" t="n">
        <f aca="false">I324*IF($G$27="Sí",$C$9,0)</f>
        <v>35.1382912487029</v>
      </c>
      <c r="K324" s="36" t="n">
        <f aca="false">I324+J324</f>
        <v>230.351020408163</v>
      </c>
    </row>
    <row r="325" customFormat="false" ht="15" hidden="false" customHeight="false" outlineLevel="0" collapsed="false">
      <c r="B325" s="10" t="s">
        <v>120</v>
      </c>
      <c r="C325" s="41" t="n">
        <v>0</v>
      </c>
      <c r="D325" s="40" t="n">
        <f aca="false">$G$131*$F$59</f>
        <v>1839.79591836735</v>
      </c>
      <c r="E325" s="40" t="n">
        <f aca="false">C325+D325</f>
        <v>1839.79591836735</v>
      </c>
      <c r="F325" s="40" t="n">
        <f aca="false">E326*$C$314</f>
        <v>283.469387755102</v>
      </c>
      <c r="G325" s="40" t="n">
        <f aca="false">F324</f>
        <v>275.969387755102</v>
      </c>
      <c r="H325" s="42" t="n">
        <f aca="false">E325+F325-G325</f>
        <v>1847.29591836735</v>
      </c>
      <c r="I325" s="24" t="n">
        <f aca="false">H325*$I$27</f>
        <v>187.860601867866</v>
      </c>
      <c r="J325" s="24" t="n">
        <f aca="false">I325*IF($G$27="Sí",$C$9,0)</f>
        <v>33.8149083362158</v>
      </c>
      <c r="K325" s="36" t="n">
        <f aca="false">I325+J325</f>
        <v>221.675510204082</v>
      </c>
    </row>
    <row r="326" customFormat="false" ht="15" hidden="false" customHeight="false" outlineLevel="0" collapsed="false">
      <c r="B326" s="10" t="s">
        <v>121</v>
      </c>
      <c r="C326" s="41" t="n">
        <v>0</v>
      </c>
      <c r="D326" s="40" t="n">
        <f aca="false">$G$132*$F$59</f>
        <v>1889.79591836735</v>
      </c>
      <c r="E326" s="40" t="n">
        <f aca="false">C326+D326</f>
        <v>1889.79591836735</v>
      </c>
      <c r="F326" s="40" t="n">
        <f aca="false">E327*$C$314</f>
        <v>293.877551020408</v>
      </c>
      <c r="G326" s="40" t="n">
        <f aca="false">F325</f>
        <v>283.469387755102</v>
      </c>
      <c r="H326" s="42" t="n">
        <f aca="false">E326+F326-G326</f>
        <v>1900.20408163265</v>
      </c>
      <c r="I326" s="24" t="n">
        <f aca="false">H326*$I$27</f>
        <v>193.241093047388</v>
      </c>
      <c r="J326" s="24" t="n">
        <f aca="false">I326*IF($G$27="Sí",$C$9,0)</f>
        <v>34.7833967485299</v>
      </c>
      <c r="K326" s="36" t="n">
        <f aca="false">I326+J326</f>
        <v>228.024489795918</v>
      </c>
    </row>
    <row r="327" customFormat="false" ht="15" hidden="false" customHeight="false" outlineLevel="0" collapsed="false">
      <c r="B327" s="10" t="s">
        <v>122</v>
      </c>
      <c r="C327" s="41" t="n">
        <v>0</v>
      </c>
      <c r="D327" s="40" t="n">
        <f aca="false">$G$133*$F$59</f>
        <v>1959.18367346939</v>
      </c>
      <c r="E327" s="40" t="n">
        <f aca="false">C327+D327</f>
        <v>1959.18367346939</v>
      </c>
      <c r="F327" s="40" t="n">
        <f aca="false">E328*$C$314</f>
        <v>346.377551020408</v>
      </c>
      <c r="G327" s="40" t="n">
        <f aca="false">F326</f>
        <v>293.877551020408</v>
      </c>
      <c r="H327" s="42" t="n">
        <f aca="false">E327+F327-G327</f>
        <v>2011.68367346939</v>
      </c>
      <c r="I327" s="24" t="n">
        <f aca="false">H327*$I$27</f>
        <v>204.578000691802</v>
      </c>
      <c r="J327" s="24" t="n">
        <f aca="false">I327*IF($G$27="Sí",$C$9,0)</f>
        <v>36.8240401245244</v>
      </c>
      <c r="K327" s="36" t="n">
        <f aca="false">I327+J327</f>
        <v>241.402040816327</v>
      </c>
    </row>
    <row r="328" customFormat="false" ht="15" hidden="false" customHeight="false" outlineLevel="0" collapsed="false">
      <c r="B328" s="10" t="s">
        <v>123</v>
      </c>
      <c r="C328" s="41" t="n">
        <v>0</v>
      </c>
      <c r="D328" s="40" t="n">
        <f aca="false">$G$134*$F$59</f>
        <v>2309.18367346939</v>
      </c>
      <c r="E328" s="40" t="n">
        <f aca="false">C328+D328</f>
        <v>2309.18367346939</v>
      </c>
      <c r="F328" s="40" t="n">
        <f aca="false">E330*$C$314</f>
        <v>236.479591836735</v>
      </c>
      <c r="G328" s="40" t="n">
        <f aca="false">F327</f>
        <v>346.377551020408</v>
      </c>
      <c r="H328" s="42" t="n">
        <f aca="false">E328+F328-G328</f>
        <v>2199.28571428571</v>
      </c>
      <c r="I328" s="24" t="n">
        <f aca="false">H328*$I$27</f>
        <v>223.65617433414</v>
      </c>
      <c r="J328" s="24" t="n">
        <f aca="false">I328*IF($G$27="Sí",$C$9,0)</f>
        <v>40.2581113801453</v>
      </c>
      <c r="K328" s="36" t="n">
        <f aca="false">I328+J328</f>
        <v>263.914285714286</v>
      </c>
    </row>
    <row r="329" customFormat="false" ht="15" hidden="false" customHeight="false" outlineLevel="0" collapsed="false">
      <c r="B329" s="38" t="s">
        <v>124</v>
      </c>
      <c r="C329" s="31"/>
      <c r="D329" s="31"/>
      <c r="E329" s="43" t="n">
        <f aca="false">SUM(E317:E328)</f>
        <v>22110.2040816327</v>
      </c>
      <c r="F329" s="31"/>
      <c r="G329" s="31"/>
      <c r="H329" s="43" t="n">
        <f aca="false">SUM(H317:H328)</f>
        <v>22196.6836734694</v>
      </c>
      <c r="I329" s="44" t="n">
        <f aca="false">SUM(I317:I328)</f>
        <v>2257.28986509858</v>
      </c>
      <c r="J329" s="44" t="n">
        <f aca="false">SUM(J317:J328)</f>
        <v>406.312175717745</v>
      </c>
      <c r="K329" s="44" t="n">
        <f aca="false">SUM(K317:K328)</f>
        <v>2663.60204081633</v>
      </c>
    </row>
    <row r="330" customFormat="false" ht="15" hidden="false" customHeight="false" outlineLevel="0" collapsed="false">
      <c r="B330" s="10" t="s">
        <v>147</v>
      </c>
      <c r="C330" s="41" t="n">
        <v>0</v>
      </c>
      <c r="D330" s="40" t="n">
        <f aca="false">$G$136*$F$59</f>
        <v>1576.5306122449</v>
      </c>
      <c r="E330" s="40" t="n">
        <f aca="false">C330+D330</f>
        <v>1576.5306122449</v>
      </c>
      <c r="F330" s="19" t="s">
        <v>126</v>
      </c>
      <c r="G330" s="19" t="s">
        <v>126</v>
      </c>
      <c r="H330" s="19" t="s">
        <v>126</v>
      </c>
      <c r="I330" s="19" t="s">
        <v>126</v>
      </c>
      <c r="J330" s="19" t="s">
        <v>126</v>
      </c>
      <c r="K330" s="19" t="s">
        <v>126</v>
      </c>
    </row>
    <row r="332" customFormat="false" ht="15" hidden="false" customHeight="false" outlineLevel="0" collapsed="false">
      <c r="B332" s="28" t="s">
        <v>151</v>
      </c>
    </row>
    <row r="333" customFormat="false" ht="30" hidden="false" customHeight="true" outlineLevel="0" collapsed="false">
      <c r="B333" s="5" t="s">
        <v>108</v>
      </c>
      <c r="C333" s="5" t="s">
        <v>49</v>
      </c>
      <c r="D333" s="5" t="s">
        <v>145</v>
      </c>
      <c r="E333" s="5" t="s">
        <v>146</v>
      </c>
    </row>
    <row r="334" customFormat="false" ht="15" hidden="false" customHeight="false" outlineLevel="0" collapsed="false">
      <c r="B334" s="10" t="s">
        <v>112</v>
      </c>
      <c r="C334" s="24" t="n">
        <f aca="false">I146+I165+I184+I203+I222+I241+I260+I279+I298+I317</f>
        <v>4902.47066392743</v>
      </c>
      <c r="D334" s="24" t="n">
        <f aca="false">J146+J165+J184+J203+J222+J241+J260+J279+J298+J317</f>
        <v>568.419368203116</v>
      </c>
      <c r="E334" s="24" t="n">
        <f aca="false">K146+K165+K184+K203+K222+K241+K260+K279+K298+K317</f>
        <v>5470.89003213054</v>
      </c>
    </row>
    <row r="335" customFormat="false" ht="15" hidden="false" customHeight="false" outlineLevel="0" collapsed="false">
      <c r="B335" s="10" t="s">
        <v>113</v>
      </c>
      <c r="C335" s="24" t="n">
        <f aca="false">I147+I166+I185+I204+I223+I242+I261+I280+I299+I318</f>
        <v>4625.03912573759</v>
      </c>
      <c r="D335" s="24" t="n">
        <f aca="false">J147+J166+J185+J204+J223+J242+J261+J280+J299+J318</f>
        <v>529.799758945682</v>
      </c>
      <c r="E335" s="24" t="n">
        <f aca="false">K147+K166+K185+K204+K223+K242+K261+K280+K299+K318</f>
        <v>5154.83888468327</v>
      </c>
    </row>
    <row r="336" customFormat="false" ht="15" hidden="false" customHeight="false" outlineLevel="0" collapsed="false">
      <c r="B336" s="10" t="s">
        <v>114</v>
      </c>
      <c r="C336" s="24" t="n">
        <f aca="false">I148+I167+I186+I205+I224+I243+I262+I281+I300+I319</f>
        <v>5256.44320635297</v>
      </c>
      <c r="D336" s="24" t="n">
        <f aca="false">J148+J167+J186+J205+J224+J243+J262+J281+J300+J319</f>
        <v>600.843684299387</v>
      </c>
      <c r="E336" s="24" t="n">
        <f aca="false">K148+K167+K186+K205+K224+K243+K262+K281+K300+K319</f>
        <v>5857.28689065236</v>
      </c>
    </row>
    <row r="337" customFormat="false" ht="15" hidden="false" customHeight="false" outlineLevel="0" collapsed="false">
      <c r="B337" s="10" t="s">
        <v>115</v>
      </c>
      <c r="C337" s="24" t="n">
        <f aca="false">I149+I168+I187+I206+I225+I244+I263+I282+I301+I320</f>
        <v>5812.99185028225</v>
      </c>
      <c r="D337" s="24" t="n">
        <f aca="false">J149+J168+J187+J206+J225+J244+J263+J282+J301+J320</f>
        <v>668.079673075062</v>
      </c>
      <c r="E337" s="24" t="n">
        <f aca="false">K149+K168+K187+K206+K225+K244+K263+K282+K301+K320</f>
        <v>6481.07152335731</v>
      </c>
    </row>
    <row r="338" customFormat="false" ht="15" hidden="false" customHeight="false" outlineLevel="0" collapsed="false">
      <c r="B338" s="10" t="s">
        <v>116</v>
      </c>
      <c r="C338" s="24" t="n">
        <f aca="false">I150+I169+I188+I207+I226+I245+I264+I283+I302+I321</f>
        <v>7002.37652325411</v>
      </c>
      <c r="D338" s="24" t="n">
        <f aca="false">J150+J169+J188+J207+J226+J245+J264+J283+J302+J321</f>
        <v>795.551503354933</v>
      </c>
      <c r="E338" s="24" t="n">
        <f aca="false">K150+K169+K188+K207+K226+K245+K264+K283+K302+K321</f>
        <v>7797.92802660905</v>
      </c>
    </row>
    <row r="339" customFormat="false" ht="15" hidden="false" customHeight="false" outlineLevel="0" collapsed="false">
      <c r="B339" s="10" t="s">
        <v>117</v>
      </c>
      <c r="C339" s="24" t="n">
        <f aca="false">I151+I170+I189+I208+I227+I246+I265+I284+I303+I322</f>
        <v>5802.23259768115</v>
      </c>
      <c r="D339" s="24" t="n">
        <f aca="false">J151+J170+J189+J208+J227+J246+J265+J284+J303+J322</f>
        <v>662.325947145979</v>
      </c>
      <c r="E339" s="24" t="n">
        <f aca="false">K151+K170+K189+K208+K227+K246+K265+K284+K303+K322</f>
        <v>6464.55854482713</v>
      </c>
    </row>
    <row r="340" customFormat="false" ht="15" hidden="false" customHeight="false" outlineLevel="0" collapsed="false">
      <c r="B340" s="10" t="s">
        <v>118</v>
      </c>
      <c r="C340" s="24" t="n">
        <f aca="false">I152+I171+I190+I209+I228+I247+I266+I285+I304+I323</f>
        <v>5902.11827134031</v>
      </c>
      <c r="D340" s="24" t="n">
        <f aca="false">J152+J171+J190+J209+J228+J247+J266+J285+J304+J323</f>
        <v>675.46471867752</v>
      </c>
      <c r="E340" s="24" t="n">
        <f aca="false">K152+K171+K190+K209+K228+K247+K266+K285+K304+K323</f>
        <v>6577.58299001783</v>
      </c>
    </row>
    <row r="341" customFormat="false" ht="15" hidden="false" customHeight="false" outlineLevel="0" collapsed="false">
      <c r="B341" s="10" t="s">
        <v>119</v>
      </c>
      <c r="C341" s="24" t="n">
        <f aca="false">I153+I172+I191+I210+I229+I248+I267+I286+I305+I324</f>
        <v>6250.25788850197</v>
      </c>
      <c r="D341" s="24" t="n">
        <f aca="false">J153+J172+J191+J210+J229+J248+J267+J286+J305+J324</f>
        <v>710.988760767224</v>
      </c>
      <c r="E341" s="24" t="n">
        <f aca="false">K153+K172+K191+K210+K229+K248+K267+K286+K305+K324</f>
        <v>6961.24664926919</v>
      </c>
    </row>
    <row r="342" customFormat="false" ht="15" hidden="false" customHeight="false" outlineLevel="0" collapsed="false">
      <c r="B342" s="10" t="s">
        <v>120</v>
      </c>
      <c r="C342" s="24" t="n">
        <f aca="false">I154+I173+I192+I211+I230+I249+I268+I287+I306+I325</f>
        <v>5589.66459817828</v>
      </c>
      <c r="D342" s="24" t="n">
        <f aca="false">J154+J173+J192+J211+J230+J249+J268+J287+J306+J325</f>
        <v>638.547480261539</v>
      </c>
      <c r="E342" s="24" t="n">
        <f aca="false">K154+K173+K192+K211+K230+K249+K268+K287+K306+K325</f>
        <v>6228.21207843982</v>
      </c>
    </row>
    <row r="343" customFormat="false" ht="15" hidden="false" customHeight="false" outlineLevel="0" collapsed="false">
      <c r="B343" s="10" t="s">
        <v>121</v>
      </c>
      <c r="C343" s="24" t="n">
        <f aca="false">I155+I174+I193+I212+I231+I250+I269+I288+I307+I326</f>
        <v>5902.54129931293</v>
      </c>
      <c r="D343" s="24" t="n">
        <f aca="false">J155+J174+J193+J212+J231+J250+J269+J288+J307+J326</f>
        <v>674.745801092822</v>
      </c>
      <c r="E343" s="24" t="n">
        <f aca="false">K155+K174+K193+K212+K231+K250+K269+K288+K307+K326</f>
        <v>6577.28710040575</v>
      </c>
    </row>
    <row r="344" customFormat="false" ht="15" hidden="false" customHeight="false" outlineLevel="0" collapsed="false">
      <c r="B344" s="10" t="s">
        <v>122</v>
      </c>
      <c r="C344" s="24" t="n">
        <f aca="false">I156+I175+I194+I213+I232+I251+I270+I289+I308+I327</f>
        <v>6518.46872290622</v>
      </c>
      <c r="D344" s="24" t="n">
        <f aca="false">J156+J175+J194+J213+J232+J251+J270+J289+J308+J327</f>
        <v>750.649730547618</v>
      </c>
      <c r="E344" s="24" t="n">
        <f aca="false">K156+K175+K194+K213+K232+K251+K270+K289+K308+K327</f>
        <v>7269.11845345384</v>
      </c>
    </row>
    <row r="345" customFormat="false" ht="15" hidden="false" customHeight="false" outlineLevel="0" collapsed="false">
      <c r="B345" s="10" t="s">
        <v>123</v>
      </c>
      <c r="C345" s="24" t="n">
        <f aca="false">I157+I176+I195+I214+I233+I252+I271+I290+I309+I328</f>
        <v>7943.489154645</v>
      </c>
      <c r="D345" s="24" t="n">
        <f aca="false">J157+J176+J195+J214+J233+J252+J271+J290+J309+J328</f>
        <v>896.719616035009</v>
      </c>
      <c r="E345" s="24" t="n">
        <f aca="false">K157+K176+K195+K214+K233+K252+K271+K290+K309+K328</f>
        <v>8840.20877068001</v>
      </c>
    </row>
    <row r="346" customFormat="false" ht="15" hidden="false" customHeight="false" outlineLevel="0" collapsed="false">
      <c r="B346" s="38" t="s">
        <v>124</v>
      </c>
      <c r="C346" s="44" t="n">
        <f aca="false">SUM(C334:C345)</f>
        <v>71508.0939021202</v>
      </c>
      <c r="D346" s="44" t="n">
        <f aca="false">SUM(D334:D345)</f>
        <v>8172.13604240589</v>
      </c>
      <c r="E346" s="44" t="n">
        <f aca="false">SUM(E334:E345)</f>
        <v>79680.2299445261</v>
      </c>
    </row>
  </sheetData>
  <mergeCells count="44">
    <mergeCell ref="A1:K1"/>
    <mergeCell ref="A2:K2"/>
    <mergeCell ref="C10:G10"/>
    <mergeCell ref="C11:G11"/>
    <mergeCell ref="A13:K13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A77:K77"/>
    <mergeCell ref="A97:K97"/>
    <mergeCell ref="A138:K138"/>
  </mergeCells>
  <dataValidations count="2">
    <dataValidation allowBlank="true" errorStyle="stop" operator="between" showDropDown="false" showErrorMessage="false" showInputMessage="false" sqref="E64:E70" type="list">
      <formula1>"MPI,No es materia prima"</formula1>
      <formula2>0</formula2>
    </dataValidation>
    <dataValidation allowBlank="true" errorStyle="stop" operator="between" showDropDown="false" showErrorMessage="false" showInputMessage="false" sqref="F64:F70" type="list">
      <formula1>"CIF,Gasto administrativo,Gasto de ventas"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2026-09-29T12:04:22Z</dcterms:created>
  <dc:creator>openpyxl</dc:creator>
  <dc:description/>
  <dc:language>en-US</dc:language>
  <cp:lastModifiedBy/>
  <dcterms:modified xsi:type="dcterms:W3CDTF">2026-09-29T12:04:23Z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