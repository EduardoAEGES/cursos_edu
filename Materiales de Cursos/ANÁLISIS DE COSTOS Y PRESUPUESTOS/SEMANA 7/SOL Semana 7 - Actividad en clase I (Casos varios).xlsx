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PERIODO 2026 II\CURSOS MKT 2026 II\ANÁLISIS DE COSTOS Y PRESUPUESTOS\SEMANA 7\"/>
    </mc:Choice>
  </mc:AlternateContent>
  <xr:revisionPtr revIDLastSave="0" documentId="8_{EAFB2EA6-BBF8-46DD-A5A3-50B8F8C32A0E}" xr6:coauthVersionLast="47" xr6:coauthVersionMax="47" xr10:uidLastSave="{00000000-0000-0000-0000-000000000000}"/>
  <bookViews>
    <workbookView xWindow="-108" yWindow="-108" windowWidth="23256" windowHeight="12456" tabRatio="500" xr2:uid="{00000000-000D-0000-FFFF-FFFF00000000}"/>
  </bookViews>
  <sheets>
    <sheet name="Indicaciones" sheetId="1" r:id="rId1"/>
    <sheet name="Caso 1" sheetId="2" r:id="rId2"/>
    <sheet name="Caso 2" sheetId="3" r:id="rId3"/>
    <sheet name="Caso 3" sheetId="4" r:id="rId4"/>
    <sheet name="Caso 4"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C69" i="5" l="1"/>
  <c r="F65" i="5"/>
  <c r="E65" i="5"/>
  <c r="D65" i="5"/>
  <c r="C65" i="5"/>
  <c r="E57" i="5"/>
  <c r="C55" i="5"/>
  <c r="F51" i="5"/>
  <c r="E51" i="5"/>
  <c r="D51" i="5"/>
  <c r="C51" i="5"/>
  <c r="D50" i="5"/>
  <c r="D52" i="5" s="1"/>
  <c r="C53" i="5" s="1"/>
  <c r="D55" i="5" s="1"/>
  <c r="E45" i="5"/>
  <c r="D45" i="5"/>
  <c r="C45" i="5"/>
  <c r="H45" i="5" s="1"/>
  <c r="E43" i="5"/>
  <c r="D43" i="5"/>
  <c r="C41" i="5"/>
  <c r="F37" i="5"/>
  <c r="E37" i="5"/>
  <c r="D37" i="5"/>
  <c r="C37" i="5"/>
  <c r="D31" i="5"/>
  <c r="C31" i="5"/>
  <c r="C30" i="5"/>
  <c r="C32" i="5" s="1"/>
  <c r="F29" i="5"/>
  <c r="E29" i="5"/>
  <c r="F31" i="5" s="1"/>
  <c r="D29" i="5"/>
  <c r="E31" i="5" s="1"/>
  <c r="C29" i="5"/>
  <c r="H28" i="5"/>
  <c r="F28" i="5"/>
  <c r="F30" i="5" s="1"/>
  <c r="E28" i="5"/>
  <c r="D28" i="5"/>
  <c r="D30" i="5" s="1"/>
  <c r="D32" i="5" s="1"/>
  <c r="C28" i="5"/>
  <c r="H24" i="5"/>
  <c r="D20" i="5"/>
  <c r="E71" i="5" s="1"/>
  <c r="D19" i="5"/>
  <c r="D57" i="5" s="1"/>
  <c r="D18" i="5"/>
  <c r="C43" i="5" s="1"/>
  <c r="C27" i="3"/>
  <c r="H20" i="3"/>
  <c r="I20" i="3" s="1"/>
  <c r="O20" i="3" s="1"/>
  <c r="H19" i="3"/>
  <c r="I19" i="3" s="1"/>
  <c r="O19" i="3" s="1"/>
  <c r="H18" i="3"/>
  <c r="I18" i="3" s="1"/>
  <c r="O18" i="3" s="1"/>
  <c r="H17" i="3"/>
  <c r="I17" i="3" s="1"/>
  <c r="O17" i="3" s="1"/>
  <c r="H16" i="3"/>
  <c r="I16" i="3" s="1"/>
  <c r="O16" i="3" s="1"/>
  <c r="H15" i="3"/>
  <c r="I15" i="3" s="1"/>
  <c r="O15" i="3" s="1"/>
  <c r="L14" i="3"/>
  <c r="M14" i="3" s="1"/>
  <c r="H14" i="3"/>
  <c r="I14" i="3" s="1"/>
  <c r="M13" i="3"/>
  <c r="L13" i="3"/>
  <c r="H13" i="3"/>
  <c r="I13" i="3" s="1"/>
  <c r="L12" i="3"/>
  <c r="M12" i="3" s="1"/>
  <c r="H12" i="3"/>
  <c r="I12" i="3" s="1"/>
  <c r="M11" i="3"/>
  <c r="L11" i="3"/>
  <c r="H11" i="3"/>
  <c r="I11" i="3" s="1"/>
  <c r="O11" i="3" s="1"/>
  <c r="L10" i="3"/>
  <c r="M10" i="3" s="1"/>
  <c r="I10" i="3"/>
  <c r="H10" i="3"/>
  <c r="M9" i="3"/>
  <c r="L9" i="3"/>
  <c r="H9" i="3"/>
  <c r="I9" i="3" s="1"/>
  <c r="O9" i="3" s="1"/>
  <c r="E31" i="2"/>
  <c r="F31" i="2" s="1"/>
  <c r="C22" i="2"/>
  <c r="C18" i="2"/>
  <c r="E27" i="2" s="1"/>
  <c r="F27" i="2" s="1"/>
  <c r="C17" i="2"/>
  <c r="E26" i="2" s="1"/>
  <c r="F26" i="2" s="1"/>
  <c r="F14" i="2"/>
  <c r="G13" i="2"/>
  <c r="H13" i="2" s="1"/>
  <c r="G12" i="2"/>
  <c r="H12" i="2" s="1"/>
  <c r="G11" i="2"/>
  <c r="H11" i="2" s="1"/>
  <c r="G10" i="2"/>
  <c r="H9" i="2"/>
  <c r="G9" i="2"/>
  <c r="G8" i="2"/>
  <c r="O14" i="3" l="1"/>
  <c r="N14" i="3"/>
  <c r="O12" i="3"/>
  <c r="N12" i="3"/>
  <c r="N11" i="3"/>
  <c r="C25" i="3"/>
  <c r="C20" i="2"/>
  <c r="E29" i="2" s="1"/>
  <c r="F29" i="2" s="1"/>
  <c r="C21" i="2"/>
  <c r="E30" i="2" s="1"/>
  <c r="F30" i="2" s="1"/>
  <c r="N9" i="3"/>
  <c r="C24" i="3" s="1"/>
  <c r="D36" i="5"/>
  <c r="D38" i="5" s="1"/>
  <c r="D64" i="5"/>
  <c r="D66" i="5" s="1"/>
  <c r="C26" i="3"/>
  <c r="G14" i="2"/>
  <c r="O13" i="3"/>
  <c r="E30" i="5"/>
  <c r="E32" i="5" s="1"/>
  <c r="C19" i="2"/>
  <c r="E28" i="2" s="1"/>
  <c r="F28" i="2" s="1"/>
  <c r="F32" i="2" s="1"/>
  <c r="F34" i="2" s="1"/>
  <c r="F37" i="2" s="1"/>
  <c r="H10" i="2"/>
  <c r="O10" i="3"/>
  <c r="N10" i="3"/>
  <c r="F32" i="5"/>
  <c r="C36" i="5"/>
  <c r="C38" i="5" s="1"/>
  <c r="H32" i="5"/>
  <c r="C64" i="5"/>
  <c r="C66" i="5" s="1"/>
  <c r="C50" i="5"/>
  <c r="C52" i="5" s="1"/>
  <c r="N13" i="3"/>
  <c r="C57" i="5"/>
  <c r="C71" i="5"/>
  <c r="H8" i="2"/>
  <c r="H14" i="2" s="1"/>
  <c r="D71" i="5"/>
  <c r="C67" i="5" l="1"/>
  <c r="D69" i="5" s="1"/>
  <c r="C39" i="5"/>
  <c r="D41" i="5" s="1"/>
  <c r="F64" i="5"/>
  <c r="F66" i="5" s="1"/>
  <c r="E67" i="5" s="1"/>
  <c r="F50" i="5"/>
  <c r="F52" i="5" s="1"/>
  <c r="E53" i="5" s="1"/>
  <c r="F36" i="5"/>
  <c r="F38" i="5" s="1"/>
  <c r="E39" i="5" s="1"/>
  <c r="E36" i="5"/>
  <c r="E38" i="5" s="1"/>
  <c r="E64" i="5"/>
  <c r="E66" i="5" s="1"/>
  <c r="E50" i="5"/>
  <c r="E52" i="5" s="1"/>
  <c r="C54" i="5"/>
  <c r="C56" i="5" s="1"/>
  <c r="H52" i="5"/>
  <c r="H38" i="5"/>
  <c r="C40" i="5"/>
  <c r="C42" i="5" s="1"/>
  <c r="C44" i="5" l="1"/>
  <c r="C58" i="5"/>
  <c r="D67" i="5"/>
  <c r="E68" i="5"/>
  <c r="D39" i="5"/>
  <c r="E40" i="5"/>
  <c r="H66" i="5"/>
  <c r="E54" i="5"/>
  <c r="D53" i="5"/>
  <c r="C68" i="5"/>
  <c r="C70" i="5" s="1"/>
  <c r="C72" i="5" l="1"/>
  <c r="E41" i="5"/>
  <c r="E42" i="5" s="1"/>
  <c r="E44" i="5" s="1"/>
  <c r="D40" i="5"/>
  <c r="D42" i="5" s="1"/>
  <c r="C46" i="5"/>
  <c r="C78" i="5"/>
  <c r="E55" i="5"/>
  <c r="E56" i="5" s="1"/>
  <c r="E58" i="5" s="1"/>
  <c r="D54" i="5"/>
  <c r="D56" i="5" s="1"/>
  <c r="E70" i="5"/>
  <c r="E72" i="5" s="1"/>
  <c r="E69" i="5"/>
  <c r="D68" i="5"/>
  <c r="D70" i="5" s="1"/>
  <c r="D72" i="5" s="1"/>
  <c r="C59" i="5"/>
  <c r="C60" i="5"/>
  <c r="E59" i="5" l="1"/>
  <c r="E78" i="5"/>
  <c r="E46" i="5"/>
  <c r="E73" i="5"/>
  <c r="E74" i="5" s="1"/>
  <c r="D58" i="5"/>
  <c r="H56" i="5"/>
  <c r="D44" i="5"/>
  <c r="H42" i="5"/>
  <c r="D73" i="5"/>
  <c r="D74" i="5" s="1"/>
  <c r="C73" i="5"/>
  <c r="H73" i="5" s="1"/>
  <c r="H72" i="5"/>
  <c r="H70" i="5"/>
  <c r="D46" i="5" l="1"/>
  <c r="D78" i="5"/>
  <c r="H78" i="5" s="1"/>
  <c r="H44" i="5"/>
  <c r="C74" i="5"/>
  <c r="D59" i="5"/>
  <c r="D60" i="5" s="1"/>
  <c r="H60" i="5" s="1"/>
  <c r="H58" i="5"/>
  <c r="C79" i="5"/>
  <c r="E79" i="5"/>
  <c r="E60" i="5"/>
  <c r="E80" i="5" s="1"/>
  <c r="D80" i="5" l="1"/>
  <c r="H46" i="5"/>
  <c r="D79" i="5"/>
  <c r="H79" i="5" s="1"/>
  <c r="H59" i="5"/>
  <c r="H74" i="5"/>
  <c r="C80" i="5"/>
  <c r="H80" i="5" s="1"/>
</calcChain>
</file>

<file path=xl/sharedStrings.xml><?xml version="1.0" encoding="utf-8"?>
<sst xmlns="http://schemas.openxmlformats.org/spreadsheetml/2006/main" count="426" uniqueCount="228">
  <si>
    <t>SESIÓN DEL MARTES 29 DE SEPTIEMBRE · SOLUCIONARIO</t>
  </si>
  <si>
    <t>Materia prima directa e indirecta y estructura del presupuesto maestro (cédulas de ventas, producción y compras de materiales)</t>
  </si>
  <si>
    <t>Análisis de Costos y Presupuestos · Programa de Marketing – III semestre · 2026-II · Docente: Mamani Roque, Eduardo Luis</t>
  </si>
  <si>
    <t>Objetivos de la sesión</t>
  </si>
  <si>
    <t>•</t>
  </si>
  <si>
    <t>Convertir precios de compra comercial con IGV a valor de compra sin IGV y obtener el costo por unidad de medida.</t>
  </si>
  <si>
    <t>Diferenciar la materia prima directa (MPD), la materia prima indirecta (MPI) y los materiales que no son materia prima (gastos).</t>
  </si>
  <si>
    <t>Calcular el consumo bruto con merma y el costo de materia prima directa por unidad de producto.</t>
  </si>
  <si>
    <t>Conocer la estructura del presupuesto maestro y elaborar las cédulas de ventas (C1), producción (C2) y compras de materiales (C3).</t>
  </si>
  <si>
    <t>Distribución de la sesión</t>
  </si>
  <si>
    <t>Tiempo</t>
  </si>
  <si>
    <t>Actividad</t>
  </si>
  <si>
    <t>Primera hora (60 min)</t>
  </si>
  <si>
    <t>Casos prácticos de esta hoja: Caso 1 (10 min), Caso 2 (15 min), Caso 3 (5 min) y Caso 4 (25 min). Revisión grupal (5 min).</t>
  </si>
  <si>
    <t>Segunda hora (60 min)</t>
  </si>
  <si>
    <t>Avance del proyecto en la hoja «Avance del proyecto» y traslado al Informe Final: 5.2.1 (materia prima), 5.6.1 (C1 ventas en unidades) y 5.5.2 (C2 producción y C3 compras de materiales).</t>
  </si>
  <si>
    <t>Fórmulas clave</t>
  </si>
  <si>
    <t>Valor de compra sin IGV</t>
  </si>
  <si>
    <t>Precio con IGV ÷ (1 + 18 %). Si el bien está exonerado de IGV (por ejemplo, frutas y huevos frescos), el precio pagado ya es el valor de compra.</t>
  </si>
  <si>
    <t>IGV de la compra</t>
  </si>
  <si>
    <t>Precio con IGV − valor de compra sin IGV. Es crédito fiscal: no forma parte del costo.</t>
  </si>
  <si>
    <t>Costo por unidad de medida</t>
  </si>
  <si>
    <t>Valor de compra sin IGV ÷ contenido de la presentación (kg, m, unidades, etc.).</t>
  </si>
  <si>
    <t>Consumo bruto</t>
  </si>
  <si>
    <t>Consumo neto ÷ (1 − % de merma).</t>
  </si>
  <si>
    <t>Costo de MPD por unidad</t>
  </si>
  <si>
    <t>Costo por unidad de medida × consumo bruto por unidad.</t>
  </si>
  <si>
    <t>Producción (C2)</t>
  </si>
  <si>
    <t>Ventas del mes + inventario final deseado de productos terminados − inventario inicial.</t>
  </si>
  <si>
    <t>Compras de materiales (C3)</t>
  </si>
  <si>
    <t>Requerimiento para la producción + inventario final deseado de materiales − inventario inicial.</t>
  </si>
  <si>
    <t>Clasificación de materiales</t>
  </si>
  <si>
    <t>MPD</t>
  </si>
  <si>
    <t>Forma parte del producto y su consumo se mide por cada unidad (tela, harina, frasco, estuche o bolsa propia del producto).</t>
  </si>
  <si>
    <t>MPI</t>
  </si>
  <si>
    <t>Se usa en producción pero no se mide por unidad o su valor es poco significativo (hilo, agujas, aceite de máquinas, tiza). Pasa a los CIF.</t>
  </si>
  <si>
    <t>No es materia prima</t>
  </si>
  <si>
    <t>Material que no se usa para producir: limpieza del local (gasto administrativo) o bolsas de despacho al cliente (gasto de ventas).</t>
  </si>
  <si>
    <t>Código de colores</t>
  </si>
  <si>
    <t>Celda amarilla</t>
  </si>
  <si>
    <t>Lo que debe calcular, clasificar o responder (use fórmulas de Excel).</t>
  </si>
  <si>
    <t>Celda blanca</t>
  </si>
  <si>
    <t>Dato del caso (no se modifica).</t>
  </si>
  <si>
    <t>CASO 1: Conversión de precios de compra comercial – Panadería «El Buen Trigo»</t>
  </si>
  <si>
    <t>Análisis de Costos y Presupuestos · Marketing III · 2026-II · Semana 7: Materia prima directa e indirecta y estructura del presupuesto maestro · SOLUCIONARIO</t>
  </si>
  <si>
    <t>La panadería «El Buen Trigo» (Cayma, Arequipa) compra sus insumos en presentaciones comerciales. Los precios de la factura incluyen IGV (18 %). Para costear, el IGV no forma parte del costo porque se recupera como crédito fiscal.</t>
  </si>
  <si>
    <t>Parte A. Valor de compra sin IGV, IGV y costo por unidad de medida</t>
  </si>
  <si>
    <t>N.°</t>
  </si>
  <si>
    <t>Insumo</t>
  </si>
  <si>
    <t>Presentación comercial</t>
  </si>
  <si>
    <t>Contenido</t>
  </si>
  <si>
    <t>Unidad</t>
  </si>
  <si>
    <t>Precio con IGV (S/)</t>
  </si>
  <si>
    <t>Valor de compra sin IGV (S/)</t>
  </si>
  <si>
    <t>IGV (S/)</t>
  </si>
  <si>
    <t>Harina panadera</t>
  </si>
  <si>
    <t>Saco x 50 kg</t>
  </si>
  <si>
    <t>kg</t>
  </si>
  <si>
    <t>Azúcar blanca</t>
  </si>
  <si>
    <t>Manteca vegetal</t>
  </si>
  <si>
    <t>Caja x 10 kg</t>
  </si>
  <si>
    <t>Levadura seca instantánea</t>
  </si>
  <si>
    <t>Caja x 20 sobres de 500 g</t>
  </si>
  <si>
    <t>Sal yodada</t>
  </si>
  <si>
    <t>Mejorador de masa</t>
  </si>
  <si>
    <t>Bolsa x 1 kg</t>
  </si>
  <si>
    <t>TOTAL</t>
  </si>
  <si>
    <t>Costo por unidad de medida sin IGV (S/)</t>
  </si>
  <si>
    <t>por kg</t>
  </si>
  <si>
    <t>Parte B. Costo de los insumos de un lote de 100 panes</t>
  </si>
  <si>
    <t>Cantidad por lote</t>
  </si>
  <si>
    <t>Costo por unidad de medida (S/)</t>
  </si>
  <si>
    <t>Costo del lote (S/)</t>
  </si>
  <si>
    <t>COSTO DE INSUMOS DEL LOTE</t>
  </si>
  <si>
    <t>Panes por lote</t>
  </si>
  <si>
    <t>Costo de insumos por pan</t>
  </si>
  <si>
    <t>Parte C. Análisis</t>
  </si>
  <si>
    <t>Si la harina sube a S/ 199.00 con IGV, nuevo costo por pan</t>
  </si>
  <si>
    <t>¿Por qué el IGV pagado en las compras no forma parte del costo del pan?</t>
  </si>
  <si>
    <t>Porque la panadería, al estar afecta al IGV, lo recupera como crédito fiscal al restarlo del IGV de sus ventas. El IGV no es un sacrificio económico de la empresa sino un impuesto que traslada al consumidor final; por eso el costo se registra con el valor de compra sin IGV.</t>
  </si>
  <si>
    <t>CASO 2: Materia prima directa e indirecta – Confecciones «Misti Sport»</t>
  </si>
  <si>
    <t>«Misti Sport» confecciona polos deportivos en Cerro Colorado. Este mes producirá 1,000 polos. A continuación se listan los materiales que compra, con su precio de factura (incluye IGV). Clasifique cada material, calcule su costo y determine el costo de materia prima directa por polo.</t>
  </si>
  <si>
    <t>Producción del mes (polos)</t>
  </si>
  <si>
    <t>Parte A. Clasificación y costeo de materiales</t>
  </si>
  <si>
    <t>Material</t>
  </si>
  <si>
    <t>Clasificación</t>
  </si>
  <si>
    <t>Valor sin IGV (S/)</t>
  </si>
  <si>
    <t>Consumo neto por polo</t>
  </si>
  <si>
    <t>% de merma</t>
  </si>
  <si>
    <t>Consumo bruto por polo</t>
  </si>
  <si>
    <t>Consumo del mes</t>
  </si>
  <si>
    <t>Costo MPD por polo (S/)</t>
  </si>
  <si>
    <t>Costo del mes (S/)</t>
  </si>
  <si>
    <t>Tela dry-fit de poliéster</t>
  </si>
  <si>
    <t>Rollo x 25 kg</t>
  </si>
  <si>
    <t>Rib de poliéster para cuello</t>
  </si>
  <si>
    <t>Bolsa x 5 kg</t>
  </si>
  <si>
    <t>Transfer DTF del logo</t>
  </si>
  <si>
    <t>Paquete x 100</t>
  </si>
  <si>
    <t>unidad</t>
  </si>
  <si>
    <t>Etiqueta tejida de marca</t>
  </si>
  <si>
    <t>Millar</t>
  </si>
  <si>
    <t>Etiqueta de talla y composición</t>
  </si>
  <si>
    <t>Bolsa individual del polo (empaque del producto)</t>
  </si>
  <si>
    <t>Hilo poliéster para remalle y recubierto</t>
  </si>
  <si>
    <t>Cono x 5,000 m</t>
  </si>
  <si>
    <t>cono</t>
  </si>
  <si>
    <t>—</t>
  </si>
  <si>
    <t>Agujas para máquina industrial</t>
  </si>
  <si>
    <t>Caja x 100</t>
  </si>
  <si>
    <t>caja</t>
  </si>
  <si>
    <t>Aceite para máquinas de coser</t>
  </si>
  <si>
    <t>Galón de 3.8 L</t>
  </si>
  <si>
    <t>galón</t>
  </si>
  <si>
    <t>Tiza de sastre y papel para moldes</t>
  </si>
  <si>
    <t>Paquete</t>
  </si>
  <si>
    <t>paquete</t>
  </si>
  <si>
    <t>Detergente, escobas y trapeadores para limpiar el taller</t>
  </si>
  <si>
    <t>Bolsa de despacho con logo para el cliente</t>
  </si>
  <si>
    <t>Parte B. Resumen</t>
  </si>
  <si>
    <t>Concepto</t>
  </si>
  <si>
    <t>Monto (S/)</t>
  </si>
  <si>
    <t>Destino en la estructura de costos</t>
  </si>
  <si>
    <t>Costo de materia prima directa por polo</t>
  </si>
  <si>
    <t>Costo unitario del producto (materia prima)</t>
  </si>
  <si>
    <t>Materia prima directa del mes</t>
  </si>
  <si>
    <t>Costo de producción – materia prima directa</t>
  </si>
  <si>
    <t>Materia prima indirecta del mes</t>
  </si>
  <si>
    <t>Costos indirectos de fabricación (CIF)</t>
  </si>
  <si>
    <t>Materiales que no son materia prima</t>
  </si>
  <si>
    <t>Gastos operativos: limpieza → administrativo; despacho → ventas</t>
  </si>
  <si>
    <t>1. ¿Por qué el hilo se clasifica como materia prima indirecta si también forma parte del polo?</t>
  </si>
  <si>
    <t>Porque su consumo no se mide por cada polo (se compra por cono y se usa en toda la producción) y su valor por unidad es poco significativo; medirlo por prenda costaría más que el beneficio. Por eso se controla como consumo del mes y se incluye en los CIF.</t>
  </si>
  <si>
    <t>2. ¿Por qué la bolsa individual es materia prima directa y la bolsa de despacho no lo es?</t>
  </si>
  <si>
    <t>La bolsa individual forma parte del producto terminado: cada polo sale empacado y se consume una por unidad. La bolsa de despacho se usa para entregar el pedido al cliente, después de terminada la producción; es un gasto de ventas.</t>
  </si>
  <si>
    <t>3. ¿Qué efecto tendría no considerar la merma de la tela?</t>
  </si>
  <si>
    <t>Se subestimaría el consumo real: se necesitan 0.2174 kg de tela por polo y no 0.200 kg. El costo de materia prima por polo quedaría por debajo del real y el precio o el margen se calcularían mal.</t>
  </si>
  <si>
    <t>CASO 3: Estructura del presupuesto maestro</t>
  </si>
  <si>
    <t>El presupuesto maestro se elabora en cadena: cada cédula toma datos de las anteriores. Las cédulas están desordenadas. Indique el orden de elaboración (1 a 14), el tipo de presupuesto y de qué cédulas o datos se alimenta.</t>
  </si>
  <si>
    <t>Ordenamiento de las cédulas</t>
  </si>
  <si>
    <t>Cédula</t>
  </si>
  <si>
    <t>Orden de elaboración</t>
  </si>
  <si>
    <t>Tipo de presupuesto</t>
  </si>
  <si>
    <t>Toma datos principalmente de</t>
  </si>
  <si>
    <t>Presupuesto de costo de producción y costo de ventas</t>
  </si>
  <si>
    <t>Operativo</t>
  </si>
  <si>
    <t>C3, C4, C5 e inventarios</t>
  </si>
  <si>
    <t>Presupuesto de ventas</t>
  </si>
  <si>
    <t>Pronóstico de demanda y precio de venta</t>
  </si>
  <si>
    <t>Estado de Resultados proyectado</t>
  </si>
  <si>
    <t>Estado financiero</t>
  </si>
  <si>
    <t>C1, C6, C7 y C8</t>
  </si>
  <si>
    <t>Presupuesto de inversión y financiamiento</t>
  </si>
  <si>
    <t>Financiero</t>
  </si>
  <si>
    <t>Plan de inversión en activos y fuentes de financiamiento</t>
  </si>
  <si>
    <t>Presupuesto de compras de materiales</t>
  </si>
  <si>
    <t>C2 Producción + consumo por unidad + política de inventario de materiales</t>
  </si>
  <si>
    <t>Presupuesto de pagos</t>
  </si>
  <si>
    <t>C3, C4, C5, C7, C8, IGV e impuesto a la renta</t>
  </si>
  <si>
    <t>Presupuesto de gastos de ventas</t>
  </si>
  <si>
    <t>C1 Ventas (comisiones) y plan de marketing</t>
  </si>
  <si>
    <t>Estado de Situación Financiera proyectado</t>
  </si>
  <si>
    <t>C12, C13, inventarios y activos</t>
  </si>
  <si>
    <t>Presupuesto de mano de obra directa</t>
  </si>
  <si>
    <t>C2 Producción + horas por unidad + planilla</t>
  </si>
  <si>
    <t>Flujo de caja proyectado</t>
  </si>
  <si>
    <t>C9, C10 y C11</t>
  </si>
  <si>
    <t>Presupuesto de gastos administrativos</t>
  </si>
  <si>
    <t>Políticas de la empresa y estructura administrativa</t>
  </si>
  <si>
    <t>Presupuesto de producción</t>
  </si>
  <si>
    <t>C1 Ventas + política de inventario de productos terminados</t>
  </si>
  <si>
    <t>Presupuesto de cobranzas</t>
  </si>
  <si>
    <t>C1 Ventas + política de crédito</t>
  </si>
  <si>
    <t>Presupuesto de costos indirectos de fabricación</t>
  </si>
  <si>
    <t>C2 Producción y C4 MOD (bases de asignación)</t>
  </si>
  <si>
    <t>¿Por qué el presupuesto de ventas es siempre el primero?</t>
  </si>
  <si>
    <t>Porque todas las demás cédulas dependen del volumen que se espera vender: define cuánto producir, cuántos materiales comprar, cuánta mano de obra contratar y cuánto se cobrará. Un error en las ventas se arrastra a todo el presupuesto maestro.</t>
  </si>
  <si>
    <t>CASO 4: Cédulas de ventas, producción y compras – «Mermeladas Valle del Colca»</t>
  </si>
  <si>
    <t>La empresa elabora mermelada de aguaymanto en frascos de 250 g. Prepare el presupuesto del primer trimestre de 2027. Atención: el aguaymanto fresco está exonerado de IGV (Apéndice I de la Ley del IGV); su precio no incluye IGV.</t>
  </si>
  <si>
    <t>Datos</t>
  </si>
  <si>
    <t>Inventario inicial de mermeladas al 1 de enero (frascos)</t>
  </si>
  <si>
    <t>Inventario final deseado de mermeladas (% de las ventas del mes siguiente)</t>
  </si>
  <si>
    <t>Inventario final deseado de materiales (% del requerimiento del mes siguiente)</t>
  </si>
  <si>
    <t>IGV</t>
  </si>
  <si>
    <t>Presentación</t>
  </si>
  <si>
    <t>Precio pagado (S/)</t>
  </si>
  <si>
    <t>¿Afecto a IGV?</t>
  </si>
  <si>
    <t>Consumo por frasco</t>
  </si>
  <si>
    <t>Aguaymanto fresco</t>
  </si>
  <si>
    <t>Jaba x 10 kg</t>
  </si>
  <si>
    <t>No (exonerado)</t>
  </si>
  <si>
    <t>Sí</t>
  </si>
  <si>
    <t>Frasco de vidrio de 250 g con tapa</t>
  </si>
  <si>
    <t>Caja x 48</t>
  </si>
  <si>
    <t>Inventario inicial al 1 de enero</t>
  </si>
  <si>
    <t>C1. Presupuesto de ventas en unidades (frascos)</t>
  </si>
  <si>
    <t>Enero</t>
  </si>
  <si>
    <t>Febrero</t>
  </si>
  <si>
    <t>Marzo</t>
  </si>
  <si>
    <t>Abril</t>
  </si>
  <si>
    <t>Mayo</t>
  </si>
  <si>
    <t>Total enero–marzo</t>
  </si>
  <si>
    <t>Ventas en unidades</t>
  </si>
  <si>
    <t>C2. Presupuesto de producción (frascos)</t>
  </si>
  <si>
    <t>Ventas del mes</t>
  </si>
  <si>
    <t>(+) Inventario final deseado</t>
  </si>
  <si>
    <t>(=) Necesidad total</t>
  </si>
  <si>
    <t>(−) Inventario inicial</t>
  </si>
  <si>
    <t>(=) Producción del mes</t>
  </si>
  <si>
    <t>La producción de abril se calcula solo para obtener el inventario final de materiales de marzo.</t>
  </si>
  <si>
    <t>C3. Presupuesto de compras de materiales – Aguaymanto fresco (kg)</t>
  </si>
  <si>
    <t>Producción del mes (frascos)</t>
  </si>
  <si>
    <t>× Consumo por frasco</t>
  </si>
  <si>
    <t>(=) Requerimiento para la producción</t>
  </si>
  <si>
    <t>(=) Compras en unidades</t>
  </si>
  <si>
    <t>× Costo por unidad sin IGV (S/)</t>
  </si>
  <si>
    <t>(=) Valor de compra sin IGV (S/)</t>
  </si>
  <si>
    <t>(+) IGV (S/)</t>
  </si>
  <si>
    <t>(=) Total a pagar con IGV (S/)</t>
  </si>
  <si>
    <t>C3. Presupuesto de compras de materiales – Azúcar blanca (kg)</t>
  </si>
  <si>
    <t>C3. Presupuesto de compras de materiales – Frasco de vidrio de 250 g con tapa (unidad)</t>
  </si>
  <si>
    <t>Resumen de compras de materiales del trimestre (S/)</t>
  </si>
  <si>
    <t>IGV de las compras (crédito fiscal)</t>
  </si>
  <si>
    <t>Total a pagar a proveedores</t>
  </si>
  <si>
    <t>1. ¿Por qué el aguaymanto no se divide entre 1.18 y qué consecuencia tiene en el presupuesto de pagos?</t>
  </si>
  <si>
    <t>Porque es una fruta fresca exonerada de IGV: su precio no incluye impuesto y no genera crédito fiscal. Todo lo pagado es costo. En el presupuesto de pagos, su IGV es cero; solo el azúcar y los frascos generan IGV recuperable.</t>
  </si>
  <si>
    <t>2. ¿Por qué la producción de cada mes no es igual a las ventas del mes?</t>
  </si>
  <si>
    <t>Porque la empresa mantiene un inventario de seguridad: produce lo que vende más el inventario final deseado (15 % de las ventas del mes siguiente) y descuenta lo que ya tiene en inventario inicial. Como las ventas crecen mes a mes, la producción supera ligeramente a las ventas.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</si>
</sst>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
    <numFmt numFmtId="165" formatCode="&quot;S/ &quot;#,##0.00"/>
    <numFmt numFmtId="166" formatCode="&quot;S/ &quot;#,##0.0000"/>
    <numFmt numFmtId="167" formatCode="#,##0.0000"/>
    <numFmt numFmtId="168" formatCode="0.0%"/>
  </numFmts>
  <fonts count="8" x14ac:knownFonts="1">
    <font>
      <sz val="11"/>
      <color theme="1"/>
      <name val="Calibri"/>
      <family val="2"/>
      <charset val="1"/>
    </font>
    <font>
      <b/>
      <sz val="14"/>
      <color rgb="FF000000"/>
      <name val="Arial"/>
      <family val="2"/>
    </font>
    <font>
      <b/>
      <sz val="10"/>
      <color rgb="FF000000"/>
      <name val="Arial"/>
      <family val="2"/>
    </font>
    <font>
      <sz val="9"/>
      <color rgb="FF000000"/>
      <name val="Arial"/>
      <family val="2"/>
    </font>
    <font>
      <b/>
      <sz val="11"/>
      <color rgb="FFFFFFFF"/>
      <name val="Arial"/>
      <family val="2"/>
    </font>
    <font>
      <sz val="10"/>
      <color rgb="FF000000"/>
      <name val="Arial"/>
      <family val="2"/>
    </font>
    <font>
      <b/>
      <sz val="9"/>
      <color rgb="FFFFFFFF"/>
      <name val="Arial"/>
      <family val="2"/>
    </font>
    <font>
      <b/>
      <sz val="9"/>
      <color rgb="FF000000"/>
      <name val="Arial"/>
      <family val="2"/>
    </font>
  </fonts>
  <fills count="4">
    <fill>
      <patternFill patternType="none"/>
    </fill>
    <fill>
      <patternFill patternType="gray125"/>
    </fill>
    <fill>
      <patternFill patternType="solid">
        <fgColor rgb="FF000000"/>
        <bgColor rgb="FF003300"/>
      </patternFill>
    </fill>
    <fill>
      <patternFill patternType="solid">
        <fgColor rgb="FFFFFF99"/>
        <bgColor rgb="FFFFFFCC"/>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medium">
        <color auto="1"/>
      </top>
      <bottom style="medium">
        <color auto="1"/>
      </bottom>
      <diagonal/>
    </border>
  </borders>
  <cellStyleXfs count="1">
    <xf numFmtId="0" fontId="0" fillId="0" borderId="0"/>
  </cellStyleXfs>
  <cellXfs count="41">
    <xf numFmtId="0" fontId="0" fillId="0" borderId="0" xfId="0"/>
    <xf numFmtId="0" fontId="5" fillId="0" borderId="1" xfId="0" applyFont="1" applyBorder="1" applyAlignment="1">
      <alignment vertical="center"/>
    </xf>
    <xf numFmtId="0" fontId="6" fillId="2" borderId="1" xfId="0" applyFont="1" applyFill="1" applyBorder="1" applyAlignment="1">
      <alignment horizontal="center" vertical="center" wrapText="1"/>
    </xf>
    <xf numFmtId="0" fontId="5" fillId="3" borderId="1" xfId="0" applyFont="1" applyFill="1" applyBorder="1" applyAlignment="1">
      <alignment horizontal="left" vertical="center" wrapText="1"/>
    </xf>
    <xf numFmtId="0" fontId="2" fillId="0" borderId="0" xfId="0" applyFont="1" applyBorder="1" applyAlignment="1">
      <alignment vertical="center" wrapText="1"/>
    </xf>
    <xf numFmtId="0" fontId="5" fillId="0" borderId="0" xfId="0" applyFont="1" applyBorder="1" applyAlignment="1">
      <alignment horizontal="left" vertical="center" wrapText="1"/>
    </xf>
    <xf numFmtId="0" fontId="7" fillId="0" borderId="0" xfId="0" applyFont="1" applyBorder="1" applyAlignment="1">
      <alignment horizontal="center" vertical="center"/>
    </xf>
    <xf numFmtId="0" fontId="4" fillId="2" borderId="1" xfId="0" applyFont="1" applyFill="1" applyBorder="1" applyAlignment="1">
      <alignment horizontal="left" vertical="center"/>
    </xf>
    <xf numFmtId="0" fontId="3" fillId="0" borderId="0" xfId="0" applyFont="1" applyBorder="1" applyAlignment="1">
      <alignment horizontal="center" vertical="center"/>
    </xf>
    <xf numFmtId="0" fontId="2" fillId="0" borderId="0" xfId="0" applyFont="1" applyBorder="1" applyAlignment="1">
      <alignment horizontal="center" vertical="center"/>
    </xf>
    <xf numFmtId="0" fontId="1" fillId="0" borderId="0" xfId="0" applyFont="1" applyBorder="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vertical="center" wrapText="1"/>
    </xf>
    <xf numFmtId="0" fontId="6" fillId="2" borderId="1" xfId="0" applyFont="1" applyFill="1" applyBorder="1" applyAlignment="1">
      <alignment horizontal="center" vertical="center" wrapText="1"/>
    </xf>
    <xf numFmtId="0" fontId="2" fillId="0" borderId="1" xfId="0" applyFont="1" applyBorder="1" applyAlignment="1">
      <alignment vertical="center" wrapText="1"/>
    </xf>
    <xf numFmtId="0" fontId="2" fillId="0" borderId="1" xfId="0" applyFont="1" applyBorder="1" applyAlignment="1">
      <alignment vertical="center"/>
    </xf>
    <xf numFmtId="0" fontId="2" fillId="3" borderId="1" xfId="0" applyFont="1" applyFill="1" applyBorder="1" applyAlignment="1">
      <alignment vertical="center"/>
    </xf>
    <xf numFmtId="0" fontId="5" fillId="0" borderId="1" xfId="0" applyFont="1" applyBorder="1" applyAlignment="1">
      <alignment vertical="center"/>
    </xf>
    <xf numFmtId="164" fontId="5" fillId="0" borderId="1" xfId="0" applyNumberFormat="1" applyFont="1" applyBorder="1" applyAlignment="1">
      <alignment horizontal="center" vertical="center"/>
    </xf>
    <xf numFmtId="165" fontId="5" fillId="0" borderId="1" xfId="0" applyNumberFormat="1" applyFont="1" applyBorder="1" applyAlignment="1">
      <alignment vertical="center"/>
    </xf>
    <xf numFmtId="165" fontId="5" fillId="3" borderId="1" xfId="0" applyNumberFormat="1" applyFont="1" applyFill="1" applyBorder="1" applyAlignment="1">
      <alignment vertical="center"/>
    </xf>
    <xf numFmtId="0" fontId="5" fillId="0" borderId="2" xfId="0" applyFont="1" applyBorder="1" applyAlignment="1">
      <alignment vertical="center"/>
    </xf>
    <xf numFmtId="0" fontId="2" fillId="0" borderId="2" xfId="0" applyFont="1" applyBorder="1" applyAlignment="1">
      <alignment vertical="center"/>
    </xf>
    <xf numFmtId="165" fontId="2" fillId="0" borderId="2" xfId="0" applyNumberFormat="1" applyFont="1" applyBorder="1" applyAlignment="1">
      <alignment vertical="center"/>
    </xf>
    <xf numFmtId="165" fontId="2" fillId="3" borderId="2" xfId="0" applyNumberFormat="1" applyFont="1" applyFill="1" applyBorder="1" applyAlignment="1">
      <alignment vertical="center"/>
    </xf>
    <xf numFmtId="166" fontId="5" fillId="3" borderId="1" xfId="0" applyNumberFormat="1" applyFont="1" applyFill="1" applyBorder="1" applyAlignment="1">
      <alignment vertical="center"/>
    </xf>
    <xf numFmtId="3" fontId="5" fillId="0" borderId="1" xfId="0" applyNumberFormat="1" applyFont="1" applyBorder="1" applyAlignment="1">
      <alignment horizontal="center" vertical="center"/>
    </xf>
    <xf numFmtId="166" fontId="2" fillId="3" borderId="1" xfId="0" applyNumberFormat="1" applyFont="1" applyFill="1" applyBorder="1" applyAlignment="1">
      <alignment vertical="center"/>
    </xf>
    <xf numFmtId="0" fontId="5" fillId="3" borderId="1" xfId="0" applyFont="1" applyFill="1" applyBorder="1" applyAlignment="1">
      <alignment horizontal="center" vertical="center" wrapText="1"/>
    </xf>
    <xf numFmtId="9" fontId="5" fillId="0" borderId="1" xfId="0" applyNumberFormat="1" applyFont="1" applyBorder="1" applyAlignment="1">
      <alignment horizontal="center" vertical="center"/>
    </xf>
    <xf numFmtId="167" fontId="5" fillId="3" borderId="1" xfId="0" applyNumberFormat="1" applyFont="1" applyFill="1" applyBorder="1" applyAlignment="1">
      <alignment horizontal="center" vertical="center"/>
    </xf>
    <xf numFmtId="4" fontId="5" fillId="3" borderId="1" xfId="0" applyNumberFormat="1" applyFont="1" applyFill="1" applyBorder="1" applyAlignment="1">
      <alignment horizontal="center" vertical="center"/>
    </xf>
    <xf numFmtId="165" fontId="2" fillId="3" borderId="1" xfId="0" applyNumberFormat="1" applyFont="1" applyFill="1" applyBorder="1" applyAlignment="1">
      <alignment vertical="center"/>
    </xf>
    <xf numFmtId="3" fontId="5" fillId="3" borderId="1" xfId="0" applyNumberFormat="1" applyFont="1" applyFill="1" applyBorder="1" applyAlignment="1">
      <alignment horizontal="center" vertical="center"/>
    </xf>
    <xf numFmtId="0" fontId="5" fillId="3" borderId="1" xfId="0" applyFont="1" applyFill="1" applyBorder="1" applyAlignment="1">
      <alignment horizontal="center" vertical="center"/>
    </xf>
    <xf numFmtId="0" fontId="5" fillId="3" borderId="1" xfId="0" applyFont="1" applyFill="1" applyBorder="1" applyAlignment="1">
      <alignment vertical="center" wrapText="1"/>
    </xf>
    <xf numFmtId="168" fontId="5" fillId="0" borderId="1" xfId="0" applyNumberFormat="1" applyFont="1" applyBorder="1" applyAlignment="1">
      <alignment horizontal="center" vertical="center"/>
    </xf>
    <xf numFmtId="3" fontId="2" fillId="3" borderId="1" xfId="0" applyNumberFormat="1" applyFont="1" applyFill="1" applyBorder="1" applyAlignment="1">
      <alignment horizontal="center" vertical="center"/>
    </xf>
    <xf numFmtId="0" fontId="3" fillId="0" borderId="0" xfId="0" applyFont="1" applyAlignment="1">
      <alignment vertical="center"/>
    </xf>
    <xf numFmtId="4" fontId="2" fillId="3" borderId="1" xfId="0" applyNumberFormat="1" applyFont="1" applyFill="1" applyBorder="1" applyAlignment="1">
      <alignment horizontal="center" vertical="center"/>
    </xf>
    <xf numFmtId="4" fontId="2" fillId="3" borderId="1" xfId="0" applyNumberFormat="1"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32"/>
  <sheetViews>
    <sheetView showGridLines="0" tabSelected="1" zoomScaleNormal="100" workbookViewId="0">
      <selection activeCell="C8" sqref="C8"/>
    </sheetView>
  </sheetViews>
  <sheetFormatPr baseColWidth="10" defaultColWidth="8.6640625" defaultRowHeight="14.4" x14ac:dyDescent="0.3"/>
  <cols>
    <col min="1" max="1" width="4" customWidth="1"/>
    <col min="2" max="2" width="26" customWidth="1"/>
    <col min="3" max="3" width="90" customWidth="1"/>
  </cols>
  <sheetData>
    <row r="1" spans="1:3" ht="25.5" customHeight="1" x14ac:dyDescent="0.3">
      <c r="A1" s="10" t="s">
        <v>0</v>
      </c>
      <c r="B1" s="10"/>
      <c r="C1" s="10"/>
    </row>
    <row r="2" spans="1:3" x14ac:dyDescent="0.3">
      <c r="A2" s="9" t="s">
        <v>1</v>
      </c>
      <c r="B2" s="9"/>
      <c r="C2" s="9"/>
    </row>
    <row r="3" spans="1:3" x14ac:dyDescent="0.3">
      <c r="A3" s="8" t="s">
        <v>2</v>
      </c>
      <c r="B3" s="8"/>
      <c r="C3" s="8"/>
    </row>
    <row r="5" spans="1:3" ht="19.5" customHeight="1" x14ac:dyDescent="0.3">
      <c r="A5" s="7" t="s">
        <v>3</v>
      </c>
      <c r="B5" s="7"/>
      <c r="C5" s="7"/>
    </row>
    <row r="6" spans="1:3" ht="27.75" customHeight="1" x14ac:dyDescent="0.3">
      <c r="B6" s="11" t="s">
        <v>4</v>
      </c>
      <c r="C6" s="12" t="s">
        <v>5</v>
      </c>
    </row>
    <row r="7" spans="1:3" ht="27.75" customHeight="1" x14ac:dyDescent="0.3">
      <c r="B7" s="11" t="s">
        <v>4</v>
      </c>
      <c r="C7" s="12" t="s">
        <v>6</v>
      </c>
    </row>
    <row r="8" spans="1:3" ht="27.75" customHeight="1" x14ac:dyDescent="0.3">
      <c r="B8" s="11" t="s">
        <v>4</v>
      </c>
      <c r="C8" s="12" t="s">
        <v>7</v>
      </c>
    </row>
    <row r="9" spans="1:3" ht="27.75" customHeight="1" x14ac:dyDescent="0.3">
      <c r="B9" s="11" t="s">
        <v>4</v>
      </c>
      <c r="C9" s="12" t="s">
        <v>8</v>
      </c>
    </row>
    <row r="11" spans="1:3" ht="19.5" customHeight="1" x14ac:dyDescent="0.3">
      <c r="A11" s="7" t="s">
        <v>9</v>
      </c>
      <c r="B11" s="7"/>
      <c r="C11" s="7"/>
    </row>
    <row r="12" spans="1:3" ht="19.5" customHeight="1" x14ac:dyDescent="0.3">
      <c r="B12" s="13" t="s">
        <v>10</v>
      </c>
      <c r="C12" s="13" t="s">
        <v>11</v>
      </c>
    </row>
    <row r="13" spans="1:3" ht="36" customHeight="1" x14ac:dyDescent="0.3">
      <c r="B13" s="14" t="s">
        <v>12</v>
      </c>
      <c r="C13" s="12" t="s">
        <v>13</v>
      </c>
    </row>
    <row r="14" spans="1:3" ht="36" customHeight="1" x14ac:dyDescent="0.3">
      <c r="B14" s="14" t="s">
        <v>14</v>
      </c>
      <c r="C14" s="12" t="s">
        <v>15</v>
      </c>
    </row>
    <row r="16" spans="1:3" ht="19.5" customHeight="1" x14ac:dyDescent="0.3">
      <c r="A16" s="7" t="s">
        <v>16</v>
      </c>
      <c r="B16" s="7"/>
      <c r="C16" s="7"/>
    </row>
    <row r="17" spans="1:3" ht="30" customHeight="1" x14ac:dyDescent="0.3">
      <c r="B17" s="14" t="s">
        <v>17</v>
      </c>
      <c r="C17" s="12" t="s">
        <v>18</v>
      </c>
    </row>
    <row r="18" spans="1:3" ht="30" customHeight="1" x14ac:dyDescent="0.3">
      <c r="B18" s="14" t="s">
        <v>19</v>
      </c>
      <c r="C18" s="12" t="s">
        <v>20</v>
      </c>
    </row>
    <row r="19" spans="1:3" ht="30" customHeight="1" x14ac:dyDescent="0.3">
      <c r="B19" s="14" t="s">
        <v>21</v>
      </c>
      <c r="C19" s="12" t="s">
        <v>22</v>
      </c>
    </row>
    <row r="20" spans="1:3" ht="30" customHeight="1" x14ac:dyDescent="0.3">
      <c r="B20" s="14" t="s">
        <v>23</v>
      </c>
      <c r="C20" s="12" t="s">
        <v>24</v>
      </c>
    </row>
    <row r="21" spans="1:3" ht="30" customHeight="1" x14ac:dyDescent="0.3">
      <c r="B21" s="14" t="s">
        <v>25</v>
      </c>
      <c r="C21" s="12" t="s">
        <v>26</v>
      </c>
    </row>
    <row r="22" spans="1:3" ht="30" customHeight="1" x14ac:dyDescent="0.3">
      <c r="B22" s="14" t="s">
        <v>27</v>
      </c>
      <c r="C22" s="12" t="s">
        <v>28</v>
      </c>
    </row>
    <row r="23" spans="1:3" ht="30" customHeight="1" x14ac:dyDescent="0.3">
      <c r="B23" s="14" t="s">
        <v>29</v>
      </c>
      <c r="C23" s="12" t="s">
        <v>30</v>
      </c>
    </row>
    <row r="25" spans="1:3" ht="19.5" customHeight="1" x14ac:dyDescent="0.3">
      <c r="A25" s="7" t="s">
        <v>31</v>
      </c>
      <c r="B25" s="7"/>
      <c r="C25" s="7"/>
    </row>
    <row r="26" spans="1:3" ht="30" customHeight="1" x14ac:dyDescent="0.3">
      <c r="B26" s="15" t="s">
        <v>32</v>
      </c>
      <c r="C26" s="12" t="s">
        <v>33</v>
      </c>
    </row>
    <row r="27" spans="1:3" ht="30" customHeight="1" x14ac:dyDescent="0.3">
      <c r="B27" s="15" t="s">
        <v>34</v>
      </c>
      <c r="C27" s="12" t="s">
        <v>35</v>
      </c>
    </row>
    <row r="28" spans="1:3" ht="30" customHeight="1" x14ac:dyDescent="0.3">
      <c r="B28" s="15" t="s">
        <v>36</v>
      </c>
      <c r="C28" s="12" t="s">
        <v>37</v>
      </c>
    </row>
    <row r="30" spans="1:3" ht="19.5" customHeight="1" x14ac:dyDescent="0.3">
      <c r="A30" s="7" t="s">
        <v>38</v>
      </c>
      <c r="B30" s="7"/>
      <c r="C30" s="7"/>
    </row>
    <row r="31" spans="1:3" x14ac:dyDescent="0.3">
      <c r="B31" s="16" t="s">
        <v>39</v>
      </c>
      <c r="C31" s="17" t="s">
        <v>40</v>
      </c>
    </row>
    <row r="32" spans="1:3" x14ac:dyDescent="0.3">
      <c r="B32" s="15" t="s">
        <v>41</v>
      </c>
      <c r="C32" s="17" t="s">
        <v>42</v>
      </c>
    </row>
  </sheetData>
  <mergeCells count="8">
    <mergeCell ref="A16:C16"/>
    <mergeCell ref="A25:C25"/>
    <mergeCell ref="A30:C30"/>
    <mergeCell ref="A1:C1"/>
    <mergeCell ref="A2:C2"/>
    <mergeCell ref="A3:C3"/>
    <mergeCell ref="A5:C5"/>
    <mergeCell ref="A11:C11"/>
  </mergeCells>
  <pageMargins left="0.75" right="0.75" top="1" bottom="1"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40"/>
  <sheetViews>
    <sheetView showGridLines="0" zoomScaleNormal="100" workbookViewId="0"/>
  </sheetViews>
  <sheetFormatPr baseColWidth="10" defaultColWidth="8.6640625" defaultRowHeight="14.4" x14ac:dyDescent="0.3"/>
  <cols>
    <col min="1" max="1" width="6" customWidth="1"/>
    <col min="2" max="2" width="34" customWidth="1"/>
    <col min="3" max="3" width="26" customWidth="1"/>
    <col min="4" max="4" width="13" customWidth="1"/>
    <col min="5" max="5" width="12" customWidth="1"/>
    <col min="6" max="8" width="17" customWidth="1"/>
  </cols>
  <sheetData>
    <row r="1" spans="1:8" ht="25.5" customHeight="1" x14ac:dyDescent="0.3">
      <c r="A1" s="10" t="s">
        <v>43</v>
      </c>
      <c r="B1" s="10"/>
      <c r="C1" s="10"/>
      <c r="D1" s="10"/>
      <c r="E1" s="10"/>
      <c r="F1" s="10"/>
      <c r="G1" s="10"/>
      <c r="H1" s="10"/>
    </row>
    <row r="2" spans="1:8" x14ac:dyDescent="0.3">
      <c r="A2" s="6" t="s">
        <v>44</v>
      </c>
      <c r="B2" s="6"/>
      <c r="C2" s="6"/>
      <c r="D2" s="6"/>
      <c r="E2" s="6"/>
      <c r="F2" s="6"/>
      <c r="G2" s="6"/>
      <c r="H2" s="6"/>
    </row>
    <row r="4" spans="1:8" ht="31.5" customHeight="1" x14ac:dyDescent="0.3">
      <c r="A4" s="5" t="s">
        <v>45</v>
      </c>
      <c r="B4" s="5"/>
      <c r="C4" s="5"/>
      <c r="D4" s="5"/>
      <c r="E4" s="5"/>
      <c r="F4" s="5"/>
      <c r="G4" s="5"/>
      <c r="H4" s="5"/>
    </row>
    <row r="6" spans="1:8" ht="19.5" customHeight="1" x14ac:dyDescent="0.3">
      <c r="A6" s="7" t="s">
        <v>46</v>
      </c>
      <c r="B6" s="7"/>
      <c r="C6" s="7"/>
      <c r="D6" s="7"/>
      <c r="E6" s="7"/>
      <c r="F6" s="7"/>
      <c r="G6" s="7"/>
      <c r="H6" s="7"/>
    </row>
    <row r="7" spans="1:8" ht="33.75" customHeight="1" x14ac:dyDescent="0.3">
      <c r="A7" s="13" t="s">
        <v>47</v>
      </c>
      <c r="B7" s="13" t="s">
        <v>48</v>
      </c>
      <c r="C7" s="13" t="s">
        <v>49</v>
      </c>
      <c r="D7" s="13" t="s">
        <v>50</v>
      </c>
      <c r="E7" s="13" t="s">
        <v>51</v>
      </c>
      <c r="F7" s="13" t="s">
        <v>52</v>
      </c>
      <c r="G7" s="13" t="s">
        <v>53</v>
      </c>
      <c r="H7" s="13" t="s">
        <v>54</v>
      </c>
    </row>
    <row r="8" spans="1:8" x14ac:dyDescent="0.3">
      <c r="A8" s="11">
        <v>1</v>
      </c>
      <c r="B8" s="17" t="s">
        <v>55</v>
      </c>
      <c r="C8" s="17" t="s">
        <v>56</v>
      </c>
      <c r="D8" s="18">
        <v>50</v>
      </c>
      <c r="E8" s="11" t="s">
        <v>57</v>
      </c>
      <c r="F8" s="19">
        <v>185</v>
      </c>
      <c r="G8" s="20">
        <f t="shared" ref="G8:G13" si="0">F8/1.18</f>
        <v>156.77966101694915</v>
      </c>
      <c r="H8" s="20">
        <f t="shared" ref="H8:H13" si="1">F8-G8</f>
        <v>28.220338983050851</v>
      </c>
    </row>
    <row r="9" spans="1:8" x14ac:dyDescent="0.3">
      <c r="A9" s="11">
        <v>2</v>
      </c>
      <c r="B9" s="17" t="s">
        <v>58</v>
      </c>
      <c r="C9" s="17" t="s">
        <v>56</v>
      </c>
      <c r="D9" s="18">
        <v>50</v>
      </c>
      <c r="E9" s="11" t="s">
        <v>57</v>
      </c>
      <c r="F9" s="19">
        <v>215</v>
      </c>
      <c r="G9" s="20">
        <f t="shared" si="0"/>
        <v>182.20338983050848</v>
      </c>
      <c r="H9" s="20">
        <f t="shared" si="1"/>
        <v>32.796610169491515</v>
      </c>
    </row>
    <row r="10" spans="1:8" x14ac:dyDescent="0.3">
      <c r="A10" s="11">
        <v>3</v>
      </c>
      <c r="B10" s="17" t="s">
        <v>59</v>
      </c>
      <c r="C10" s="17" t="s">
        <v>60</v>
      </c>
      <c r="D10" s="18">
        <v>10</v>
      </c>
      <c r="E10" s="11" t="s">
        <v>57</v>
      </c>
      <c r="F10" s="19">
        <v>115</v>
      </c>
      <c r="G10" s="20">
        <f t="shared" si="0"/>
        <v>97.457627118644069</v>
      </c>
      <c r="H10" s="20">
        <f t="shared" si="1"/>
        <v>17.542372881355931</v>
      </c>
    </row>
    <row r="11" spans="1:8" x14ac:dyDescent="0.3">
      <c r="A11" s="11">
        <v>4</v>
      </c>
      <c r="B11" s="17" t="s">
        <v>61</v>
      </c>
      <c r="C11" s="17" t="s">
        <v>62</v>
      </c>
      <c r="D11" s="18">
        <v>10</v>
      </c>
      <c r="E11" s="11" t="s">
        <v>57</v>
      </c>
      <c r="F11" s="19">
        <v>310</v>
      </c>
      <c r="G11" s="20">
        <f t="shared" si="0"/>
        <v>262.71186440677968</v>
      </c>
      <c r="H11" s="20">
        <f t="shared" si="1"/>
        <v>47.288135593220318</v>
      </c>
    </row>
    <row r="12" spans="1:8" x14ac:dyDescent="0.3">
      <c r="A12" s="11">
        <v>5</v>
      </c>
      <c r="B12" s="17" t="s">
        <v>63</v>
      </c>
      <c r="C12" s="17" t="s">
        <v>56</v>
      </c>
      <c r="D12" s="18">
        <v>50</v>
      </c>
      <c r="E12" s="11" t="s">
        <v>57</v>
      </c>
      <c r="F12" s="19">
        <v>45</v>
      </c>
      <c r="G12" s="20">
        <f t="shared" si="0"/>
        <v>38.135593220338983</v>
      </c>
      <c r="H12" s="20">
        <f t="shared" si="1"/>
        <v>6.8644067796610173</v>
      </c>
    </row>
    <row r="13" spans="1:8" x14ac:dyDescent="0.3">
      <c r="A13" s="11">
        <v>6</v>
      </c>
      <c r="B13" s="17" t="s">
        <v>64</v>
      </c>
      <c r="C13" s="17" t="s">
        <v>65</v>
      </c>
      <c r="D13" s="18">
        <v>1</v>
      </c>
      <c r="E13" s="11" t="s">
        <v>57</v>
      </c>
      <c r="F13" s="19">
        <v>28</v>
      </c>
      <c r="G13" s="20">
        <f t="shared" si="0"/>
        <v>23.728813559322035</v>
      </c>
      <c r="H13" s="20">
        <f t="shared" si="1"/>
        <v>4.2711864406779654</v>
      </c>
    </row>
    <row r="14" spans="1:8" x14ac:dyDescent="0.3">
      <c r="A14" s="21"/>
      <c r="B14" s="22" t="s">
        <v>66</v>
      </c>
      <c r="C14" s="21"/>
      <c r="D14" s="21"/>
      <c r="E14" s="21"/>
      <c r="F14" s="23">
        <f>SUM(F8:F13)</f>
        <v>898</v>
      </c>
      <c r="G14" s="24">
        <f>SUM(G8:G13)</f>
        <v>761.01694915254234</v>
      </c>
      <c r="H14" s="24">
        <f>SUM(H8:H13)</f>
        <v>136.9830508474576</v>
      </c>
    </row>
    <row r="16" spans="1:8" ht="33.75" customHeight="1" x14ac:dyDescent="0.3">
      <c r="B16" s="13" t="s">
        <v>48</v>
      </c>
      <c r="C16" s="13" t="s">
        <v>67</v>
      </c>
      <c r="D16" s="13" t="s">
        <v>51</v>
      </c>
    </row>
    <row r="17" spans="1:8" x14ac:dyDescent="0.3">
      <c r="B17" s="17" t="s">
        <v>55</v>
      </c>
      <c r="C17" s="25">
        <f t="shared" ref="C17:C22" si="2">G8/D8</f>
        <v>3.1355932203389831</v>
      </c>
      <c r="D17" s="11" t="s">
        <v>68</v>
      </c>
    </row>
    <row r="18" spans="1:8" x14ac:dyDescent="0.3">
      <c r="B18" s="17" t="s">
        <v>58</v>
      </c>
      <c r="C18" s="25">
        <f t="shared" si="2"/>
        <v>3.6440677966101696</v>
      </c>
      <c r="D18" s="11" t="s">
        <v>68</v>
      </c>
    </row>
    <row r="19" spans="1:8" x14ac:dyDescent="0.3">
      <c r="B19" s="17" t="s">
        <v>59</v>
      </c>
      <c r="C19" s="25">
        <f t="shared" si="2"/>
        <v>9.7457627118644066</v>
      </c>
      <c r="D19" s="11" t="s">
        <v>68</v>
      </c>
    </row>
    <row r="20" spans="1:8" x14ac:dyDescent="0.3">
      <c r="B20" s="17" t="s">
        <v>61</v>
      </c>
      <c r="C20" s="25">
        <f t="shared" si="2"/>
        <v>26.271186440677969</v>
      </c>
      <c r="D20" s="11" t="s">
        <v>68</v>
      </c>
    </row>
    <row r="21" spans="1:8" x14ac:dyDescent="0.3">
      <c r="B21" s="17" t="s">
        <v>63</v>
      </c>
      <c r="C21" s="25">
        <f t="shared" si="2"/>
        <v>0.76271186440677963</v>
      </c>
      <c r="D21" s="11" t="s">
        <v>68</v>
      </c>
    </row>
    <row r="22" spans="1:8" x14ac:dyDescent="0.3">
      <c r="B22" s="17" t="s">
        <v>64</v>
      </c>
      <c r="C22" s="25">
        <f t="shared" si="2"/>
        <v>23.728813559322035</v>
      </c>
      <c r="D22" s="11" t="s">
        <v>68</v>
      </c>
    </row>
    <row r="24" spans="1:8" ht="19.5" customHeight="1" x14ac:dyDescent="0.3">
      <c r="A24" s="7" t="s">
        <v>69</v>
      </c>
      <c r="B24" s="7"/>
      <c r="C24" s="7"/>
      <c r="D24" s="7"/>
      <c r="E24" s="7"/>
      <c r="F24" s="7"/>
      <c r="G24" s="7"/>
      <c r="H24" s="7"/>
    </row>
    <row r="25" spans="1:8" ht="33.75" customHeight="1" x14ac:dyDescent="0.3">
      <c r="B25" s="13" t="s">
        <v>48</v>
      </c>
      <c r="C25" s="13" t="s">
        <v>70</v>
      </c>
      <c r="D25" s="13" t="s">
        <v>51</v>
      </c>
      <c r="E25" s="13" t="s">
        <v>71</v>
      </c>
      <c r="F25" s="13" t="s">
        <v>72</v>
      </c>
    </row>
    <row r="26" spans="1:8" x14ac:dyDescent="0.3">
      <c r="B26" s="17" t="s">
        <v>55</v>
      </c>
      <c r="C26" s="18">
        <v>3</v>
      </c>
      <c r="D26" s="11" t="s">
        <v>57</v>
      </c>
      <c r="E26" s="25">
        <f t="shared" ref="E26:E31" si="3">C17</f>
        <v>3.1355932203389831</v>
      </c>
      <c r="F26" s="25">
        <f t="shared" ref="F26:F31" si="4">C26*E26</f>
        <v>9.4067796610169498</v>
      </c>
    </row>
    <row r="27" spans="1:8" x14ac:dyDescent="0.3">
      <c r="B27" s="17" t="s">
        <v>58</v>
      </c>
      <c r="C27" s="18">
        <v>0.15</v>
      </c>
      <c r="D27" s="11" t="s">
        <v>57</v>
      </c>
      <c r="E27" s="25">
        <f t="shared" si="3"/>
        <v>3.6440677966101696</v>
      </c>
      <c r="F27" s="25">
        <f t="shared" si="4"/>
        <v>0.54661016949152541</v>
      </c>
    </row>
    <row r="28" spans="1:8" x14ac:dyDescent="0.3">
      <c r="B28" s="17" t="s">
        <v>59</v>
      </c>
      <c r="C28" s="18">
        <v>0.12</v>
      </c>
      <c r="D28" s="11" t="s">
        <v>57</v>
      </c>
      <c r="E28" s="25">
        <f t="shared" si="3"/>
        <v>9.7457627118644066</v>
      </c>
      <c r="F28" s="25">
        <f t="shared" si="4"/>
        <v>1.1694915254237288</v>
      </c>
    </row>
    <row r="29" spans="1:8" x14ac:dyDescent="0.3">
      <c r="B29" s="17" t="s">
        <v>61</v>
      </c>
      <c r="C29" s="18">
        <v>0.03</v>
      </c>
      <c r="D29" s="11" t="s">
        <v>57</v>
      </c>
      <c r="E29" s="25">
        <f t="shared" si="3"/>
        <v>26.271186440677969</v>
      </c>
      <c r="F29" s="25">
        <f t="shared" si="4"/>
        <v>0.78813559322033899</v>
      </c>
    </row>
    <row r="30" spans="1:8" x14ac:dyDescent="0.3">
      <c r="B30" s="17" t="s">
        <v>63</v>
      </c>
      <c r="C30" s="18">
        <v>0.05</v>
      </c>
      <c r="D30" s="11" t="s">
        <v>57</v>
      </c>
      <c r="E30" s="25">
        <f t="shared" si="3"/>
        <v>0.76271186440677963</v>
      </c>
      <c r="F30" s="25">
        <f t="shared" si="4"/>
        <v>3.8135593220338986E-2</v>
      </c>
    </row>
    <row r="31" spans="1:8" x14ac:dyDescent="0.3">
      <c r="B31" s="17" t="s">
        <v>64</v>
      </c>
      <c r="C31" s="18">
        <v>0.01</v>
      </c>
      <c r="D31" s="11" t="s">
        <v>57</v>
      </c>
      <c r="E31" s="25">
        <f t="shared" si="3"/>
        <v>23.728813559322035</v>
      </c>
      <c r="F31" s="25">
        <f t="shared" si="4"/>
        <v>0.23728813559322035</v>
      </c>
    </row>
    <row r="32" spans="1:8" x14ac:dyDescent="0.3">
      <c r="B32" s="22" t="s">
        <v>73</v>
      </c>
      <c r="C32" s="21"/>
      <c r="D32" s="21"/>
      <c r="E32" s="21"/>
      <c r="F32" s="24">
        <f>SUM(F26:F31)</f>
        <v>12.186440677966102</v>
      </c>
    </row>
    <row r="33" spans="1:8" x14ac:dyDescent="0.3">
      <c r="B33" s="17" t="s">
        <v>74</v>
      </c>
      <c r="F33" s="26">
        <v>100</v>
      </c>
    </row>
    <row r="34" spans="1:8" x14ac:dyDescent="0.3">
      <c r="B34" s="15" t="s">
        <v>75</v>
      </c>
      <c r="F34" s="27">
        <f>F32/F33</f>
        <v>0.12186440677966102</v>
      </c>
    </row>
    <row r="36" spans="1:8" ht="19.5" customHeight="1" x14ac:dyDescent="0.3">
      <c r="A36" s="7" t="s">
        <v>76</v>
      </c>
      <c r="B36" s="7"/>
      <c r="C36" s="7"/>
      <c r="D36" s="7"/>
      <c r="E36" s="7"/>
      <c r="F36" s="7"/>
      <c r="G36" s="7"/>
      <c r="H36" s="7"/>
    </row>
    <row r="37" spans="1:8" ht="30" customHeight="1" x14ac:dyDescent="0.3">
      <c r="B37" s="12" t="s">
        <v>77</v>
      </c>
      <c r="F37" s="25">
        <f>F34+(199/1.18/50-C17)*C26/F33</f>
        <v>0.12898305084745765</v>
      </c>
    </row>
    <row r="39" spans="1:8" ht="18" customHeight="1" x14ac:dyDescent="0.3">
      <c r="A39" s="4" t="s">
        <v>78</v>
      </c>
      <c r="B39" s="4"/>
      <c r="C39" s="4"/>
      <c r="D39" s="4"/>
      <c r="E39" s="4"/>
      <c r="F39" s="4"/>
      <c r="G39" s="4"/>
      <c r="H39" s="4"/>
    </row>
    <row r="40" spans="1:8" ht="60" customHeight="1" x14ac:dyDescent="0.3">
      <c r="A40" s="3" t="s">
        <v>79</v>
      </c>
      <c r="B40" s="3"/>
      <c r="C40" s="3"/>
      <c r="D40" s="3"/>
      <c r="E40" s="3"/>
      <c r="F40" s="3"/>
      <c r="G40" s="3"/>
      <c r="H40" s="3"/>
    </row>
  </sheetData>
  <mergeCells count="8">
    <mergeCell ref="A36:H36"/>
    <mergeCell ref="A39:H39"/>
    <mergeCell ref="A40:H40"/>
    <mergeCell ref="A1:H1"/>
    <mergeCell ref="A2:H2"/>
    <mergeCell ref="A4:H4"/>
    <mergeCell ref="A6:H6"/>
    <mergeCell ref="A24:H24"/>
  </mergeCells>
  <pageMargins left="0.75" right="0.75" top="1" bottom="1"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36"/>
  <sheetViews>
    <sheetView showGridLines="0" zoomScaleNormal="100" workbookViewId="0"/>
  </sheetViews>
  <sheetFormatPr baseColWidth="10" defaultColWidth="8.6640625" defaultRowHeight="14.4" x14ac:dyDescent="0.3"/>
  <cols>
    <col min="1" max="1" width="5" customWidth="1"/>
    <col min="2" max="2" width="38" customWidth="1"/>
    <col min="3" max="3" width="17" customWidth="1"/>
    <col min="4" max="4" width="11" customWidth="1"/>
    <col min="5" max="5" width="9" customWidth="1"/>
    <col min="6" max="6" width="13" customWidth="1"/>
    <col min="7" max="7" width="19" customWidth="1"/>
    <col min="8" max="8" width="14" customWidth="1"/>
    <col min="9" max="9" width="15" customWidth="1"/>
    <col min="10" max="10" width="12" customWidth="1"/>
    <col min="11" max="11" width="9" customWidth="1"/>
    <col min="12" max="12" width="13" customWidth="1"/>
    <col min="13" max="13" width="12" customWidth="1"/>
    <col min="14" max="15" width="14" customWidth="1"/>
  </cols>
  <sheetData>
    <row r="1" spans="1:15" ht="25.5" customHeight="1" x14ac:dyDescent="0.3">
      <c r="A1" s="10" t="s">
        <v>80</v>
      </c>
      <c r="B1" s="10"/>
      <c r="C1" s="10"/>
      <c r="D1" s="10"/>
      <c r="E1" s="10"/>
      <c r="F1" s="10"/>
      <c r="G1" s="10"/>
      <c r="H1" s="10"/>
      <c r="I1" s="10"/>
      <c r="J1" s="10"/>
      <c r="K1" s="10"/>
      <c r="L1" s="10"/>
      <c r="M1" s="10"/>
      <c r="N1" s="10"/>
      <c r="O1" s="10"/>
    </row>
    <row r="2" spans="1:15" x14ac:dyDescent="0.3">
      <c r="A2" s="6" t="s">
        <v>44</v>
      </c>
      <c r="B2" s="6"/>
      <c r="C2" s="6"/>
      <c r="D2" s="6"/>
      <c r="E2" s="6"/>
      <c r="F2" s="6"/>
      <c r="G2" s="6"/>
      <c r="H2" s="6"/>
      <c r="I2" s="6"/>
      <c r="J2" s="6"/>
      <c r="K2" s="6"/>
      <c r="L2" s="6"/>
      <c r="M2" s="6"/>
      <c r="N2" s="6"/>
      <c r="O2" s="6"/>
    </row>
    <row r="4" spans="1:15" ht="31.5" customHeight="1" x14ac:dyDescent="0.3">
      <c r="A4" s="5" t="s">
        <v>81</v>
      </c>
      <c r="B4" s="5"/>
      <c r="C4" s="5"/>
      <c r="D4" s="5"/>
      <c r="E4" s="5"/>
      <c r="F4" s="5"/>
      <c r="G4" s="5"/>
      <c r="H4" s="5"/>
      <c r="I4" s="5"/>
      <c r="J4" s="5"/>
      <c r="K4" s="5"/>
      <c r="L4" s="5"/>
      <c r="M4" s="5"/>
      <c r="N4" s="5"/>
      <c r="O4" s="5"/>
    </row>
    <row r="5" spans="1:15" x14ac:dyDescent="0.3">
      <c r="B5" s="15" t="s">
        <v>82</v>
      </c>
      <c r="C5" s="26">
        <v>1000</v>
      </c>
    </row>
    <row r="7" spans="1:15" ht="19.5" customHeight="1" x14ac:dyDescent="0.3">
      <c r="A7" s="7" t="s">
        <v>83</v>
      </c>
      <c r="B7" s="7"/>
      <c r="C7" s="7"/>
      <c r="D7" s="7"/>
      <c r="E7" s="7"/>
      <c r="F7" s="7"/>
      <c r="G7" s="7"/>
      <c r="H7" s="7"/>
      <c r="I7" s="7"/>
      <c r="J7" s="7"/>
      <c r="K7" s="7"/>
      <c r="L7" s="7"/>
      <c r="M7" s="7"/>
      <c r="N7" s="7"/>
      <c r="O7" s="7"/>
    </row>
    <row r="8" spans="1:15" ht="45.75" customHeight="1" x14ac:dyDescent="0.3">
      <c r="A8" s="13" t="s">
        <v>47</v>
      </c>
      <c r="B8" s="13" t="s">
        <v>84</v>
      </c>
      <c r="C8" s="13" t="s">
        <v>49</v>
      </c>
      <c r="D8" s="13" t="s">
        <v>50</v>
      </c>
      <c r="E8" s="13" t="s">
        <v>51</v>
      </c>
      <c r="F8" s="13" t="s">
        <v>52</v>
      </c>
      <c r="G8" s="13" t="s">
        <v>85</v>
      </c>
      <c r="H8" s="13" t="s">
        <v>86</v>
      </c>
      <c r="I8" s="13" t="s">
        <v>71</v>
      </c>
      <c r="J8" s="13" t="s">
        <v>87</v>
      </c>
      <c r="K8" s="13" t="s">
        <v>88</v>
      </c>
      <c r="L8" s="13" t="s">
        <v>89</v>
      </c>
      <c r="M8" s="13" t="s">
        <v>90</v>
      </c>
      <c r="N8" s="13" t="s">
        <v>91</v>
      </c>
      <c r="O8" s="13" t="s">
        <v>92</v>
      </c>
    </row>
    <row r="9" spans="1:15" ht="27.75" customHeight="1" x14ac:dyDescent="0.3">
      <c r="A9" s="11">
        <v>1</v>
      </c>
      <c r="B9" s="12" t="s">
        <v>93</v>
      </c>
      <c r="C9" s="12" t="s">
        <v>94</v>
      </c>
      <c r="D9" s="18">
        <v>25</v>
      </c>
      <c r="E9" s="11" t="s">
        <v>57</v>
      </c>
      <c r="F9" s="19">
        <v>725</v>
      </c>
      <c r="G9" s="28" t="s">
        <v>32</v>
      </c>
      <c r="H9" s="20">
        <f t="shared" ref="H9:H20" si="0">F9/1.18</f>
        <v>614.40677966101703</v>
      </c>
      <c r="I9" s="25">
        <f t="shared" ref="I9:I20" si="1">H9/D9</f>
        <v>24.576271186440682</v>
      </c>
      <c r="J9" s="18">
        <v>0.2</v>
      </c>
      <c r="K9" s="29">
        <v>0.08</v>
      </c>
      <c r="L9" s="30">
        <f t="shared" ref="L9:L14" si="2">J9/(1-K9)</f>
        <v>0.21739130434782608</v>
      </c>
      <c r="M9" s="31">
        <f t="shared" ref="M9:M14" si="3">L9*$C$5</f>
        <v>217.39130434782609</v>
      </c>
      <c r="N9" s="25">
        <f t="shared" ref="N9:N14" si="4">I9*L9</f>
        <v>5.342667649226235</v>
      </c>
      <c r="O9" s="20">
        <f t="shared" ref="O9:O20" si="5">I9*M9</f>
        <v>5342.667649226235</v>
      </c>
    </row>
    <row r="10" spans="1:15" ht="27.75" customHeight="1" x14ac:dyDescent="0.3">
      <c r="A10" s="11">
        <v>2</v>
      </c>
      <c r="B10" s="12" t="s">
        <v>95</v>
      </c>
      <c r="C10" s="12" t="s">
        <v>96</v>
      </c>
      <c r="D10" s="18">
        <v>5</v>
      </c>
      <c r="E10" s="11" t="s">
        <v>57</v>
      </c>
      <c r="F10" s="19">
        <v>175</v>
      </c>
      <c r="G10" s="28" t="s">
        <v>32</v>
      </c>
      <c r="H10" s="20">
        <f t="shared" si="0"/>
        <v>148.30508474576271</v>
      </c>
      <c r="I10" s="25">
        <f t="shared" si="1"/>
        <v>29.661016949152543</v>
      </c>
      <c r="J10" s="18">
        <v>1.2E-2</v>
      </c>
      <c r="K10" s="29">
        <v>0.05</v>
      </c>
      <c r="L10" s="30">
        <f t="shared" si="2"/>
        <v>1.2631578947368423E-2</v>
      </c>
      <c r="M10" s="31">
        <f t="shared" si="3"/>
        <v>12.631578947368423</v>
      </c>
      <c r="N10" s="25">
        <f t="shared" si="4"/>
        <v>0.37466547725245319</v>
      </c>
      <c r="O10" s="20">
        <f t="shared" si="5"/>
        <v>374.66547725245323</v>
      </c>
    </row>
    <row r="11" spans="1:15" ht="27.75" customHeight="1" x14ac:dyDescent="0.3">
      <c r="A11" s="11">
        <v>3</v>
      </c>
      <c r="B11" s="12" t="s">
        <v>97</v>
      </c>
      <c r="C11" s="12" t="s">
        <v>98</v>
      </c>
      <c r="D11" s="18">
        <v>100</v>
      </c>
      <c r="E11" s="11" t="s">
        <v>99</v>
      </c>
      <c r="F11" s="19">
        <v>150</v>
      </c>
      <c r="G11" s="28" t="s">
        <v>32</v>
      </c>
      <c r="H11" s="20">
        <f t="shared" si="0"/>
        <v>127.11864406779662</v>
      </c>
      <c r="I11" s="25">
        <f t="shared" si="1"/>
        <v>1.2711864406779663</v>
      </c>
      <c r="J11" s="18">
        <v>1</v>
      </c>
      <c r="K11" s="29">
        <v>0.03</v>
      </c>
      <c r="L11" s="30">
        <f t="shared" si="2"/>
        <v>1.0309278350515465</v>
      </c>
      <c r="M11" s="31">
        <f t="shared" si="3"/>
        <v>1030.9278350515465</v>
      </c>
      <c r="N11" s="25">
        <f t="shared" si="4"/>
        <v>1.310501485235017</v>
      </c>
      <c r="O11" s="20">
        <f t="shared" si="5"/>
        <v>1310.5014852350168</v>
      </c>
    </row>
    <row r="12" spans="1:15" ht="27.75" customHeight="1" x14ac:dyDescent="0.3">
      <c r="A12" s="11">
        <v>4</v>
      </c>
      <c r="B12" s="12" t="s">
        <v>100</v>
      </c>
      <c r="C12" s="12" t="s">
        <v>101</v>
      </c>
      <c r="D12" s="18">
        <v>1000</v>
      </c>
      <c r="E12" s="11" t="s">
        <v>99</v>
      </c>
      <c r="F12" s="19">
        <v>180</v>
      </c>
      <c r="G12" s="28" t="s">
        <v>32</v>
      </c>
      <c r="H12" s="20">
        <f t="shared" si="0"/>
        <v>152.54237288135593</v>
      </c>
      <c r="I12" s="25">
        <f t="shared" si="1"/>
        <v>0.15254237288135594</v>
      </c>
      <c r="J12" s="18">
        <v>1</v>
      </c>
      <c r="K12" s="29">
        <v>0.02</v>
      </c>
      <c r="L12" s="30">
        <f t="shared" si="2"/>
        <v>1.0204081632653061</v>
      </c>
      <c r="M12" s="31">
        <f t="shared" si="3"/>
        <v>1020.4081632653061</v>
      </c>
      <c r="N12" s="25">
        <f t="shared" si="4"/>
        <v>0.15565548253199588</v>
      </c>
      <c r="O12" s="20">
        <f t="shared" si="5"/>
        <v>155.65548253199586</v>
      </c>
    </row>
    <row r="13" spans="1:15" ht="27.75" customHeight="1" x14ac:dyDescent="0.3">
      <c r="A13" s="11">
        <v>5</v>
      </c>
      <c r="B13" s="12" t="s">
        <v>102</v>
      </c>
      <c r="C13" s="12" t="s">
        <v>101</v>
      </c>
      <c r="D13" s="18">
        <v>1000</v>
      </c>
      <c r="E13" s="11" t="s">
        <v>99</v>
      </c>
      <c r="F13" s="19">
        <v>60</v>
      </c>
      <c r="G13" s="28" t="s">
        <v>32</v>
      </c>
      <c r="H13" s="20">
        <f t="shared" si="0"/>
        <v>50.847457627118644</v>
      </c>
      <c r="I13" s="25">
        <f t="shared" si="1"/>
        <v>5.084745762711864E-2</v>
      </c>
      <c r="J13" s="18">
        <v>1</v>
      </c>
      <c r="K13" s="29">
        <v>0.02</v>
      </c>
      <c r="L13" s="30">
        <f t="shared" si="2"/>
        <v>1.0204081632653061</v>
      </c>
      <c r="M13" s="31">
        <f t="shared" si="3"/>
        <v>1020.4081632653061</v>
      </c>
      <c r="N13" s="25">
        <f t="shared" si="4"/>
        <v>5.1885160843998614E-2</v>
      </c>
      <c r="O13" s="20">
        <f t="shared" si="5"/>
        <v>51.885160843998612</v>
      </c>
    </row>
    <row r="14" spans="1:15" ht="27.75" customHeight="1" x14ac:dyDescent="0.3">
      <c r="A14" s="11">
        <v>6</v>
      </c>
      <c r="B14" s="12" t="s">
        <v>103</v>
      </c>
      <c r="C14" s="12" t="s">
        <v>101</v>
      </c>
      <c r="D14" s="18">
        <v>1000</v>
      </c>
      <c r="E14" s="11" t="s">
        <v>99</v>
      </c>
      <c r="F14" s="19">
        <v>140</v>
      </c>
      <c r="G14" s="28" t="s">
        <v>32</v>
      </c>
      <c r="H14" s="20">
        <f t="shared" si="0"/>
        <v>118.64406779661017</v>
      </c>
      <c r="I14" s="25">
        <f t="shared" si="1"/>
        <v>0.11864406779661017</v>
      </c>
      <c r="J14" s="18">
        <v>1</v>
      </c>
      <c r="K14" s="29">
        <v>0</v>
      </c>
      <c r="L14" s="30">
        <f t="shared" si="2"/>
        <v>1</v>
      </c>
      <c r="M14" s="31">
        <f t="shared" si="3"/>
        <v>1000</v>
      </c>
      <c r="N14" s="25">
        <f t="shared" si="4"/>
        <v>0.11864406779661017</v>
      </c>
      <c r="O14" s="20">
        <f t="shared" si="5"/>
        <v>118.64406779661017</v>
      </c>
    </row>
    <row r="15" spans="1:15" ht="27.75" customHeight="1" x14ac:dyDescent="0.3">
      <c r="A15" s="11">
        <v>7</v>
      </c>
      <c r="B15" s="12" t="s">
        <v>104</v>
      </c>
      <c r="C15" s="12" t="s">
        <v>105</v>
      </c>
      <c r="D15" s="18">
        <v>1</v>
      </c>
      <c r="E15" s="11" t="s">
        <v>106</v>
      </c>
      <c r="F15" s="19">
        <v>9.5</v>
      </c>
      <c r="G15" s="28" t="s">
        <v>34</v>
      </c>
      <c r="H15" s="20">
        <f t="shared" si="0"/>
        <v>8.0508474576271194</v>
      </c>
      <c r="I15" s="25">
        <f t="shared" si="1"/>
        <v>8.0508474576271194</v>
      </c>
      <c r="J15" s="11" t="s">
        <v>107</v>
      </c>
      <c r="K15" s="11" t="s">
        <v>107</v>
      </c>
      <c r="L15" s="11" t="s">
        <v>107</v>
      </c>
      <c r="M15" s="26">
        <v>52</v>
      </c>
      <c r="N15" s="11" t="s">
        <v>107</v>
      </c>
      <c r="O15" s="20">
        <f t="shared" si="5"/>
        <v>418.64406779661022</v>
      </c>
    </row>
    <row r="16" spans="1:15" ht="27.75" customHeight="1" x14ac:dyDescent="0.3">
      <c r="A16" s="11">
        <v>8</v>
      </c>
      <c r="B16" s="12" t="s">
        <v>108</v>
      </c>
      <c r="C16" s="12" t="s">
        <v>109</v>
      </c>
      <c r="D16" s="18">
        <v>1</v>
      </c>
      <c r="E16" s="11" t="s">
        <v>110</v>
      </c>
      <c r="F16" s="19">
        <v>45</v>
      </c>
      <c r="G16" s="28" t="s">
        <v>34</v>
      </c>
      <c r="H16" s="20">
        <f t="shared" si="0"/>
        <v>38.135593220338983</v>
      </c>
      <c r="I16" s="25">
        <f t="shared" si="1"/>
        <v>38.135593220338983</v>
      </c>
      <c r="J16" s="11" t="s">
        <v>107</v>
      </c>
      <c r="K16" s="11" t="s">
        <v>107</v>
      </c>
      <c r="L16" s="11" t="s">
        <v>107</v>
      </c>
      <c r="M16" s="26">
        <v>1</v>
      </c>
      <c r="N16" s="11" t="s">
        <v>107</v>
      </c>
      <c r="O16" s="20">
        <f t="shared" si="5"/>
        <v>38.135593220338983</v>
      </c>
    </row>
    <row r="17" spans="1:15" ht="27.75" customHeight="1" x14ac:dyDescent="0.3">
      <c r="A17" s="11">
        <v>9</v>
      </c>
      <c r="B17" s="12" t="s">
        <v>111</v>
      </c>
      <c r="C17" s="12" t="s">
        <v>112</v>
      </c>
      <c r="D17" s="18">
        <v>1</v>
      </c>
      <c r="E17" s="11" t="s">
        <v>113</v>
      </c>
      <c r="F17" s="19">
        <v>38</v>
      </c>
      <c r="G17" s="28" t="s">
        <v>34</v>
      </c>
      <c r="H17" s="20">
        <f t="shared" si="0"/>
        <v>32.203389830508478</v>
      </c>
      <c r="I17" s="25">
        <f t="shared" si="1"/>
        <v>32.203389830508478</v>
      </c>
      <c r="J17" s="11" t="s">
        <v>107</v>
      </c>
      <c r="K17" s="11" t="s">
        <v>107</v>
      </c>
      <c r="L17" s="11" t="s">
        <v>107</v>
      </c>
      <c r="M17" s="26">
        <v>1</v>
      </c>
      <c r="N17" s="11" t="s">
        <v>107</v>
      </c>
      <c r="O17" s="20">
        <f t="shared" si="5"/>
        <v>32.203389830508478</v>
      </c>
    </row>
    <row r="18" spans="1:15" ht="27.75" customHeight="1" x14ac:dyDescent="0.3">
      <c r="A18" s="11">
        <v>10</v>
      </c>
      <c r="B18" s="12" t="s">
        <v>114</v>
      </c>
      <c r="C18" s="12" t="s">
        <v>115</v>
      </c>
      <c r="D18" s="18">
        <v>1</v>
      </c>
      <c r="E18" s="11" t="s">
        <v>116</v>
      </c>
      <c r="F18" s="19">
        <v>25</v>
      </c>
      <c r="G18" s="28" t="s">
        <v>34</v>
      </c>
      <c r="H18" s="20">
        <f t="shared" si="0"/>
        <v>21.186440677966104</v>
      </c>
      <c r="I18" s="25">
        <f t="shared" si="1"/>
        <v>21.186440677966104</v>
      </c>
      <c r="J18" s="11" t="s">
        <v>107</v>
      </c>
      <c r="K18" s="11" t="s">
        <v>107</v>
      </c>
      <c r="L18" s="11" t="s">
        <v>107</v>
      </c>
      <c r="M18" s="26">
        <v>2</v>
      </c>
      <c r="N18" s="11" t="s">
        <v>107</v>
      </c>
      <c r="O18" s="20">
        <f t="shared" si="5"/>
        <v>42.372881355932208</v>
      </c>
    </row>
    <row r="19" spans="1:15" ht="27.75" customHeight="1" x14ac:dyDescent="0.3">
      <c r="A19" s="11">
        <v>11</v>
      </c>
      <c r="B19" s="12" t="s">
        <v>117</v>
      </c>
      <c r="C19" s="12" t="s">
        <v>115</v>
      </c>
      <c r="D19" s="18">
        <v>1</v>
      </c>
      <c r="E19" s="11" t="s">
        <v>116</v>
      </c>
      <c r="F19" s="19">
        <v>60</v>
      </c>
      <c r="G19" s="28" t="s">
        <v>36</v>
      </c>
      <c r="H19" s="20">
        <f t="shared" si="0"/>
        <v>50.847457627118644</v>
      </c>
      <c r="I19" s="25">
        <f t="shared" si="1"/>
        <v>50.847457627118644</v>
      </c>
      <c r="J19" s="11" t="s">
        <v>107</v>
      </c>
      <c r="K19" s="11" t="s">
        <v>107</v>
      </c>
      <c r="L19" s="11" t="s">
        <v>107</v>
      </c>
      <c r="M19" s="26">
        <v>1</v>
      </c>
      <c r="N19" s="11" t="s">
        <v>107</v>
      </c>
      <c r="O19" s="20">
        <f t="shared" si="5"/>
        <v>50.847457627118644</v>
      </c>
    </row>
    <row r="20" spans="1:15" ht="27.75" customHeight="1" x14ac:dyDescent="0.3">
      <c r="A20" s="11">
        <v>12</v>
      </c>
      <c r="B20" s="12" t="s">
        <v>118</v>
      </c>
      <c r="C20" s="12" t="s">
        <v>101</v>
      </c>
      <c r="D20" s="18">
        <v>1000</v>
      </c>
      <c r="E20" s="11" t="s">
        <v>99</v>
      </c>
      <c r="F20" s="19">
        <v>120</v>
      </c>
      <c r="G20" s="28" t="s">
        <v>36</v>
      </c>
      <c r="H20" s="20">
        <f t="shared" si="0"/>
        <v>101.69491525423729</v>
      </c>
      <c r="I20" s="25">
        <f t="shared" si="1"/>
        <v>0.10169491525423728</v>
      </c>
      <c r="J20" s="11" t="s">
        <v>107</v>
      </c>
      <c r="K20" s="11" t="s">
        <v>107</v>
      </c>
      <c r="L20" s="11" t="s">
        <v>107</v>
      </c>
      <c r="M20" s="26">
        <v>800</v>
      </c>
      <c r="N20" s="11" t="s">
        <v>107</v>
      </c>
      <c r="O20" s="20">
        <f t="shared" si="5"/>
        <v>81.355932203389827</v>
      </c>
    </row>
    <row r="22" spans="1:15" ht="19.5" customHeight="1" x14ac:dyDescent="0.3">
      <c r="A22" s="7" t="s">
        <v>119</v>
      </c>
      <c r="B22" s="7"/>
      <c r="C22" s="7"/>
      <c r="D22" s="7"/>
      <c r="E22" s="7"/>
      <c r="F22" s="7"/>
      <c r="G22" s="7"/>
      <c r="H22" s="7"/>
      <c r="I22" s="7"/>
      <c r="J22" s="7"/>
      <c r="K22" s="7"/>
      <c r="L22" s="7"/>
      <c r="M22" s="7"/>
      <c r="N22" s="7"/>
      <c r="O22" s="7"/>
    </row>
    <row r="23" spans="1:15" ht="21.75" customHeight="1" x14ac:dyDescent="0.3">
      <c r="B23" s="13" t="s">
        <v>120</v>
      </c>
      <c r="C23" s="13" t="s">
        <v>121</v>
      </c>
      <c r="D23" s="2" t="s">
        <v>122</v>
      </c>
      <c r="E23" s="2"/>
      <c r="F23" s="2"/>
      <c r="G23" s="2"/>
      <c r="H23" s="2"/>
    </row>
    <row r="24" spans="1:15" x14ac:dyDescent="0.3">
      <c r="B24" s="15" t="s">
        <v>123</v>
      </c>
      <c r="C24" s="27">
        <f>SUMIF(G9:G20,"MPD",N9:N20)</f>
        <v>7.3540193228863098</v>
      </c>
      <c r="D24" s="1" t="s">
        <v>124</v>
      </c>
      <c r="E24" s="1"/>
      <c r="F24" s="1"/>
      <c r="G24" s="1"/>
      <c r="H24" s="1"/>
    </row>
    <row r="25" spans="1:15" x14ac:dyDescent="0.3">
      <c r="B25" s="15" t="s">
        <v>125</v>
      </c>
      <c r="C25" s="32">
        <f>SUMIF(G9:G20,"MPD",O9:O20)</f>
        <v>7354.0193228863091</v>
      </c>
      <c r="D25" s="1" t="s">
        <v>126</v>
      </c>
      <c r="E25" s="1"/>
      <c r="F25" s="1"/>
      <c r="G25" s="1"/>
      <c r="H25" s="1"/>
    </row>
    <row r="26" spans="1:15" x14ac:dyDescent="0.3">
      <c r="B26" s="15" t="s">
        <v>127</v>
      </c>
      <c r="C26" s="32">
        <f>SUMIF(G9:G20,"MPI",O9:O20)</f>
        <v>531.3559322033899</v>
      </c>
      <c r="D26" s="1" t="s">
        <v>128</v>
      </c>
      <c r="E26" s="1"/>
      <c r="F26" s="1"/>
      <c r="G26" s="1"/>
      <c r="H26" s="1"/>
    </row>
    <row r="27" spans="1:15" x14ac:dyDescent="0.3">
      <c r="B27" s="15" t="s">
        <v>129</v>
      </c>
      <c r="C27" s="32">
        <f>SUMIF(G9:G20,"No es materia prima",O9:O20)</f>
        <v>132.20338983050846</v>
      </c>
      <c r="D27" s="1" t="s">
        <v>130</v>
      </c>
      <c r="E27" s="1"/>
      <c r="F27" s="1"/>
      <c r="G27" s="1"/>
      <c r="H27" s="1"/>
    </row>
    <row r="29" spans="1:15" ht="18" customHeight="1" x14ac:dyDescent="0.3">
      <c r="A29" s="4" t="s">
        <v>131</v>
      </c>
      <c r="B29" s="4"/>
      <c r="C29" s="4"/>
      <c r="D29" s="4"/>
      <c r="E29" s="4"/>
      <c r="F29" s="4"/>
      <c r="G29" s="4"/>
      <c r="H29" s="4"/>
      <c r="I29" s="4"/>
      <c r="J29" s="4"/>
      <c r="K29" s="4"/>
      <c r="L29" s="4"/>
      <c r="M29" s="4"/>
      <c r="N29" s="4"/>
      <c r="O29" s="4"/>
    </row>
    <row r="30" spans="1:15" ht="49.5" customHeight="1" x14ac:dyDescent="0.3">
      <c r="A30" s="3" t="s">
        <v>132</v>
      </c>
      <c r="B30" s="3"/>
      <c r="C30" s="3"/>
      <c r="D30" s="3"/>
      <c r="E30" s="3"/>
      <c r="F30" s="3"/>
      <c r="G30" s="3"/>
      <c r="H30" s="3"/>
      <c r="I30" s="3"/>
      <c r="J30" s="3"/>
      <c r="K30" s="3"/>
      <c r="L30" s="3"/>
      <c r="M30" s="3"/>
      <c r="N30" s="3"/>
      <c r="O30" s="3"/>
    </row>
    <row r="32" spans="1:15" ht="18" customHeight="1" x14ac:dyDescent="0.3">
      <c r="A32" s="4" t="s">
        <v>133</v>
      </c>
      <c r="B32" s="4"/>
      <c r="C32" s="4"/>
      <c r="D32" s="4"/>
      <c r="E32" s="4"/>
      <c r="F32" s="4"/>
      <c r="G32" s="4"/>
      <c r="H32" s="4"/>
      <c r="I32" s="4"/>
      <c r="J32" s="4"/>
      <c r="K32" s="4"/>
      <c r="L32" s="4"/>
      <c r="M32" s="4"/>
      <c r="N32" s="4"/>
      <c r="O32" s="4"/>
    </row>
    <row r="33" spans="1:15" ht="49.5" customHeight="1" x14ac:dyDescent="0.3">
      <c r="A33" s="3" t="s">
        <v>134</v>
      </c>
      <c r="B33" s="3"/>
      <c r="C33" s="3"/>
      <c r="D33" s="3"/>
      <c r="E33" s="3"/>
      <c r="F33" s="3"/>
      <c r="G33" s="3"/>
      <c r="H33" s="3"/>
      <c r="I33" s="3"/>
      <c r="J33" s="3"/>
      <c r="K33" s="3"/>
      <c r="L33" s="3"/>
      <c r="M33" s="3"/>
      <c r="N33" s="3"/>
      <c r="O33" s="3"/>
    </row>
    <row r="35" spans="1:15" ht="18" customHeight="1" x14ac:dyDescent="0.3">
      <c r="A35" s="4" t="s">
        <v>135</v>
      </c>
      <c r="B35" s="4"/>
      <c r="C35" s="4"/>
      <c r="D35" s="4"/>
      <c r="E35" s="4"/>
      <c r="F35" s="4"/>
      <c r="G35" s="4"/>
      <c r="H35" s="4"/>
      <c r="I35" s="4"/>
      <c r="J35" s="4"/>
      <c r="K35" s="4"/>
      <c r="L35" s="4"/>
      <c r="M35" s="4"/>
      <c r="N35" s="4"/>
      <c r="O35" s="4"/>
    </row>
    <row r="36" spans="1:15" ht="49.5" customHeight="1" x14ac:dyDescent="0.3">
      <c r="A36" s="3" t="s">
        <v>136</v>
      </c>
      <c r="B36" s="3"/>
      <c r="C36" s="3"/>
      <c r="D36" s="3"/>
      <c r="E36" s="3"/>
      <c r="F36" s="3"/>
      <c r="G36" s="3"/>
      <c r="H36" s="3"/>
      <c r="I36" s="3"/>
      <c r="J36" s="3"/>
      <c r="K36" s="3"/>
      <c r="L36" s="3"/>
      <c r="M36" s="3"/>
      <c r="N36" s="3"/>
      <c r="O36" s="3"/>
    </row>
  </sheetData>
  <mergeCells count="16">
    <mergeCell ref="A36:O36"/>
    <mergeCell ref="A29:O29"/>
    <mergeCell ref="A30:O30"/>
    <mergeCell ref="A32:O32"/>
    <mergeCell ref="A33:O33"/>
    <mergeCell ref="A35:O35"/>
    <mergeCell ref="D23:H23"/>
    <mergeCell ref="D24:H24"/>
    <mergeCell ref="D25:H25"/>
    <mergeCell ref="D26:H26"/>
    <mergeCell ref="D27:H27"/>
    <mergeCell ref="A1:O1"/>
    <mergeCell ref="A2:O2"/>
    <mergeCell ref="A4:O4"/>
    <mergeCell ref="A7:O7"/>
    <mergeCell ref="A22:O22"/>
  </mergeCells>
  <dataValidations count="1">
    <dataValidation type="list" allowBlank="1" sqref="G9:G20" xr:uid="{00000000-0002-0000-0200-000000000000}">
      <formula1>"MPD,MPI,No es materia prima"</formula1>
      <formula2>0</formula2>
    </dataValidation>
  </dataValidations>
  <pageMargins left="0.75" right="0.75" top="1" bottom="1"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E24"/>
  <sheetViews>
    <sheetView showGridLines="0" zoomScaleNormal="100" workbookViewId="0"/>
  </sheetViews>
  <sheetFormatPr baseColWidth="10" defaultColWidth="8.6640625" defaultRowHeight="14.4" x14ac:dyDescent="0.3"/>
  <cols>
    <col min="1" max="1" width="5" customWidth="1"/>
    <col min="2" max="2" width="52" customWidth="1"/>
    <col min="3" max="3" width="16" customWidth="1"/>
    <col min="4" max="4" width="22" customWidth="1"/>
    <col min="5" max="5" width="62" customWidth="1"/>
  </cols>
  <sheetData>
    <row r="1" spans="1:5" ht="25.5" customHeight="1" x14ac:dyDescent="0.3">
      <c r="A1" s="10" t="s">
        <v>137</v>
      </c>
      <c r="B1" s="10"/>
      <c r="C1" s="10"/>
      <c r="D1" s="10"/>
      <c r="E1" s="10"/>
    </row>
    <row r="2" spans="1:5" x14ac:dyDescent="0.3">
      <c r="A2" s="6" t="s">
        <v>44</v>
      </c>
      <c r="B2" s="6"/>
      <c r="C2" s="6"/>
      <c r="D2" s="6"/>
      <c r="E2" s="6"/>
    </row>
    <row r="4" spans="1:5" ht="31.5" customHeight="1" x14ac:dyDescent="0.3">
      <c r="A4" s="5" t="s">
        <v>138</v>
      </c>
      <c r="B4" s="5"/>
      <c r="C4" s="5"/>
      <c r="D4" s="5"/>
      <c r="E4" s="5"/>
    </row>
    <row r="6" spans="1:5" ht="19.5" customHeight="1" x14ac:dyDescent="0.3">
      <c r="A6" s="7" t="s">
        <v>139</v>
      </c>
      <c r="B6" s="7"/>
      <c r="C6" s="7"/>
      <c r="D6" s="7"/>
      <c r="E6" s="7"/>
    </row>
    <row r="7" spans="1:5" ht="30" customHeight="1" x14ac:dyDescent="0.3">
      <c r="A7" s="13" t="s">
        <v>47</v>
      </c>
      <c r="B7" s="13" t="s">
        <v>140</v>
      </c>
      <c r="C7" s="13" t="s">
        <v>141</v>
      </c>
      <c r="D7" s="13" t="s">
        <v>142</v>
      </c>
      <c r="E7" s="13" t="s">
        <v>143</v>
      </c>
    </row>
    <row r="8" spans="1:5" ht="24" customHeight="1" x14ac:dyDescent="0.3">
      <c r="A8" s="11">
        <v>1</v>
      </c>
      <c r="B8" s="17" t="s">
        <v>144</v>
      </c>
      <c r="C8" s="33">
        <v>6</v>
      </c>
      <c r="D8" s="34" t="s">
        <v>145</v>
      </c>
      <c r="E8" s="35" t="s">
        <v>146</v>
      </c>
    </row>
    <row r="9" spans="1:5" ht="24" customHeight="1" x14ac:dyDescent="0.3">
      <c r="A9" s="11">
        <v>2</v>
      </c>
      <c r="B9" s="17" t="s">
        <v>147</v>
      </c>
      <c r="C9" s="33">
        <v>1</v>
      </c>
      <c r="D9" s="34" t="s">
        <v>145</v>
      </c>
      <c r="E9" s="35" t="s">
        <v>148</v>
      </c>
    </row>
    <row r="10" spans="1:5" ht="24" customHeight="1" x14ac:dyDescent="0.3">
      <c r="A10" s="11">
        <v>3</v>
      </c>
      <c r="B10" s="17" t="s">
        <v>149</v>
      </c>
      <c r="C10" s="33">
        <v>13</v>
      </c>
      <c r="D10" s="34" t="s">
        <v>150</v>
      </c>
      <c r="E10" s="35" t="s">
        <v>151</v>
      </c>
    </row>
    <row r="11" spans="1:5" ht="24" customHeight="1" x14ac:dyDescent="0.3">
      <c r="A11" s="11">
        <v>4</v>
      </c>
      <c r="B11" s="17" t="s">
        <v>152</v>
      </c>
      <c r="C11" s="33">
        <v>9</v>
      </c>
      <c r="D11" s="34" t="s">
        <v>153</v>
      </c>
      <c r="E11" s="35" t="s">
        <v>154</v>
      </c>
    </row>
    <row r="12" spans="1:5" ht="24" customHeight="1" x14ac:dyDescent="0.3">
      <c r="A12" s="11">
        <v>5</v>
      </c>
      <c r="B12" s="17" t="s">
        <v>155</v>
      </c>
      <c r="C12" s="33">
        <v>3</v>
      </c>
      <c r="D12" s="34" t="s">
        <v>145</v>
      </c>
      <c r="E12" s="35" t="s">
        <v>156</v>
      </c>
    </row>
    <row r="13" spans="1:5" ht="24" customHeight="1" x14ac:dyDescent="0.3">
      <c r="A13" s="11">
        <v>6</v>
      </c>
      <c r="B13" s="17" t="s">
        <v>157</v>
      </c>
      <c r="C13" s="33">
        <v>11</v>
      </c>
      <c r="D13" s="34" t="s">
        <v>153</v>
      </c>
      <c r="E13" s="35" t="s">
        <v>158</v>
      </c>
    </row>
    <row r="14" spans="1:5" ht="24" customHeight="1" x14ac:dyDescent="0.3">
      <c r="A14" s="11">
        <v>7</v>
      </c>
      <c r="B14" s="17" t="s">
        <v>159</v>
      </c>
      <c r="C14" s="33">
        <v>8</v>
      </c>
      <c r="D14" s="34" t="s">
        <v>145</v>
      </c>
      <c r="E14" s="35" t="s">
        <v>160</v>
      </c>
    </row>
    <row r="15" spans="1:5" ht="24" customHeight="1" x14ac:dyDescent="0.3">
      <c r="A15" s="11">
        <v>8</v>
      </c>
      <c r="B15" s="17" t="s">
        <v>161</v>
      </c>
      <c r="C15" s="33">
        <v>14</v>
      </c>
      <c r="D15" s="34" t="s">
        <v>150</v>
      </c>
      <c r="E15" s="35" t="s">
        <v>162</v>
      </c>
    </row>
    <row r="16" spans="1:5" ht="24" customHeight="1" x14ac:dyDescent="0.3">
      <c r="A16" s="11">
        <v>9</v>
      </c>
      <c r="B16" s="17" t="s">
        <v>163</v>
      </c>
      <c r="C16" s="33">
        <v>4</v>
      </c>
      <c r="D16" s="34" t="s">
        <v>145</v>
      </c>
      <c r="E16" s="35" t="s">
        <v>164</v>
      </c>
    </row>
    <row r="17" spans="1:5" ht="24" customHeight="1" x14ac:dyDescent="0.3">
      <c r="A17" s="11">
        <v>10</v>
      </c>
      <c r="B17" s="17" t="s">
        <v>165</v>
      </c>
      <c r="C17" s="33">
        <v>12</v>
      </c>
      <c r="D17" s="34" t="s">
        <v>153</v>
      </c>
      <c r="E17" s="35" t="s">
        <v>166</v>
      </c>
    </row>
    <row r="18" spans="1:5" ht="24" customHeight="1" x14ac:dyDescent="0.3">
      <c r="A18" s="11">
        <v>11</v>
      </c>
      <c r="B18" s="17" t="s">
        <v>167</v>
      </c>
      <c r="C18" s="33">
        <v>7</v>
      </c>
      <c r="D18" s="34" t="s">
        <v>145</v>
      </c>
      <c r="E18" s="35" t="s">
        <v>168</v>
      </c>
    </row>
    <row r="19" spans="1:5" ht="24" customHeight="1" x14ac:dyDescent="0.3">
      <c r="A19" s="11">
        <v>12</v>
      </c>
      <c r="B19" s="17" t="s">
        <v>169</v>
      </c>
      <c r="C19" s="33">
        <v>2</v>
      </c>
      <c r="D19" s="34" t="s">
        <v>145</v>
      </c>
      <c r="E19" s="35" t="s">
        <v>170</v>
      </c>
    </row>
    <row r="20" spans="1:5" ht="24" customHeight="1" x14ac:dyDescent="0.3">
      <c r="A20" s="11">
        <v>13</v>
      </c>
      <c r="B20" s="17" t="s">
        <v>171</v>
      </c>
      <c r="C20" s="33">
        <v>10</v>
      </c>
      <c r="D20" s="34" t="s">
        <v>153</v>
      </c>
      <c r="E20" s="35" t="s">
        <v>172</v>
      </c>
    </row>
    <row r="21" spans="1:5" ht="24" customHeight="1" x14ac:dyDescent="0.3">
      <c r="A21" s="11">
        <v>14</v>
      </c>
      <c r="B21" s="17" t="s">
        <v>173</v>
      </c>
      <c r="C21" s="33">
        <v>5</v>
      </c>
      <c r="D21" s="34" t="s">
        <v>145</v>
      </c>
      <c r="E21" s="35" t="s">
        <v>174</v>
      </c>
    </row>
    <row r="23" spans="1:5" ht="18" customHeight="1" x14ac:dyDescent="0.3">
      <c r="A23" s="4" t="s">
        <v>175</v>
      </c>
      <c r="B23" s="4"/>
      <c r="C23" s="4"/>
      <c r="D23" s="4"/>
      <c r="E23" s="4"/>
    </row>
    <row r="24" spans="1:5" ht="48" customHeight="1" x14ac:dyDescent="0.3">
      <c r="A24" s="3" t="s">
        <v>176</v>
      </c>
      <c r="B24" s="3"/>
      <c r="C24" s="3"/>
      <c r="D24" s="3"/>
      <c r="E24" s="3"/>
    </row>
  </sheetData>
  <mergeCells count="6">
    <mergeCell ref="A24:E24"/>
    <mergeCell ref="A1:E1"/>
    <mergeCell ref="A2:E2"/>
    <mergeCell ref="A4:E4"/>
    <mergeCell ref="A6:E6"/>
    <mergeCell ref="A23:E23"/>
  </mergeCells>
  <dataValidations count="1">
    <dataValidation type="list" allowBlank="1" sqref="D8:D21" xr:uid="{00000000-0002-0000-0300-000000000000}">
      <formula1>"Operativo,Financiero,Estado financiero"</formula1>
      <formula2>0</formula2>
    </dataValidation>
  </dataValidations>
  <pageMargins left="0.75" right="0.75" top="1" bottom="1"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86"/>
  <sheetViews>
    <sheetView showGridLines="0" zoomScaleNormal="100" workbookViewId="0"/>
  </sheetViews>
  <sheetFormatPr baseColWidth="10" defaultColWidth="8.6640625" defaultRowHeight="14.4" x14ac:dyDescent="0.3"/>
  <cols>
    <col min="1" max="1" width="5" customWidth="1"/>
    <col min="2" max="2" width="46" customWidth="1"/>
    <col min="3" max="7" width="15" customWidth="1"/>
    <col min="8" max="8" width="18" customWidth="1"/>
  </cols>
  <sheetData>
    <row r="1" spans="1:8" ht="25.5" customHeight="1" x14ac:dyDescent="0.3">
      <c r="A1" s="10" t="s">
        <v>177</v>
      </c>
      <c r="B1" s="10"/>
      <c r="C1" s="10"/>
      <c r="D1" s="10"/>
      <c r="E1" s="10"/>
      <c r="F1" s="10"/>
      <c r="G1" s="10"/>
      <c r="H1" s="10"/>
    </row>
    <row r="2" spans="1:8" x14ac:dyDescent="0.3">
      <c r="A2" s="6" t="s">
        <v>44</v>
      </c>
      <c r="B2" s="6"/>
      <c r="C2" s="6"/>
      <c r="D2" s="6"/>
      <c r="E2" s="6"/>
      <c r="F2" s="6"/>
      <c r="G2" s="6"/>
      <c r="H2" s="6"/>
    </row>
    <row r="4" spans="1:8" ht="31.5" customHeight="1" x14ac:dyDescent="0.3">
      <c r="A4" s="5" t="s">
        <v>178</v>
      </c>
      <c r="B4" s="5"/>
      <c r="C4" s="5"/>
      <c r="D4" s="5"/>
      <c r="E4" s="5"/>
      <c r="F4" s="5"/>
      <c r="G4" s="5"/>
      <c r="H4" s="5"/>
    </row>
    <row r="6" spans="1:8" ht="19.5" customHeight="1" x14ac:dyDescent="0.3">
      <c r="A6" s="7" t="s">
        <v>179</v>
      </c>
      <c r="B6" s="7"/>
      <c r="C6" s="7"/>
      <c r="D6" s="7"/>
      <c r="E6" s="7"/>
      <c r="F6" s="7"/>
      <c r="G6" s="7"/>
      <c r="H6" s="7"/>
    </row>
    <row r="7" spans="1:8" x14ac:dyDescent="0.3">
      <c r="B7" s="17" t="s">
        <v>180</v>
      </c>
      <c r="C7" s="26">
        <v>300</v>
      </c>
    </row>
    <row r="8" spans="1:8" x14ac:dyDescent="0.3">
      <c r="B8" s="17" t="s">
        <v>181</v>
      </c>
      <c r="C8" s="29">
        <v>0.15</v>
      </c>
    </row>
    <row r="9" spans="1:8" x14ac:dyDescent="0.3">
      <c r="B9" s="17" t="s">
        <v>182</v>
      </c>
      <c r="C9" s="29">
        <v>0.1</v>
      </c>
    </row>
    <row r="10" spans="1:8" x14ac:dyDescent="0.3">
      <c r="B10" s="17" t="s">
        <v>183</v>
      </c>
      <c r="C10" s="36">
        <v>0.18</v>
      </c>
    </row>
    <row r="12" spans="1:8" ht="30" customHeight="1" x14ac:dyDescent="0.3">
      <c r="B12" s="13" t="s">
        <v>84</v>
      </c>
      <c r="C12" s="13" t="s">
        <v>184</v>
      </c>
      <c r="D12" s="13" t="s">
        <v>50</v>
      </c>
      <c r="E12" s="13" t="s">
        <v>51</v>
      </c>
      <c r="F12" s="13" t="s">
        <v>185</v>
      </c>
      <c r="G12" s="13" t="s">
        <v>186</v>
      </c>
      <c r="H12" s="13" t="s">
        <v>187</v>
      </c>
    </row>
    <row r="13" spans="1:8" x14ac:dyDescent="0.3">
      <c r="B13" s="17" t="s">
        <v>188</v>
      </c>
      <c r="C13" s="11" t="s">
        <v>189</v>
      </c>
      <c r="D13" s="18">
        <v>10</v>
      </c>
      <c r="E13" s="11" t="s">
        <v>57</v>
      </c>
      <c r="F13" s="19">
        <v>75</v>
      </c>
      <c r="G13" s="11" t="s">
        <v>190</v>
      </c>
      <c r="H13" s="18">
        <v>0.22</v>
      </c>
    </row>
    <row r="14" spans="1:8" x14ac:dyDescent="0.3">
      <c r="B14" s="17" t="s">
        <v>58</v>
      </c>
      <c r="C14" s="11" t="s">
        <v>56</v>
      </c>
      <c r="D14" s="18">
        <v>50</v>
      </c>
      <c r="E14" s="11" t="s">
        <v>57</v>
      </c>
      <c r="F14" s="19">
        <v>215</v>
      </c>
      <c r="G14" s="11" t="s">
        <v>191</v>
      </c>
      <c r="H14" s="18">
        <v>0.11</v>
      </c>
    </row>
    <row r="15" spans="1:8" x14ac:dyDescent="0.3">
      <c r="B15" s="17" t="s">
        <v>192</v>
      </c>
      <c r="C15" s="11" t="s">
        <v>193</v>
      </c>
      <c r="D15" s="18">
        <v>48</v>
      </c>
      <c r="E15" s="11" t="s">
        <v>99</v>
      </c>
      <c r="F15" s="19">
        <v>69.599999999999994</v>
      </c>
      <c r="G15" s="11" t="s">
        <v>191</v>
      </c>
      <c r="H15" s="18">
        <v>1</v>
      </c>
    </row>
    <row r="17" spans="1:8" ht="30" customHeight="1" x14ac:dyDescent="0.3">
      <c r="B17" s="13" t="s">
        <v>84</v>
      </c>
      <c r="C17" s="13" t="s">
        <v>194</v>
      </c>
      <c r="D17" s="13" t="s">
        <v>67</v>
      </c>
    </row>
    <row r="18" spans="1:8" x14ac:dyDescent="0.3">
      <c r="B18" s="17" t="s">
        <v>188</v>
      </c>
      <c r="C18" s="26">
        <v>40</v>
      </c>
      <c r="D18" s="25">
        <f>F13/D13</f>
        <v>7.5</v>
      </c>
    </row>
    <row r="19" spans="1:8" x14ac:dyDescent="0.3">
      <c r="B19" s="17" t="s">
        <v>58</v>
      </c>
      <c r="C19" s="26">
        <v>50</v>
      </c>
      <c r="D19" s="25">
        <f>F14/(1+$C$10)/D14</f>
        <v>3.6440677966101696</v>
      </c>
    </row>
    <row r="20" spans="1:8" x14ac:dyDescent="0.3">
      <c r="B20" s="17" t="s">
        <v>192</v>
      </c>
      <c r="C20" s="26">
        <v>250</v>
      </c>
      <c r="D20" s="25">
        <f>F15/(1+$C$10)/D15</f>
        <v>1.228813559322034</v>
      </c>
    </row>
    <row r="22" spans="1:8" ht="19.5" customHeight="1" x14ac:dyDescent="0.3">
      <c r="A22" s="7" t="s">
        <v>195</v>
      </c>
      <c r="B22" s="7"/>
      <c r="C22" s="7"/>
      <c r="D22" s="7"/>
      <c r="E22" s="7"/>
      <c r="F22" s="7"/>
      <c r="G22" s="7"/>
      <c r="H22" s="7"/>
    </row>
    <row r="23" spans="1:8" ht="21.75" customHeight="1" x14ac:dyDescent="0.3">
      <c r="B23" s="13" t="s">
        <v>120</v>
      </c>
      <c r="C23" s="13" t="s">
        <v>196</v>
      </c>
      <c r="D23" s="13" t="s">
        <v>197</v>
      </c>
      <c r="E23" s="13" t="s">
        <v>198</v>
      </c>
      <c r="F23" s="13" t="s">
        <v>199</v>
      </c>
      <c r="G23" s="13" t="s">
        <v>200</v>
      </c>
      <c r="H23" s="13" t="s">
        <v>201</v>
      </c>
    </row>
    <row r="24" spans="1:8" x14ac:dyDescent="0.3">
      <c r="B24" s="17" t="s">
        <v>202</v>
      </c>
      <c r="C24" s="26">
        <v>2000</v>
      </c>
      <c r="D24" s="26">
        <v>2400</v>
      </c>
      <c r="E24" s="26">
        <v>2600</v>
      </c>
      <c r="F24" s="26">
        <v>2800</v>
      </c>
      <c r="G24" s="26">
        <v>3000</v>
      </c>
      <c r="H24" s="37">
        <f>SUM(C24:E24)</f>
        <v>7000</v>
      </c>
    </row>
    <row r="26" spans="1:8" ht="19.5" customHeight="1" x14ac:dyDescent="0.3">
      <c r="A26" s="7" t="s">
        <v>203</v>
      </c>
      <c r="B26" s="7"/>
      <c r="C26" s="7"/>
      <c r="D26" s="7"/>
      <c r="E26" s="7"/>
      <c r="F26" s="7"/>
      <c r="G26" s="7"/>
      <c r="H26" s="7"/>
    </row>
    <row r="27" spans="1:8" ht="21.75" customHeight="1" x14ac:dyDescent="0.3">
      <c r="B27" s="13" t="s">
        <v>120</v>
      </c>
      <c r="C27" s="13" t="s">
        <v>196</v>
      </c>
      <c r="D27" s="13" t="s">
        <v>197</v>
      </c>
      <c r="E27" s="13" t="s">
        <v>198</v>
      </c>
      <c r="F27" s="13" t="s">
        <v>199</v>
      </c>
      <c r="G27" s="13"/>
      <c r="H27" s="13" t="s">
        <v>201</v>
      </c>
    </row>
    <row r="28" spans="1:8" x14ac:dyDescent="0.3">
      <c r="B28" s="17" t="s">
        <v>204</v>
      </c>
      <c r="C28" s="33">
        <f>C24</f>
        <v>2000</v>
      </c>
      <c r="D28" s="33">
        <f>D24</f>
        <v>2400</v>
      </c>
      <c r="E28" s="33">
        <f>E24</f>
        <v>2600</v>
      </c>
      <c r="F28" s="33">
        <f>F24</f>
        <v>2800</v>
      </c>
      <c r="G28" s="17"/>
      <c r="H28" s="37">
        <f>SUM(C28:E28)</f>
        <v>7000</v>
      </c>
    </row>
    <row r="29" spans="1:8" x14ac:dyDescent="0.3">
      <c r="B29" s="17" t="s">
        <v>205</v>
      </c>
      <c r="C29" s="33">
        <f>D24*$C$8</f>
        <v>360</v>
      </c>
      <c r="D29" s="33">
        <f>E24*$C$8</f>
        <v>390</v>
      </c>
      <c r="E29" s="33">
        <f>F24*$C$8</f>
        <v>420</v>
      </c>
      <c r="F29" s="33">
        <f>G24*$C$8</f>
        <v>450</v>
      </c>
      <c r="G29" s="17"/>
      <c r="H29" s="37"/>
    </row>
    <row r="30" spans="1:8" x14ac:dyDescent="0.3">
      <c r="B30" s="15" t="s">
        <v>206</v>
      </c>
      <c r="C30" s="37">
        <f>C28+C29</f>
        <v>2360</v>
      </c>
      <c r="D30" s="37">
        <f>D28+D29</f>
        <v>2790</v>
      </c>
      <c r="E30" s="37">
        <f>E28+E29</f>
        <v>3020</v>
      </c>
      <c r="F30" s="37">
        <f>F28+F29</f>
        <v>3250</v>
      </c>
      <c r="G30" s="17"/>
      <c r="H30" s="37"/>
    </row>
    <row r="31" spans="1:8" x14ac:dyDescent="0.3">
      <c r="B31" s="17" t="s">
        <v>207</v>
      </c>
      <c r="C31" s="33">
        <f>$C$7</f>
        <v>300</v>
      </c>
      <c r="D31" s="33">
        <f>C29</f>
        <v>360</v>
      </c>
      <c r="E31" s="33">
        <f>D29</f>
        <v>390</v>
      </c>
      <c r="F31" s="33">
        <f>E29</f>
        <v>420</v>
      </c>
      <c r="G31" s="17"/>
      <c r="H31" s="37"/>
    </row>
    <row r="32" spans="1:8" x14ac:dyDescent="0.3">
      <c r="B32" s="15" t="s">
        <v>208</v>
      </c>
      <c r="C32" s="37">
        <f>C30-C31</f>
        <v>2060</v>
      </c>
      <c r="D32" s="37">
        <f>D30-D31</f>
        <v>2430</v>
      </c>
      <c r="E32" s="37">
        <f>E30-E31</f>
        <v>2630</v>
      </c>
      <c r="F32" s="37">
        <f>F30-F31</f>
        <v>2830</v>
      </c>
      <c r="G32" s="17"/>
      <c r="H32" s="37">
        <f>SUM(C32:E32)</f>
        <v>7120</v>
      </c>
    </row>
    <row r="33" spans="1:8" x14ac:dyDescent="0.3">
      <c r="B33" s="38" t="s">
        <v>209</v>
      </c>
    </row>
    <row r="34" spans="1:8" ht="19.5" customHeight="1" x14ac:dyDescent="0.3">
      <c r="A34" s="7" t="s">
        <v>210</v>
      </c>
      <c r="B34" s="7"/>
      <c r="C34" s="7"/>
      <c r="D34" s="7"/>
      <c r="E34" s="7"/>
      <c r="F34" s="7"/>
      <c r="G34" s="7"/>
      <c r="H34" s="7"/>
    </row>
    <row r="35" spans="1:8" ht="21.75" customHeight="1" x14ac:dyDescent="0.3">
      <c r="B35" s="13" t="s">
        <v>120</v>
      </c>
      <c r="C35" s="13" t="s">
        <v>196</v>
      </c>
      <c r="D35" s="13" t="s">
        <v>197</v>
      </c>
      <c r="E35" s="13" t="s">
        <v>198</v>
      </c>
      <c r="F35" s="13" t="s">
        <v>199</v>
      </c>
      <c r="G35" s="13"/>
      <c r="H35" s="13" t="s">
        <v>201</v>
      </c>
    </row>
    <row r="36" spans="1:8" x14ac:dyDescent="0.3">
      <c r="B36" s="17" t="s">
        <v>211</v>
      </c>
      <c r="C36" s="33">
        <f>C32</f>
        <v>2060</v>
      </c>
      <c r="D36" s="33">
        <f>D32</f>
        <v>2430</v>
      </c>
      <c r="E36" s="33">
        <f>E32</f>
        <v>2630</v>
      </c>
      <c r="F36" s="33">
        <f>F32</f>
        <v>2830</v>
      </c>
      <c r="G36" s="17"/>
      <c r="H36" s="17"/>
    </row>
    <row r="37" spans="1:8" x14ac:dyDescent="0.3">
      <c r="B37" s="17" t="s">
        <v>212</v>
      </c>
      <c r="C37" s="18">
        <f>$H$13</f>
        <v>0.22</v>
      </c>
      <c r="D37" s="18">
        <f>$H$13</f>
        <v>0.22</v>
      </c>
      <c r="E37" s="18">
        <f>$H$13</f>
        <v>0.22</v>
      </c>
      <c r="F37" s="18">
        <f>$H$13</f>
        <v>0.22</v>
      </c>
      <c r="G37" s="17"/>
      <c r="H37" s="17"/>
    </row>
    <row r="38" spans="1:8" x14ac:dyDescent="0.3">
      <c r="B38" s="15" t="s">
        <v>213</v>
      </c>
      <c r="C38" s="39">
        <f>C36*C37</f>
        <v>453.2</v>
      </c>
      <c r="D38" s="39">
        <f>D36*D37</f>
        <v>534.6</v>
      </c>
      <c r="E38" s="39">
        <f>E36*E37</f>
        <v>578.6</v>
      </c>
      <c r="F38" s="39">
        <f>F36*F37</f>
        <v>622.6</v>
      </c>
      <c r="G38" s="17"/>
      <c r="H38" s="40">
        <f>SUM(C38:E38)</f>
        <v>1566.4</v>
      </c>
    </row>
    <row r="39" spans="1:8" x14ac:dyDescent="0.3">
      <c r="B39" s="17" t="s">
        <v>205</v>
      </c>
      <c r="C39" s="31">
        <f>D38*$C$9</f>
        <v>53.460000000000008</v>
      </c>
      <c r="D39" s="31">
        <f>E38*$C$9</f>
        <v>57.860000000000007</v>
      </c>
      <c r="E39" s="31">
        <f>F38*$C$9</f>
        <v>62.260000000000005</v>
      </c>
      <c r="F39" s="11" t="s">
        <v>107</v>
      </c>
      <c r="G39" s="17"/>
      <c r="H39" s="17"/>
    </row>
    <row r="40" spans="1:8" x14ac:dyDescent="0.3">
      <c r="B40" s="17" t="s">
        <v>206</v>
      </c>
      <c r="C40" s="31">
        <f>C38+C39</f>
        <v>506.65999999999997</v>
      </c>
      <c r="D40" s="31">
        <f>D38+D39</f>
        <v>592.46</v>
      </c>
      <c r="E40" s="31">
        <f>E38+E39</f>
        <v>640.86</v>
      </c>
      <c r="F40" s="11" t="s">
        <v>107</v>
      </c>
      <c r="G40" s="17"/>
      <c r="H40" s="17"/>
    </row>
    <row r="41" spans="1:8" x14ac:dyDescent="0.3">
      <c r="B41" s="17" t="s">
        <v>207</v>
      </c>
      <c r="C41" s="31">
        <f>$C$18</f>
        <v>40</v>
      </c>
      <c r="D41" s="31">
        <f>C39</f>
        <v>53.460000000000008</v>
      </c>
      <c r="E41" s="31">
        <f>D39</f>
        <v>57.860000000000007</v>
      </c>
      <c r="F41" s="11" t="s">
        <v>107</v>
      </c>
      <c r="G41" s="17"/>
      <c r="H41" s="17"/>
    </row>
    <row r="42" spans="1:8" x14ac:dyDescent="0.3">
      <c r="B42" s="15" t="s">
        <v>214</v>
      </c>
      <c r="C42" s="39">
        <f>C40-C41</f>
        <v>466.65999999999997</v>
      </c>
      <c r="D42" s="39">
        <f>D40-D41</f>
        <v>539</v>
      </c>
      <c r="E42" s="39">
        <f>E40-E41</f>
        <v>583</v>
      </c>
      <c r="F42" s="11" t="s">
        <v>107</v>
      </c>
      <c r="G42" s="17"/>
      <c r="H42" s="40">
        <f>SUM(C42:E42)</f>
        <v>1588.6599999999999</v>
      </c>
    </row>
    <row r="43" spans="1:8" x14ac:dyDescent="0.3">
      <c r="B43" s="17" t="s">
        <v>215</v>
      </c>
      <c r="C43" s="25">
        <f>$D$18</f>
        <v>7.5</v>
      </c>
      <c r="D43" s="25">
        <f>$D$18</f>
        <v>7.5</v>
      </c>
      <c r="E43" s="25">
        <f>$D$18</f>
        <v>7.5</v>
      </c>
      <c r="F43" s="11" t="s">
        <v>107</v>
      </c>
      <c r="G43" s="17"/>
      <c r="H43" s="17"/>
    </row>
    <row r="44" spans="1:8" x14ac:dyDescent="0.3">
      <c r="B44" s="15" t="s">
        <v>216</v>
      </c>
      <c r="C44" s="32">
        <f>C42*C43</f>
        <v>3499.95</v>
      </c>
      <c r="D44" s="32">
        <f>D42*D43</f>
        <v>4042.5</v>
      </c>
      <c r="E44" s="32">
        <f>E42*E43</f>
        <v>4372.5</v>
      </c>
      <c r="F44" s="11" t="s">
        <v>107</v>
      </c>
      <c r="G44" s="17"/>
      <c r="H44" s="32">
        <f>SUM(C44:E44)</f>
        <v>11914.95</v>
      </c>
    </row>
    <row r="45" spans="1:8" x14ac:dyDescent="0.3">
      <c r="B45" s="17" t="s">
        <v>217</v>
      </c>
      <c r="C45" s="20">
        <f>0</f>
        <v>0</v>
      </c>
      <c r="D45" s="20">
        <f>0</f>
        <v>0</v>
      </c>
      <c r="E45" s="20">
        <f>0</f>
        <v>0</v>
      </c>
      <c r="F45" s="11" t="s">
        <v>107</v>
      </c>
      <c r="G45" s="17"/>
      <c r="H45" s="32">
        <f>SUM(C45:E45)</f>
        <v>0</v>
      </c>
    </row>
    <row r="46" spans="1:8" x14ac:dyDescent="0.3">
      <c r="B46" s="15" t="s">
        <v>218</v>
      </c>
      <c r="C46" s="32">
        <f>C44+C45</f>
        <v>3499.95</v>
      </c>
      <c r="D46" s="32">
        <f>D44+D45</f>
        <v>4042.5</v>
      </c>
      <c r="E46" s="32">
        <f>E44+E45</f>
        <v>4372.5</v>
      </c>
      <c r="F46" s="11" t="s">
        <v>107</v>
      </c>
      <c r="G46" s="17"/>
      <c r="H46" s="32">
        <f>SUM(C46:E46)</f>
        <v>11914.95</v>
      </c>
    </row>
    <row r="48" spans="1:8" ht="19.5" customHeight="1" x14ac:dyDescent="0.3">
      <c r="A48" s="7" t="s">
        <v>219</v>
      </c>
      <c r="B48" s="7"/>
      <c r="C48" s="7"/>
      <c r="D48" s="7"/>
      <c r="E48" s="7"/>
      <c r="F48" s="7"/>
      <c r="G48" s="7"/>
      <c r="H48" s="7"/>
    </row>
    <row r="49" spans="1:8" ht="21.75" customHeight="1" x14ac:dyDescent="0.3">
      <c r="B49" s="13" t="s">
        <v>120</v>
      </c>
      <c r="C49" s="13" t="s">
        <v>196</v>
      </c>
      <c r="D49" s="13" t="s">
        <v>197</v>
      </c>
      <c r="E49" s="13" t="s">
        <v>198</v>
      </c>
      <c r="F49" s="13" t="s">
        <v>199</v>
      </c>
      <c r="G49" s="13"/>
      <c r="H49" s="13" t="s">
        <v>201</v>
      </c>
    </row>
    <row r="50" spans="1:8" x14ac:dyDescent="0.3">
      <c r="B50" s="17" t="s">
        <v>211</v>
      </c>
      <c r="C50" s="33">
        <f>C32</f>
        <v>2060</v>
      </c>
      <c r="D50" s="33">
        <f>D32</f>
        <v>2430</v>
      </c>
      <c r="E50" s="33">
        <f>E32</f>
        <v>2630</v>
      </c>
      <c r="F50" s="33">
        <f>F32</f>
        <v>2830</v>
      </c>
      <c r="G50" s="17"/>
      <c r="H50" s="17"/>
    </row>
    <row r="51" spans="1:8" x14ac:dyDescent="0.3">
      <c r="B51" s="17" t="s">
        <v>212</v>
      </c>
      <c r="C51" s="18">
        <f>$H$14</f>
        <v>0.11</v>
      </c>
      <c r="D51" s="18">
        <f>$H$14</f>
        <v>0.11</v>
      </c>
      <c r="E51" s="18">
        <f>$H$14</f>
        <v>0.11</v>
      </c>
      <c r="F51" s="18">
        <f>$H$14</f>
        <v>0.11</v>
      </c>
      <c r="G51" s="17"/>
      <c r="H51" s="17"/>
    </row>
    <row r="52" spans="1:8" x14ac:dyDescent="0.3">
      <c r="B52" s="15" t="s">
        <v>213</v>
      </c>
      <c r="C52" s="39">
        <f>C50*C51</f>
        <v>226.6</v>
      </c>
      <c r="D52" s="39">
        <f>D50*D51</f>
        <v>267.3</v>
      </c>
      <c r="E52" s="39">
        <f>E50*E51</f>
        <v>289.3</v>
      </c>
      <c r="F52" s="39">
        <f>F50*F51</f>
        <v>311.3</v>
      </c>
      <c r="G52" s="17"/>
      <c r="H52" s="40">
        <f>SUM(C52:E52)</f>
        <v>783.2</v>
      </c>
    </row>
    <row r="53" spans="1:8" x14ac:dyDescent="0.3">
      <c r="B53" s="17" t="s">
        <v>205</v>
      </c>
      <c r="C53" s="31">
        <f>D52*$C$9</f>
        <v>26.730000000000004</v>
      </c>
      <c r="D53" s="31">
        <f>E52*$C$9</f>
        <v>28.930000000000003</v>
      </c>
      <c r="E53" s="31">
        <f>F52*$C$9</f>
        <v>31.130000000000003</v>
      </c>
      <c r="F53" s="11" t="s">
        <v>107</v>
      </c>
      <c r="G53" s="17"/>
      <c r="H53" s="17"/>
    </row>
    <row r="54" spans="1:8" x14ac:dyDescent="0.3">
      <c r="B54" s="17" t="s">
        <v>206</v>
      </c>
      <c r="C54" s="31">
        <f>C52+C53</f>
        <v>253.32999999999998</v>
      </c>
      <c r="D54" s="31">
        <f>D52+D53</f>
        <v>296.23</v>
      </c>
      <c r="E54" s="31">
        <f>E52+E53</f>
        <v>320.43</v>
      </c>
      <c r="F54" s="11" t="s">
        <v>107</v>
      </c>
      <c r="G54" s="17"/>
      <c r="H54" s="17"/>
    </row>
    <row r="55" spans="1:8" x14ac:dyDescent="0.3">
      <c r="B55" s="17" t="s">
        <v>207</v>
      </c>
      <c r="C55" s="31">
        <f>$C$19</f>
        <v>50</v>
      </c>
      <c r="D55" s="31">
        <f>C53</f>
        <v>26.730000000000004</v>
      </c>
      <c r="E55" s="31">
        <f>D53</f>
        <v>28.930000000000003</v>
      </c>
      <c r="F55" s="11" t="s">
        <v>107</v>
      </c>
      <c r="G55" s="17"/>
      <c r="H55" s="17"/>
    </row>
    <row r="56" spans="1:8" x14ac:dyDescent="0.3">
      <c r="B56" s="15" t="s">
        <v>214</v>
      </c>
      <c r="C56" s="39">
        <f>C54-C55</f>
        <v>203.32999999999998</v>
      </c>
      <c r="D56" s="39">
        <f>D54-D55</f>
        <v>269.5</v>
      </c>
      <c r="E56" s="39">
        <f>E54-E55</f>
        <v>291.5</v>
      </c>
      <c r="F56" s="11" t="s">
        <v>107</v>
      </c>
      <c r="G56" s="17"/>
      <c r="H56" s="40">
        <f>SUM(C56:E56)</f>
        <v>764.32999999999993</v>
      </c>
    </row>
    <row r="57" spans="1:8" x14ac:dyDescent="0.3">
      <c r="B57" s="17" t="s">
        <v>215</v>
      </c>
      <c r="C57" s="25">
        <f>$D$19</f>
        <v>3.6440677966101696</v>
      </c>
      <c r="D57" s="25">
        <f>$D$19</f>
        <v>3.6440677966101696</v>
      </c>
      <c r="E57" s="25">
        <f>$D$19</f>
        <v>3.6440677966101696</v>
      </c>
      <c r="F57" s="11" t="s">
        <v>107</v>
      </c>
      <c r="G57" s="17"/>
      <c r="H57" s="17"/>
    </row>
    <row r="58" spans="1:8" x14ac:dyDescent="0.3">
      <c r="B58" s="15" t="s">
        <v>216</v>
      </c>
      <c r="C58" s="32">
        <f>C56*C57</f>
        <v>740.9483050847457</v>
      </c>
      <c r="D58" s="32">
        <f>D56*D57</f>
        <v>982.07627118644075</v>
      </c>
      <c r="E58" s="32">
        <f>E56*E57</f>
        <v>1062.2457627118645</v>
      </c>
      <c r="F58" s="11" t="s">
        <v>107</v>
      </c>
      <c r="G58" s="17"/>
      <c r="H58" s="32">
        <f>SUM(C58:E58)</f>
        <v>2785.2703389830513</v>
      </c>
    </row>
    <row r="59" spans="1:8" x14ac:dyDescent="0.3">
      <c r="B59" s="17" t="s">
        <v>217</v>
      </c>
      <c r="C59" s="20">
        <f>C58*$C$10</f>
        <v>133.37069491525423</v>
      </c>
      <c r="D59" s="20">
        <f>D58*$C$10</f>
        <v>176.77372881355933</v>
      </c>
      <c r="E59" s="20">
        <f>E58*$C$10</f>
        <v>191.2042372881356</v>
      </c>
      <c r="F59" s="11" t="s">
        <v>107</v>
      </c>
      <c r="G59" s="17"/>
      <c r="H59" s="32">
        <f>SUM(C59:E59)</f>
        <v>501.34866101694911</v>
      </c>
    </row>
    <row r="60" spans="1:8" x14ac:dyDescent="0.3">
      <c r="B60" s="15" t="s">
        <v>218</v>
      </c>
      <c r="C60" s="32">
        <f>C58+C59</f>
        <v>874.31899999999996</v>
      </c>
      <c r="D60" s="32">
        <f>D58+D59</f>
        <v>1158.8500000000001</v>
      </c>
      <c r="E60" s="32">
        <f>E58+E59</f>
        <v>1253.45</v>
      </c>
      <c r="F60" s="11" t="s">
        <v>107</v>
      </c>
      <c r="G60" s="17"/>
      <c r="H60" s="32">
        <f>SUM(C60:E60)</f>
        <v>3286.6190000000001</v>
      </c>
    </row>
    <row r="62" spans="1:8" ht="19.5" customHeight="1" x14ac:dyDescent="0.3">
      <c r="A62" s="7" t="s">
        <v>220</v>
      </c>
      <c r="B62" s="7"/>
      <c r="C62" s="7"/>
      <c r="D62" s="7"/>
      <c r="E62" s="7"/>
      <c r="F62" s="7"/>
      <c r="G62" s="7"/>
      <c r="H62" s="7"/>
    </row>
    <row r="63" spans="1:8" ht="21.75" customHeight="1" x14ac:dyDescent="0.3">
      <c r="B63" s="13" t="s">
        <v>120</v>
      </c>
      <c r="C63" s="13" t="s">
        <v>196</v>
      </c>
      <c r="D63" s="13" t="s">
        <v>197</v>
      </c>
      <c r="E63" s="13" t="s">
        <v>198</v>
      </c>
      <c r="F63" s="13" t="s">
        <v>199</v>
      </c>
      <c r="G63" s="13"/>
      <c r="H63" s="13" t="s">
        <v>201</v>
      </c>
    </row>
    <row r="64" spans="1:8" x14ac:dyDescent="0.3">
      <c r="B64" s="17" t="s">
        <v>211</v>
      </c>
      <c r="C64" s="33">
        <f>C32</f>
        <v>2060</v>
      </c>
      <c r="D64" s="33">
        <f>D32</f>
        <v>2430</v>
      </c>
      <c r="E64" s="33">
        <f>E32</f>
        <v>2630</v>
      </c>
      <c r="F64" s="33">
        <f>F32</f>
        <v>2830</v>
      </c>
      <c r="G64" s="17"/>
      <c r="H64" s="17"/>
    </row>
    <row r="65" spans="1:8" x14ac:dyDescent="0.3">
      <c r="B65" s="17" t="s">
        <v>212</v>
      </c>
      <c r="C65" s="18">
        <f>$H$15</f>
        <v>1</v>
      </c>
      <c r="D65" s="18">
        <f>$H$15</f>
        <v>1</v>
      </c>
      <c r="E65" s="18">
        <f>$H$15</f>
        <v>1</v>
      </c>
      <c r="F65" s="18">
        <f>$H$15</f>
        <v>1</v>
      </c>
      <c r="G65" s="17"/>
      <c r="H65" s="17"/>
    </row>
    <row r="66" spans="1:8" x14ac:dyDescent="0.3">
      <c r="B66" s="15" t="s">
        <v>213</v>
      </c>
      <c r="C66" s="39">
        <f>C64*C65</f>
        <v>2060</v>
      </c>
      <c r="D66" s="39">
        <f>D64*D65</f>
        <v>2430</v>
      </c>
      <c r="E66" s="39">
        <f>E64*E65</f>
        <v>2630</v>
      </c>
      <c r="F66" s="39">
        <f>F64*F65</f>
        <v>2830</v>
      </c>
      <c r="G66" s="17"/>
      <c r="H66" s="40">
        <f>SUM(C66:E66)</f>
        <v>7120</v>
      </c>
    </row>
    <row r="67" spans="1:8" x14ac:dyDescent="0.3">
      <c r="B67" s="17" t="s">
        <v>205</v>
      </c>
      <c r="C67" s="31">
        <f>D66*$C$9</f>
        <v>243</v>
      </c>
      <c r="D67" s="31">
        <f>E66*$C$9</f>
        <v>263</v>
      </c>
      <c r="E67" s="31">
        <f>F66*$C$9</f>
        <v>283</v>
      </c>
      <c r="F67" s="11" t="s">
        <v>107</v>
      </c>
      <c r="G67" s="17"/>
      <c r="H67" s="17"/>
    </row>
    <row r="68" spans="1:8" x14ac:dyDescent="0.3">
      <c r="B68" s="17" t="s">
        <v>206</v>
      </c>
      <c r="C68" s="31">
        <f>C66+C67</f>
        <v>2303</v>
      </c>
      <c r="D68" s="31">
        <f>D66+D67</f>
        <v>2693</v>
      </c>
      <c r="E68" s="31">
        <f>E66+E67</f>
        <v>2913</v>
      </c>
      <c r="F68" s="11" t="s">
        <v>107</v>
      </c>
      <c r="G68" s="17"/>
      <c r="H68" s="17"/>
    </row>
    <row r="69" spans="1:8" x14ac:dyDescent="0.3">
      <c r="B69" s="17" t="s">
        <v>207</v>
      </c>
      <c r="C69" s="31">
        <f>$C$20</f>
        <v>250</v>
      </c>
      <c r="D69" s="31">
        <f>C67</f>
        <v>243</v>
      </c>
      <c r="E69" s="31">
        <f>D67</f>
        <v>263</v>
      </c>
      <c r="F69" s="11" t="s">
        <v>107</v>
      </c>
      <c r="G69" s="17"/>
      <c r="H69" s="17"/>
    </row>
    <row r="70" spans="1:8" x14ac:dyDescent="0.3">
      <c r="B70" s="15" t="s">
        <v>214</v>
      </c>
      <c r="C70" s="39">
        <f>C68-C69</f>
        <v>2053</v>
      </c>
      <c r="D70" s="39">
        <f>D68-D69</f>
        <v>2450</v>
      </c>
      <c r="E70" s="39">
        <f>E68-E69</f>
        <v>2650</v>
      </c>
      <c r="F70" s="11" t="s">
        <v>107</v>
      </c>
      <c r="G70" s="17"/>
      <c r="H70" s="40">
        <f>SUM(C70:E70)</f>
        <v>7153</v>
      </c>
    </row>
    <row r="71" spans="1:8" x14ac:dyDescent="0.3">
      <c r="B71" s="17" t="s">
        <v>215</v>
      </c>
      <c r="C71" s="25">
        <f>$D$20</f>
        <v>1.228813559322034</v>
      </c>
      <c r="D71" s="25">
        <f>$D$20</f>
        <v>1.228813559322034</v>
      </c>
      <c r="E71" s="25">
        <f>$D$20</f>
        <v>1.228813559322034</v>
      </c>
      <c r="F71" s="11" t="s">
        <v>107</v>
      </c>
      <c r="G71" s="17"/>
      <c r="H71" s="17"/>
    </row>
    <row r="72" spans="1:8" x14ac:dyDescent="0.3">
      <c r="B72" s="15" t="s">
        <v>216</v>
      </c>
      <c r="C72" s="32">
        <f>C70*C71</f>
        <v>2522.7542372881358</v>
      </c>
      <c r="D72" s="32">
        <f>D70*D71</f>
        <v>3010.593220338983</v>
      </c>
      <c r="E72" s="32">
        <f>E70*E71</f>
        <v>3256.3559322033898</v>
      </c>
      <c r="F72" s="11" t="s">
        <v>107</v>
      </c>
      <c r="G72" s="17"/>
      <c r="H72" s="32">
        <f>SUM(C72:E72)</f>
        <v>8789.703389830509</v>
      </c>
    </row>
    <row r="73" spans="1:8" x14ac:dyDescent="0.3">
      <c r="B73" s="17" t="s">
        <v>217</v>
      </c>
      <c r="C73" s="20">
        <f>C72*$C$10</f>
        <v>454.09576271186444</v>
      </c>
      <c r="D73" s="20">
        <f>D72*$C$10</f>
        <v>541.90677966101691</v>
      </c>
      <c r="E73" s="20">
        <f>E72*$C$10</f>
        <v>586.1440677966101</v>
      </c>
      <c r="F73" s="11" t="s">
        <v>107</v>
      </c>
      <c r="G73" s="17"/>
      <c r="H73" s="32">
        <f>SUM(C73:E73)</f>
        <v>1582.1466101694914</v>
      </c>
    </row>
    <row r="74" spans="1:8" x14ac:dyDescent="0.3">
      <c r="B74" s="15" t="s">
        <v>218</v>
      </c>
      <c r="C74" s="32">
        <f>C72+C73</f>
        <v>2976.8500000000004</v>
      </c>
      <c r="D74" s="32">
        <f>D72+D73</f>
        <v>3552.5</v>
      </c>
      <c r="E74" s="32">
        <f>E72+E73</f>
        <v>3842.5</v>
      </c>
      <c r="F74" s="11" t="s">
        <v>107</v>
      </c>
      <c r="G74" s="17"/>
      <c r="H74" s="32">
        <f>SUM(C74:E74)</f>
        <v>10371.85</v>
      </c>
    </row>
    <row r="76" spans="1:8" ht="19.5" customHeight="1" x14ac:dyDescent="0.3">
      <c r="A76" s="7" t="s">
        <v>221</v>
      </c>
      <c r="B76" s="7"/>
      <c r="C76" s="7"/>
      <c r="D76" s="7"/>
      <c r="E76" s="7"/>
      <c r="F76" s="7"/>
      <c r="G76" s="7"/>
      <c r="H76" s="7"/>
    </row>
    <row r="77" spans="1:8" ht="21.75" customHeight="1" x14ac:dyDescent="0.3">
      <c r="B77" s="13" t="s">
        <v>120</v>
      </c>
      <c r="C77" s="13" t="s">
        <v>196</v>
      </c>
      <c r="D77" s="13" t="s">
        <v>197</v>
      </c>
      <c r="E77" s="13" t="s">
        <v>198</v>
      </c>
      <c r="F77" s="13"/>
      <c r="G77" s="13"/>
      <c r="H77" s="13" t="s">
        <v>201</v>
      </c>
    </row>
    <row r="78" spans="1:8" x14ac:dyDescent="0.3">
      <c r="B78" s="17" t="s">
        <v>17</v>
      </c>
      <c r="C78" s="20">
        <f t="shared" ref="C78:E80" si="0">C44+C58+C72</f>
        <v>6763.6525423728817</v>
      </c>
      <c r="D78" s="20">
        <f t="shared" si="0"/>
        <v>8035.1694915254238</v>
      </c>
      <c r="E78" s="20">
        <f t="shared" si="0"/>
        <v>8691.1016949152545</v>
      </c>
      <c r="F78" s="17"/>
      <c r="G78" s="17"/>
      <c r="H78" s="32">
        <f>SUM(C78:E78)</f>
        <v>23489.923728813559</v>
      </c>
    </row>
    <row r="79" spans="1:8" x14ac:dyDescent="0.3">
      <c r="B79" s="17" t="s">
        <v>222</v>
      </c>
      <c r="C79" s="20">
        <f t="shared" si="0"/>
        <v>587.46645762711864</v>
      </c>
      <c r="D79" s="20">
        <f t="shared" si="0"/>
        <v>718.6805084745763</v>
      </c>
      <c r="E79" s="20">
        <f t="shared" si="0"/>
        <v>777.34830508474568</v>
      </c>
      <c r="F79" s="17"/>
      <c r="G79" s="17"/>
      <c r="H79" s="32">
        <f>SUM(C79:E79)</f>
        <v>2083.4952711864407</v>
      </c>
    </row>
    <row r="80" spans="1:8" x14ac:dyDescent="0.3">
      <c r="B80" s="15" t="s">
        <v>223</v>
      </c>
      <c r="C80" s="32">
        <f t="shared" si="0"/>
        <v>7351.1190000000006</v>
      </c>
      <c r="D80" s="32">
        <f t="shared" si="0"/>
        <v>8753.85</v>
      </c>
      <c r="E80" s="32">
        <f t="shared" si="0"/>
        <v>9468.4500000000007</v>
      </c>
      <c r="F80" s="17"/>
      <c r="G80" s="17"/>
      <c r="H80" s="32">
        <f>SUM(C80:E80)</f>
        <v>25573.419000000002</v>
      </c>
    </row>
    <row r="82" spans="1:8" ht="18" customHeight="1" x14ac:dyDescent="0.3">
      <c r="A82" s="4" t="s">
        <v>224</v>
      </c>
      <c r="B82" s="4"/>
      <c r="C82" s="4"/>
      <c r="D82" s="4"/>
      <c r="E82" s="4"/>
      <c r="F82" s="4"/>
      <c r="G82" s="4"/>
      <c r="H82" s="4"/>
    </row>
    <row r="83" spans="1:8" ht="48" customHeight="1" x14ac:dyDescent="0.3">
      <c r="A83" s="3" t="s">
        <v>225</v>
      </c>
      <c r="B83" s="3"/>
      <c r="C83" s="3"/>
      <c r="D83" s="3"/>
      <c r="E83" s="3"/>
      <c r="F83" s="3"/>
      <c r="G83" s="3"/>
      <c r="H83" s="3"/>
    </row>
    <row r="85" spans="1:8" ht="18" customHeight="1" x14ac:dyDescent="0.3">
      <c r="A85" s="4" t="s">
        <v>226</v>
      </c>
      <c r="B85" s="4"/>
      <c r="C85" s="4"/>
      <c r="D85" s="4"/>
      <c r="E85" s="4"/>
      <c r="F85" s="4"/>
      <c r="G85" s="4"/>
      <c r="H85" s="4"/>
    </row>
    <row r="86" spans="1:8" ht="48" customHeight="1" x14ac:dyDescent="0.3">
      <c r="A86" s="3" t="s">
        <v>227</v>
      </c>
      <c r="B86" s="3"/>
      <c r="C86" s="3"/>
      <c r="D86" s="3"/>
      <c r="E86" s="3"/>
      <c r="F86" s="3"/>
      <c r="G86" s="3"/>
      <c r="H86" s="3"/>
    </row>
  </sheetData>
  <mergeCells count="14">
    <mergeCell ref="A82:H82"/>
    <mergeCell ref="A83:H83"/>
    <mergeCell ref="A85:H85"/>
    <mergeCell ref="A86:H86"/>
    <mergeCell ref="A26:H26"/>
    <mergeCell ref="A34:H34"/>
    <mergeCell ref="A48:H48"/>
    <mergeCell ref="A62:H62"/>
    <mergeCell ref="A76:H76"/>
    <mergeCell ref="A1:H1"/>
    <mergeCell ref="A2:H2"/>
    <mergeCell ref="A4:H4"/>
    <mergeCell ref="A6:H6"/>
    <mergeCell ref="A22:H22"/>
  </mergeCells>
  <pageMargins left="0.75" right="0.75" top="1" bottom="1"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Indicaciones</vt:lpstr>
      <vt:lpstr>Caso 1</vt:lpstr>
      <vt:lpstr>Caso 2</vt:lpstr>
      <vt:lpstr>Caso 3</vt:lpstr>
      <vt:lpstr>Caso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Usuario</cp:lastModifiedBy>
  <cp:revision>0</cp:revision>
  <dcterms:created xsi:type="dcterms:W3CDTF">2026-09-29T10:42:01Z</dcterms:created>
  <dcterms:modified xsi:type="dcterms:W3CDTF">2026-09-29T12:50:56Z</dcterms:modified>
  <dc:language>en-US</dc:language>
</cp:coreProperties>
</file>