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IODO 2026 II\CURSOS MKT 2026 II\ANÁLISIS DE COSTOS Y PRESUPUESTOS\SEMANA 7\"/>
    </mc:Choice>
  </mc:AlternateContent>
  <xr:revisionPtr revIDLastSave="0" documentId="8_{16D6B114-22C9-4A46-80DD-D9EACA60B07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aso 1" sheetId="2" r:id="rId1"/>
    <sheet name="Caso 2" sheetId="3" r:id="rId2"/>
    <sheet name="Caso 3" sheetId="4" r:id="rId3"/>
    <sheet name="Caso 4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4" i="5" l="1"/>
  <c r="E64" i="5"/>
  <c r="D64" i="5"/>
  <c r="C64" i="5"/>
  <c r="F50" i="5"/>
  <c r="E50" i="5"/>
  <c r="D50" i="5"/>
  <c r="C50" i="5"/>
  <c r="F36" i="5"/>
  <c r="E36" i="5"/>
  <c r="D36" i="5"/>
  <c r="C36" i="5"/>
  <c r="F13" i="2"/>
</calcChain>
</file>

<file path=xl/sharedStrings.xml><?xml version="1.0" encoding="utf-8"?>
<sst xmlns="http://schemas.openxmlformats.org/spreadsheetml/2006/main" count="329" uniqueCount="161">
  <si>
    <t>Valor de compra sin IGV</t>
  </si>
  <si>
    <t>CASO 1: Conversión de precios de compra comercial – Panadería «El Buen Trigo»</t>
  </si>
  <si>
    <t>La panadería «El Buen Trigo» (Cayma, Arequipa) compra sus insumos en presentaciones comerciales. Los precios de la factura incluyen IGV (18 %). Para costear, el IGV no forma parte del costo porque se recupera como crédito fiscal.</t>
  </si>
  <si>
    <t>Parte A. Valor de compra sin IGV, IGV y costo por unidad de medida</t>
  </si>
  <si>
    <t>N.°</t>
  </si>
  <si>
    <t>Insumo</t>
  </si>
  <si>
    <t>Presentación comercial</t>
  </si>
  <si>
    <t>Contenido</t>
  </si>
  <si>
    <t>Unidad</t>
  </si>
  <si>
    <t>Precio con IGV (S/)</t>
  </si>
  <si>
    <t>Valor de compra sin IGV (S/)</t>
  </si>
  <si>
    <t>IGV (S/)</t>
  </si>
  <si>
    <t>Harina panadera</t>
  </si>
  <si>
    <t>Saco x 50 kg</t>
  </si>
  <si>
    <t>kg</t>
  </si>
  <si>
    <t>Azúcar blanca</t>
  </si>
  <si>
    <t>Manteca vegetal</t>
  </si>
  <si>
    <t>Caja x 10 kg</t>
  </si>
  <si>
    <t>Levadura seca instantánea</t>
  </si>
  <si>
    <t>Caja x 20 sobres de 500 g</t>
  </si>
  <si>
    <t>Sal yodada</t>
  </si>
  <si>
    <t>Mejorador de masa</t>
  </si>
  <si>
    <t>Bolsa x 1 kg</t>
  </si>
  <si>
    <t>TOTAL</t>
  </si>
  <si>
    <t>Costo por unidad de medida sin IGV (S/)</t>
  </si>
  <si>
    <t>por kg</t>
  </si>
  <si>
    <t>Parte B. Costo de los insumos de un lote de 100 panes</t>
  </si>
  <si>
    <t>Cantidad por lote</t>
  </si>
  <si>
    <t>Costo por unidad de medida (S/)</t>
  </si>
  <si>
    <t>Costo del lote (S/)</t>
  </si>
  <si>
    <t>COSTO DE INSUMOS DEL LOTE</t>
  </si>
  <si>
    <t>Panes por lote</t>
  </si>
  <si>
    <t>Costo de insumos por pan</t>
  </si>
  <si>
    <t>Parte C. Análisis</t>
  </si>
  <si>
    <t>Si la harina sube a S/ 199.00 con IGV, nuevo costo por pan</t>
  </si>
  <si>
    <t>¿Por qué el IGV pagado en las compras no forma parte del costo del pan?</t>
  </si>
  <si>
    <t>CASO 2: Materia prima directa e indirecta – Confecciones «Misti Sport»</t>
  </si>
  <si>
    <t>«Misti Sport» confecciona polos deportivos en Cerro Colorado. Este mes producirá 1,000 polos. A continuación se listan los materiales que compra, con su precio de factura (incluye IGV). Clasifique cada material, calcule su costo y determine el costo de materia prima directa por polo.</t>
  </si>
  <si>
    <t>Producción del mes (polos)</t>
  </si>
  <si>
    <t>Parte A. Clasificación y costeo de materiales</t>
  </si>
  <si>
    <t>Material</t>
  </si>
  <si>
    <t>Clasificación</t>
  </si>
  <si>
    <t>Valor sin IGV (S/)</t>
  </si>
  <si>
    <t>Consumo neto por polo</t>
  </si>
  <si>
    <t>% de merma</t>
  </si>
  <si>
    <t>Consumo bruto por polo</t>
  </si>
  <si>
    <t>Consumo del mes</t>
  </si>
  <si>
    <t>Costo MPD por polo (S/)</t>
  </si>
  <si>
    <t>Costo del mes (S/)</t>
  </si>
  <si>
    <t>Tela dry-fit de poliéster</t>
  </si>
  <si>
    <t>Rollo x 25 kg</t>
  </si>
  <si>
    <t>Rib de poliéster para cuello</t>
  </si>
  <si>
    <t>Bolsa x 5 kg</t>
  </si>
  <si>
    <t>Transfer DTF del logo</t>
  </si>
  <si>
    <t>Paquete x 100</t>
  </si>
  <si>
    <t>unidad</t>
  </si>
  <si>
    <t>Etiqueta tejida de marca</t>
  </si>
  <si>
    <t>Millar</t>
  </si>
  <si>
    <t>Etiqueta de talla y composición</t>
  </si>
  <si>
    <t>Bolsa individual del polo (empaque del producto)</t>
  </si>
  <si>
    <t>Hilo poliéster para remalle y recubierto</t>
  </si>
  <si>
    <t>Cono x 5,000 m</t>
  </si>
  <si>
    <t>cono</t>
  </si>
  <si>
    <t>—</t>
  </si>
  <si>
    <t>Agujas para máquina industrial</t>
  </si>
  <si>
    <t>Caja x 100</t>
  </si>
  <si>
    <t>caja</t>
  </si>
  <si>
    <t>Aceite para máquinas de coser</t>
  </si>
  <si>
    <t>Galón de 3.8 L</t>
  </si>
  <si>
    <t>galón</t>
  </si>
  <si>
    <t>Tiza de sastre y papel para moldes</t>
  </si>
  <si>
    <t>Paquete</t>
  </si>
  <si>
    <t>paquete</t>
  </si>
  <si>
    <t>Detergente, escobas y trapeadores para limpiar el taller</t>
  </si>
  <si>
    <t>Bolsa de despacho con logo para el cliente</t>
  </si>
  <si>
    <t>Parte B. Resumen</t>
  </si>
  <si>
    <t>Concepto</t>
  </si>
  <si>
    <t>Monto (S/)</t>
  </si>
  <si>
    <t>Destino en la estructura de costos</t>
  </si>
  <si>
    <t>Costo de materia prima directa por polo</t>
  </si>
  <si>
    <t>Costo unitario del producto (materia prima)</t>
  </si>
  <si>
    <t>Materia prima directa del mes</t>
  </si>
  <si>
    <t>Costo de producción – materia prima directa</t>
  </si>
  <si>
    <t>Materia prima indirecta del mes</t>
  </si>
  <si>
    <t>Costos indirectos de fabricación (CIF)</t>
  </si>
  <si>
    <t>Materiales que no son materia prima</t>
  </si>
  <si>
    <t>Gastos operativos: limpieza → administrativo; despacho → ventas</t>
  </si>
  <si>
    <t>1. ¿Por qué el hilo se clasifica como materia prima indirecta si también forma parte del polo?</t>
  </si>
  <si>
    <t>2. ¿Por qué la bolsa individual es materia prima directa y la bolsa de despacho no lo es?</t>
  </si>
  <si>
    <t>3. ¿Qué efecto tendría no considerar la merma de la tela?</t>
  </si>
  <si>
    <t>CASO 3: Estructura del presupuesto maestro</t>
  </si>
  <si>
    <t>El presupuesto maestro se elabora en cadena: cada cédula toma datos de las anteriores. Las cédulas están desordenadas. Indique el orden de elaboración (1 a 14), el tipo de presupuesto y de qué cédulas o datos se alimenta.</t>
  </si>
  <si>
    <t>Ordenamiento de las cédulas</t>
  </si>
  <si>
    <t>Cédula</t>
  </si>
  <si>
    <t>Orden de elaboración</t>
  </si>
  <si>
    <t>Tipo de presupuesto</t>
  </si>
  <si>
    <t>Toma datos principalmente de</t>
  </si>
  <si>
    <t>Presupuesto de costo de producción y costo de ventas</t>
  </si>
  <si>
    <t>Presupuesto de ventas</t>
  </si>
  <si>
    <t>Estado de Resultados proyectado</t>
  </si>
  <si>
    <t>Presupuesto de inversión y financiamiento</t>
  </si>
  <si>
    <t>Presupuesto de compras de materiales</t>
  </si>
  <si>
    <t>Presupuesto de pagos</t>
  </si>
  <si>
    <t>Presupuesto de gastos de ventas</t>
  </si>
  <si>
    <t>Estado de Situación Financiera proyectado</t>
  </si>
  <si>
    <t>Presupuesto de mano de obra directa</t>
  </si>
  <si>
    <t>Flujo de caja proyectado</t>
  </si>
  <si>
    <t>Presupuesto de gastos administrativos</t>
  </si>
  <si>
    <t>Presupuesto de producción</t>
  </si>
  <si>
    <t>Presupuesto de cobranzas</t>
  </si>
  <si>
    <t>Presupuesto de costos indirectos de fabricación</t>
  </si>
  <si>
    <t>¿Por qué el presupuesto de ventas es siempre el primero?</t>
  </si>
  <si>
    <t>CASO 4: Cédulas de ventas, producción y compras – «Mermeladas Valle del Colca»</t>
  </si>
  <si>
    <t>La empresa elabora mermelada de aguaymanto en frascos de 250 g. Prepare el presupuesto del primer trimestre de 2027. Atención: el aguaymanto fresco está exonerado de IGV (Apéndice I de la Ley del IGV); su precio no incluye IGV.</t>
  </si>
  <si>
    <t>Datos</t>
  </si>
  <si>
    <t>Inventario inicial de mermeladas al 1 de enero (frascos)</t>
  </si>
  <si>
    <t>Inventario final deseado de mermeladas (% de las ventas del mes siguiente)</t>
  </si>
  <si>
    <t>Inventario final deseado de materiales (% del requerimiento del mes siguiente)</t>
  </si>
  <si>
    <t>IGV</t>
  </si>
  <si>
    <t>Presentación</t>
  </si>
  <si>
    <t>Precio pagado (S/)</t>
  </si>
  <si>
    <t>¿Afecto a IGV?</t>
  </si>
  <si>
    <t>Consumo por frasco</t>
  </si>
  <si>
    <t>Aguaymanto fresco</t>
  </si>
  <si>
    <t>Jaba x 10 kg</t>
  </si>
  <si>
    <t>No (exonerado)</t>
  </si>
  <si>
    <t>Sí</t>
  </si>
  <si>
    <t>Frasco de vidrio de 250 g con tapa</t>
  </si>
  <si>
    <t>Caja x 48</t>
  </si>
  <si>
    <t>Inventario inicial al 1 de enero</t>
  </si>
  <si>
    <t>C1. Presupuesto de ventas en unidades (frascos)</t>
  </si>
  <si>
    <t>Enero</t>
  </si>
  <si>
    <t>Febrero</t>
  </si>
  <si>
    <t>Marzo</t>
  </si>
  <si>
    <t>Abril</t>
  </si>
  <si>
    <t>Mayo</t>
  </si>
  <si>
    <t>Total enero–marzo</t>
  </si>
  <si>
    <t>Ventas en unidades</t>
  </si>
  <si>
    <t>C2. Presupuesto de producción (frascos)</t>
  </si>
  <si>
    <t>Ventas del mes</t>
  </si>
  <si>
    <t>(+) Inventario final deseado</t>
  </si>
  <si>
    <t>(=) Necesidad total</t>
  </si>
  <si>
    <t>(−) Inventario inicial</t>
  </si>
  <si>
    <t>(=) Producción del mes</t>
  </si>
  <si>
    <t>La producción de abril se calcula solo para obtener el inventario final de materiales de marzo.</t>
  </si>
  <si>
    <t>C3. Presupuesto de compras de materiales – Aguaymanto fresco (kg)</t>
  </si>
  <si>
    <t>Producción del mes (frascos)</t>
  </si>
  <si>
    <t>× Consumo por frasco</t>
  </si>
  <si>
    <t>(=) Requerimiento para la producción</t>
  </si>
  <si>
    <t>(=) Compras en unidades</t>
  </si>
  <si>
    <t>× Costo por unidad sin IGV (S/)</t>
  </si>
  <si>
    <t>(=) Valor de compra sin IGV (S/)</t>
  </si>
  <si>
    <t>(+) IGV (S/)</t>
  </si>
  <si>
    <t>(=) Total a pagar con IGV (S/)</t>
  </si>
  <si>
    <t>C3. Presupuesto de compras de materiales – Azúcar blanca (kg)</t>
  </si>
  <si>
    <t>C3. Presupuesto de compras de materiales – Frasco de vidrio de 250 g con tapa (unidad)</t>
  </si>
  <si>
    <t>Resumen de compras de materiales del trimestre (S/)</t>
  </si>
  <si>
    <t>IGV de las compras (crédito fiscal)</t>
  </si>
  <si>
    <t>Total a pagar a proveedores</t>
  </si>
  <si>
    <t>1. ¿Por qué el aguaymanto no se divide entre 1.18 y qué consecuencia tiene en el presupuesto de pagos?</t>
  </si>
  <si>
    <t>2. ¿Por qué la producción de cada mes no es igual a las ventas del mes?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</si>
</sst>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###"/>
    <numFmt numFmtId="165" formatCode="&quot;S/&quot;\ #,##0.00"/>
    <numFmt numFmtId="166" formatCode="&quot;S/&quot;\ #,##0.0000"/>
    <numFmt numFmtId="167" formatCode="#,##0.0000"/>
    <numFmt numFmtId="168" formatCode="0.0%"/>
  </numFmts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9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rgb="FFFFFF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5" fillId="3" borderId="1" xfId="0" applyNumberFormat="1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165" fontId="2" fillId="3" borderId="2" xfId="0" applyNumberFormat="1" applyFont="1" applyFill="1" applyBorder="1" applyAlignment="1">
      <alignment vertical="center"/>
    </xf>
    <xf numFmtId="166" fontId="5" fillId="3" borderId="1" xfId="0" applyNumberFormat="1" applyFont="1" applyFill="1" applyBorder="1" applyAlignment="1">
      <alignment vertical="center"/>
    </xf>
    <xf numFmtId="3" fontId="5" fillId="0" borderId="1" xfId="0" applyNumberFormat="1" applyFont="1" applyBorder="1" applyAlignment="1">
      <alignment horizontal="center" vertical="center"/>
    </xf>
    <xf numFmtId="166" fontId="2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167" fontId="5" fillId="3" borderId="1" xfId="0" applyNumberFormat="1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vertical="center"/>
    </xf>
    <xf numFmtId="3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168" fontId="5" fillId="0" borderId="1" xfId="0" applyNumberFormat="1" applyFont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4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0" fillId="0" borderId="1" xfId="0" applyBorder="1"/>
    <xf numFmtId="0" fontId="5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9"/>
  <sheetViews>
    <sheetView showGridLines="0" topLeftCell="A24" workbookViewId="0">
      <selection activeCell="A39" sqref="A39:H39"/>
    </sheetView>
  </sheetViews>
  <sheetFormatPr baseColWidth="10" defaultColWidth="8.88671875" defaultRowHeight="14.4" x14ac:dyDescent="0.3"/>
  <cols>
    <col min="1" max="1" width="6" customWidth="1"/>
    <col min="2" max="2" width="34" customWidth="1"/>
    <col min="3" max="3" width="26" customWidth="1"/>
    <col min="4" max="4" width="13" customWidth="1"/>
    <col min="5" max="5" width="12" customWidth="1"/>
    <col min="6" max="8" width="17" customWidth="1"/>
  </cols>
  <sheetData>
    <row r="1" spans="1:8" ht="25.95" customHeight="1" x14ac:dyDescent="0.3">
      <c r="A1" s="29" t="s">
        <v>1</v>
      </c>
      <c r="B1" s="30"/>
      <c r="C1" s="30"/>
      <c r="D1" s="30"/>
      <c r="E1" s="30"/>
      <c r="F1" s="30"/>
      <c r="G1" s="30"/>
      <c r="H1" s="30"/>
    </row>
    <row r="3" spans="1:8" ht="31.95" customHeight="1" x14ac:dyDescent="0.3">
      <c r="A3" s="35" t="s">
        <v>2</v>
      </c>
      <c r="B3" s="30"/>
      <c r="C3" s="30"/>
      <c r="D3" s="30"/>
      <c r="E3" s="30"/>
      <c r="F3" s="30"/>
      <c r="G3" s="30"/>
      <c r="H3" s="30"/>
    </row>
    <row r="5" spans="1:8" ht="19.95" customHeight="1" x14ac:dyDescent="0.3">
      <c r="A5" s="31" t="s">
        <v>3</v>
      </c>
      <c r="B5" s="32"/>
      <c r="C5" s="32"/>
      <c r="D5" s="32"/>
      <c r="E5" s="32"/>
      <c r="F5" s="32"/>
      <c r="G5" s="32"/>
      <c r="H5" s="32"/>
    </row>
    <row r="6" spans="1:8" ht="34.049999999999997" customHeight="1" x14ac:dyDescent="0.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</row>
    <row r="7" spans="1:8" x14ac:dyDescent="0.3">
      <c r="A7" s="1">
        <v>1</v>
      </c>
      <c r="B7" s="5" t="s">
        <v>12</v>
      </c>
      <c r="C7" s="5" t="s">
        <v>13</v>
      </c>
      <c r="D7" s="6">
        <v>50</v>
      </c>
      <c r="E7" s="1" t="s">
        <v>14</v>
      </c>
      <c r="F7" s="7">
        <v>185</v>
      </c>
      <c r="G7" s="8"/>
      <c r="H7" s="8"/>
    </row>
    <row r="8" spans="1:8" x14ac:dyDescent="0.3">
      <c r="A8" s="1">
        <v>2</v>
      </c>
      <c r="B8" s="5" t="s">
        <v>15</v>
      </c>
      <c r="C8" s="5" t="s">
        <v>13</v>
      </c>
      <c r="D8" s="6">
        <v>50</v>
      </c>
      <c r="E8" s="1" t="s">
        <v>14</v>
      </c>
      <c r="F8" s="7">
        <v>215</v>
      </c>
      <c r="G8" s="8"/>
      <c r="H8" s="8"/>
    </row>
    <row r="9" spans="1:8" x14ac:dyDescent="0.3">
      <c r="A9" s="1">
        <v>3</v>
      </c>
      <c r="B9" s="5" t="s">
        <v>16</v>
      </c>
      <c r="C9" s="5" t="s">
        <v>17</v>
      </c>
      <c r="D9" s="6">
        <v>10</v>
      </c>
      <c r="E9" s="1" t="s">
        <v>14</v>
      </c>
      <c r="F9" s="7">
        <v>115</v>
      </c>
      <c r="G9" s="8"/>
      <c r="H9" s="8"/>
    </row>
    <row r="10" spans="1:8" x14ac:dyDescent="0.3">
      <c r="A10" s="1">
        <v>4</v>
      </c>
      <c r="B10" s="5" t="s">
        <v>18</v>
      </c>
      <c r="C10" s="5" t="s">
        <v>19</v>
      </c>
      <c r="D10" s="6">
        <v>10</v>
      </c>
      <c r="E10" s="1" t="s">
        <v>14</v>
      </c>
      <c r="F10" s="7">
        <v>310</v>
      </c>
      <c r="G10" s="8"/>
      <c r="H10" s="8"/>
    </row>
    <row r="11" spans="1:8" x14ac:dyDescent="0.3">
      <c r="A11" s="1">
        <v>5</v>
      </c>
      <c r="B11" s="5" t="s">
        <v>20</v>
      </c>
      <c r="C11" s="5" t="s">
        <v>13</v>
      </c>
      <c r="D11" s="6">
        <v>50</v>
      </c>
      <c r="E11" s="1" t="s">
        <v>14</v>
      </c>
      <c r="F11" s="7">
        <v>45</v>
      </c>
      <c r="G11" s="8"/>
      <c r="H11" s="8"/>
    </row>
    <row r="12" spans="1:8" x14ac:dyDescent="0.3">
      <c r="A12" s="1">
        <v>6</v>
      </c>
      <c r="B12" s="5" t="s">
        <v>21</v>
      </c>
      <c r="C12" s="5" t="s">
        <v>22</v>
      </c>
      <c r="D12" s="6">
        <v>1</v>
      </c>
      <c r="E12" s="1" t="s">
        <v>14</v>
      </c>
      <c r="F12" s="7">
        <v>28</v>
      </c>
      <c r="G12" s="8"/>
      <c r="H12" s="8"/>
    </row>
    <row r="13" spans="1:8" x14ac:dyDescent="0.3">
      <c r="A13" s="9"/>
      <c r="B13" s="10" t="s">
        <v>23</v>
      </c>
      <c r="C13" s="9"/>
      <c r="D13" s="9"/>
      <c r="E13" s="9"/>
      <c r="F13" s="11">
        <f>SUM(F7:F12)</f>
        <v>898</v>
      </c>
      <c r="G13" s="12"/>
      <c r="H13" s="12"/>
    </row>
    <row r="15" spans="1:8" ht="34.049999999999997" customHeight="1" x14ac:dyDescent="0.3">
      <c r="B15" s="3" t="s">
        <v>5</v>
      </c>
      <c r="C15" s="3" t="s">
        <v>24</v>
      </c>
      <c r="D15" s="3" t="s">
        <v>8</v>
      </c>
    </row>
    <row r="16" spans="1:8" x14ac:dyDescent="0.3">
      <c r="B16" s="5" t="s">
        <v>12</v>
      </c>
      <c r="C16" s="13"/>
      <c r="D16" s="1" t="s">
        <v>25</v>
      </c>
    </row>
    <row r="17" spans="1:8" x14ac:dyDescent="0.3">
      <c r="B17" s="5" t="s">
        <v>15</v>
      </c>
      <c r="C17" s="13"/>
      <c r="D17" s="1" t="s">
        <v>25</v>
      </c>
    </row>
    <row r="18" spans="1:8" x14ac:dyDescent="0.3">
      <c r="B18" s="5" t="s">
        <v>16</v>
      </c>
      <c r="C18" s="13"/>
      <c r="D18" s="1" t="s">
        <v>25</v>
      </c>
    </row>
    <row r="19" spans="1:8" x14ac:dyDescent="0.3">
      <c r="B19" s="5" t="s">
        <v>18</v>
      </c>
      <c r="C19" s="13"/>
      <c r="D19" s="1" t="s">
        <v>25</v>
      </c>
    </row>
    <row r="20" spans="1:8" x14ac:dyDescent="0.3">
      <c r="B20" s="5" t="s">
        <v>20</v>
      </c>
      <c r="C20" s="13"/>
      <c r="D20" s="1" t="s">
        <v>25</v>
      </c>
    </row>
    <row r="21" spans="1:8" x14ac:dyDescent="0.3">
      <c r="B21" s="5" t="s">
        <v>21</v>
      </c>
      <c r="C21" s="13"/>
      <c r="D21" s="1" t="s">
        <v>25</v>
      </c>
    </row>
    <row r="23" spans="1:8" ht="19.95" customHeight="1" x14ac:dyDescent="0.3">
      <c r="A23" s="31" t="s">
        <v>26</v>
      </c>
      <c r="B23" s="32"/>
      <c r="C23" s="32"/>
      <c r="D23" s="32"/>
      <c r="E23" s="32"/>
      <c r="F23" s="32"/>
      <c r="G23" s="32"/>
      <c r="H23" s="32"/>
    </row>
    <row r="24" spans="1:8" ht="34.049999999999997" customHeight="1" x14ac:dyDescent="0.3">
      <c r="B24" s="3" t="s">
        <v>5</v>
      </c>
      <c r="C24" s="3" t="s">
        <v>27</v>
      </c>
      <c r="D24" s="3" t="s">
        <v>8</v>
      </c>
      <c r="E24" s="3" t="s">
        <v>28</v>
      </c>
      <c r="F24" s="3" t="s">
        <v>29</v>
      </c>
    </row>
    <row r="25" spans="1:8" x14ac:dyDescent="0.3">
      <c r="B25" s="5" t="s">
        <v>12</v>
      </c>
      <c r="C25" s="6">
        <v>3</v>
      </c>
      <c r="D25" s="1" t="s">
        <v>14</v>
      </c>
      <c r="E25" s="13"/>
      <c r="F25" s="13"/>
    </row>
    <row r="26" spans="1:8" x14ac:dyDescent="0.3">
      <c r="B26" s="5" t="s">
        <v>15</v>
      </c>
      <c r="C26" s="6">
        <v>0.15</v>
      </c>
      <c r="D26" s="1" t="s">
        <v>14</v>
      </c>
      <c r="E26" s="13"/>
      <c r="F26" s="13"/>
    </row>
    <row r="27" spans="1:8" x14ac:dyDescent="0.3">
      <c r="B27" s="5" t="s">
        <v>16</v>
      </c>
      <c r="C27" s="6">
        <v>0.12</v>
      </c>
      <c r="D27" s="1" t="s">
        <v>14</v>
      </c>
      <c r="E27" s="13"/>
      <c r="F27" s="13"/>
    </row>
    <row r="28" spans="1:8" x14ac:dyDescent="0.3">
      <c r="B28" s="5" t="s">
        <v>18</v>
      </c>
      <c r="C28" s="6">
        <v>0.03</v>
      </c>
      <c r="D28" s="1" t="s">
        <v>14</v>
      </c>
      <c r="E28" s="13"/>
      <c r="F28" s="13"/>
    </row>
    <row r="29" spans="1:8" x14ac:dyDescent="0.3">
      <c r="B29" s="5" t="s">
        <v>20</v>
      </c>
      <c r="C29" s="6">
        <v>0.05</v>
      </c>
      <c r="D29" s="1" t="s">
        <v>14</v>
      </c>
      <c r="E29" s="13"/>
      <c r="F29" s="13"/>
    </row>
    <row r="30" spans="1:8" x14ac:dyDescent="0.3">
      <c r="B30" s="5" t="s">
        <v>21</v>
      </c>
      <c r="C30" s="6">
        <v>0.01</v>
      </c>
      <c r="D30" s="1" t="s">
        <v>14</v>
      </c>
      <c r="E30" s="13"/>
      <c r="F30" s="13"/>
    </row>
    <row r="31" spans="1:8" x14ac:dyDescent="0.3">
      <c r="B31" s="10" t="s">
        <v>30</v>
      </c>
      <c r="C31" s="9"/>
      <c r="D31" s="9"/>
      <c r="E31" s="9"/>
      <c r="F31" s="12"/>
    </row>
    <row r="32" spans="1:8" x14ac:dyDescent="0.3">
      <c r="B32" s="5" t="s">
        <v>31</v>
      </c>
      <c r="F32" s="14">
        <v>100</v>
      </c>
    </row>
    <row r="33" spans="1:8" x14ac:dyDescent="0.3">
      <c r="B33" s="4" t="s">
        <v>32</v>
      </c>
      <c r="F33" s="15"/>
    </row>
    <row r="35" spans="1:8" ht="19.95" customHeight="1" x14ac:dyDescent="0.3">
      <c r="A35" s="31" t="s">
        <v>33</v>
      </c>
      <c r="B35" s="32"/>
      <c r="C35" s="32"/>
      <c r="D35" s="32"/>
      <c r="E35" s="32"/>
      <c r="F35" s="32"/>
      <c r="G35" s="32"/>
      <c r="H35" s="32"/>
    </row>
    <row r="36" spans="1:8" ht="30" customHeight="1" x14ac:dyDescent="0.3">
      <c r="B36" s="2" t="s">
        <v>34</v>
      </c>
      <c r="F36" s="13"/>
    </row>
    <row r="38" spans="1:8" ht="18" customHeight="1" x14ac:dyDescent="0.3">
      <c r="A38" s="36" t="s">
        <v>35</v>
      </c>
      <c r="B38" s="30"/>
      <c r="C38" s="30"/>
      <c r="D38" s="30"/>
      <c r="E38" s="30"/>
      <c r="F38" s="30"/>
      <c r="G38" s="30"/>
      <c r="H38" s="30"/>
    </row>
    <row r="39" spans="1:8" ht="60" customHeight="1" x14ac:dyDescent="0.3">
      <c r="A39" s="33"/>
      <c r="B39" s="34"/>
      <c r="C39" s="34"/>
      <c r="D39" s="34"/>
      <c r="E39" s="34"/>
      <c r="F39" s="34"/>
      <c r="G39" s="34"/>
      <c r="H39" s="34"/>
    </row>
  </sheetData>
  <mergeCells count="7">
    <mergeCell ref="A1:H1"/>
    <mergeCell ref="A5:H5"/>
    <mergeCell ref="A39:H39"/>
    <mergeCell ref="A3:H3"/>
    <mergeCell ref="A38:H38"/>
    <mergeCell ref="A23:H23"/>
    <mergeCell ref="A35:H35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35"/>
  <sheetViews>
    <sheetView showGridLines="0" topLeftCell="C1" workbookViewId="0">
      <selection activeCell="N10" sqref="N10"/>
    </sheetView>
  </sheetViews>
  <sheetFormatPr baseColWidth="10" defaultColWidth="8.88671875" defaultRowHeight="14.4" x14ac:dyDescent="0.3"/>
  <cols>
    <col min="1" max="1" width="5" customWidth="1"/>
    <col min="2" max="2" width="38" customWidth="1"/>
    <col min="3" max="3" width="17" customWidth="1"/>
    <col min="4" max="4" width="11" customWidth="1"/>
    <col min="5" max="5" width="9" customWidth="1"/>
    <col min="6" max="6" width="13" customWidth="1"/>
    <col min="7" max="7" width="19" customWidth="1"/>
    <col min="8" max="8" width="14" customWidth="1"/>
    <col min="9" max="9" width="15" customWidth="1"/>
    <col min="10" max="10" width="12" customWidth="1"/>
    <col min="11" max="11" width="9" customWidth="1"/>
    <col min="12" max="12" width="13" customWidth="1"/>
    <col min="13" max="13" width="12" customWidth="1"/>
    <col min="14" max="15" width="14" customWidth="1"/>
  </cols>
  <sheetData>
    <row r="1" spans="1:15" ht="25.95" customHeight="1" x14ac:dyDescent="0.3">
      <c r="A1" s="29" t="s">
        <v>36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3" spans="1:15" ht="31.95" customHeight="1" x14ac:dyDescent="0.3">
      <c r="A3" s="35" t="s">
        <v>37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15" x14ac:dyDescent="0.3">
      <c r="B4" s="4" t="s">
        <v>38</v>
      </c>
      <c r="C4" s="14">
        <v>1000</v>
      </c>
    </row>
    <row r="6" spans="1:15" ht="19.95" customHeight="1" x14ac:dyDescent="0.3">
      <c r="A6" s="31" t="s">
        <v>39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spans="1:15" ht="46.05" customHeight="1" x14ac:dyDescent="0.3">
      <c r="A7" s="3" t="s">
        <v>4</v>
      </c>
      <c r="B7" s="3" t="s">
        <v>40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41</v>
      </c>
      <c r="H7" s="3" t="s">
        <v>42</v>
      </c>
      <c r="I7" s="3" t="s">
        <v>28</v>
      </c>
      <c r="J7" s="3" t="s">
        <v>43</v>
      </c>
      <c r="K7" s="3" t="s">
        <v>44</v>
      </c>
      <c r="L7" s="3" t="s">
        <v>45</v>
      </c>
      <c r="M7" s="3" t="s">
        <v>46</v>
      </c>
      <c r="N7" s="3" t="s">
        <v>47</v>
      </c>
      <c r="O7" s="3" t="s">
        <v>48</v>
      </c>
    </row>
    <row r="8" spans="1:15" ht="28.05" customHeight="1" x14ac:dyDescent="0.3">
      <c r="A8" s="1">
        <v>1</v>
      </c>
      <c r="B8" s="2" t="s">
        <v>49</v>
      </c>
      <c r="C8" s="2" t="s">
        <v>50</v>
      </c>
      <c r="D8" s="6">
        <v>25</v>
      </c>
      <c r="E8" s="1" t="s">
        <v>14</v>
      </c>
      <c r="F8" s="7">
        <v>725</v>
      </c>
      <c r="G8" s="16"/>
      <c r="H8" s="8"/>
      <c r="I8" s="13"/>
      <c r="J8" s="6">
        <v>0.2</v>
      </c>
      <c r="K8" s="17">
        <v>0.08</v>
      </c>
      <c r="L8" s="18"/>
      <c r="M8" s="19"/>
      <c r="N8" s="13"/>
      <c r="O8" s="8"/>
    </row>
    <row r="9" spans="1:15" ht="28.05" customHeight="1" x14ac:dyDescent="0.3">
      <c r="A9" s="1">
        <v>2</v>
      </c>
      <c r="B9" s="2" t="s">
        <v>51</v>
      </c>
      <c r="C9" s="2" t="s">
        <v>52</v>
      </c>
      <c r="D9" s="6">
        <v>5</v>
      </c>
      <c r="E9" s="1" t="s">
        <v>14</v>
      </c>
      <c r="F9" s="7">
        <v>175</v>
      </c>
      <c r="G9" s="16"/>
      <c r="H9" s="8"/>
      <c r="I9" s="13"/>
      <c r="J9" s="6">
        <v>1.2E-2</v>
      </c>
      <c r="K9" s="17">
        <v>0.05</v>
      </c>
      <c r="L9" s="18"/>
      <c r="M9" s="19"/>
      <c r="N9" s="13"/>
      <c r="O9" s="8"/>
    </row>
    <row r="10" spans="1:15" ht="28.05" customHeight="1" x14ac:dyDescent="0.3">
      <c r="A10" s="1">
        <v>3</v>
      </c>
      <c r="B10" s="2" t="s">
        <v>53</v>
      </c>
      <c r="C10" s="2" t="s">
        <v>54</v>
      </c>
      <c r="D10" s="6">
        <v>100</v>
      </c>
      <c r="E10" s="1" t="s">
        <v>55</v>
      </c>
      <c r="F10" s="7">
        <v>150</v>
      </c>
      <c r="G10" s="16"/>
      <c r="H10" s="8"/>
      <c r="I10" s="13"/>
      <c r="J10" s="6">
        <v>1</v>
      </c>
      <c r="K10" s="17">
        <v>0.03</v>
      </c>
      <c r="L10" s="18"/>
      <c r="M10" s="19"/>
      <c r="N10" s="13"/>
      <c r="O10" s="8"/>
    </row>
    <row r="11" spans="1:15" ht="28.05" customHeight="1" x14ac:dyDescent="0.3">
      <c r="A11" s="1">
        <v>4</v>
      </c>
      <c r="B11" s="2" t="s">
        <v>56</v>
      </c>
      <c r="C11" s="2" t="s">
        <v>57</v>
      </c>
      <c r="D11" s="6">
        <v>1000</v>
      </c>
      <c r="E11" s="1" t="s">
        <v>55</v>
      </c>
      <c r="F11" s="7">
        <v>180</v>
      </c>
      <c r="G11" s="16"/>
      <c r="H11" s="8"/>
      <c r="I11" s="13"/>
      <c r="J11" s="6">
        <v>1</v>
      </c>
      <c r="K11" s="17">
        <v>0.02</v>
      </c>
      <c r="L11" s="18"/>
      <c r="M11" s="19"/>
      <c r="N11" s="13"/>
      <c r="O11" s="8"/>
    </row>
    <row r="12" spans="1:15" ht="28.05" customHeight="1" x14ac:dyDescent="0.3">
      <c r="A12" s="1">
        <v>5</v>
      </c>
      <c r="B12" s="2" t="s">
        <v>58</v>
      </c>
      <c r="C12" s="2" t="s">
        <v>57</v>
      </c>
      <c r="D12" s="6">
        <v>1000</v>
      </c>
      <c r="E12" s="1" t="s">
        <v>55</v>
      </c>
      <c r="F12" s="7">
        <v>60</v>
      </c>
      <c r="G12" s="16"/>
      <c r="H12" s="8"/>
      <c r="I12" s="13"/>
      <c r="J12" s="6">
        <v>1</v>
      </c>
      <c r="K12" s="17">
        <v>0.02</v>
      </c>
      <c r="L12" s="18"/>
      <c r="M12" s="19"/>
      <c r="N12" s="13"/>
      <c r="O12" s="8"/>
    </row>
    <row r="13" spans="1:15" ht="28.05" customHeight="1" x14ac:dyDescent="0.3">
      <c r="A13" s="1">
        <v>6</v>
      </c>
      <c r="B13" s="2" t="s">
        <v>59</v>
      </c>
      <c r="C13" s="2" t="s">
        <v>57</v>
      </c>
      <c r="D13" s="6">
        <v>1000</v>
      </c>
      <c r="E13" s="1" t="s">
        <v>55</v>
      </c>
      <c r="F13" s="7">
        <v>140</v>
      </c>
      <c r="G13" s="16"/>
      <c r="H13" s="8"/>
      <c r="I13" s="13"/>
      <c r="J13" s="6">
        <v>1</v>
      </c>
      <c r="K13" s="17">
        <v>0</v>
      </c>
      <c r="L13" s="18"/>
      <c r="M13" s="19"/>
      <c r="N13" s="13"/>
      <c r="O13" s="8"/>
    </row>
    <row r="14" spans="1:15" ht="28.05" customHeight="1" x14ac:dyDescent="0.3">
      <c r="A14" s="1">
        <v>7</v>
      </c>
      <c r="B14" s="2" t="s">
        <v>60</v>
      </c>
      <c r="C14" s="2" t="s">
        <v>61</v>
      </c>
      <c r="D14" s="6">
        <v>1</v>
      </c>
      <c r="E14" s="1" t="s">
        <v>62</v>
      </c>
      <c r="F14" s="7">
        <v>9.5</v>
      </c>
      <c r="G14" s="16"/>
      <c r="H14" s="8"/>
      <c r="I14" s="13"/>
      <c r="J14" s="1" t="s">
        <v>63</v>
      </c>
      <c r="K14" s="1" t="s">
        <v>63</v>
      </c>
      <c r="L14" s="1" t="s">
        <v>63</v>
      </c>
      <c r="M14" s="14">
        <v>52</v>
      </c>
      <c r="N14" s="1" t="s">
        <v>63</v>
      </c>
      <c r="O14" s="8"/>
    </row>
    <row r="15" spans="1:15" ht="28.05" customHeight="1" x14ac:dyDescent="0.3">
      <c r="A15" s="1">
        <v>8</v>
      </c>
      <c r="B15" s="2" t="s">
        <v>64</v>
      </c>
      <c r="C15" s="2" t="s">
        <v>65</v>
      </c>
      <c r="D15" s="6">
        <v>1</v>
      </c>
      <c r="E15" s="1" t="s">
        <v>66</v>
      </c>
      <c r="F15" s="7">
        <v>45</v>
      </c>
      <c r="G15" s="16"/>
      <c r="H15" s="8"/>
      <c r="I15" s="13"/>
      <c r="J15" s="1" t="s">
        <v>63</v>
      </c>
      <c r="K15" s="1" t="s">
        <v>63</v>
      </c>
      <c r="L15" s="1" t="s">
        <v>63</v>
      </c>
      <c r="M15" s="14">
        <v>1</v>
      </c>
      <c r="N15" s="1" t="s">
        <v>63</v>
      </c>
      <c r="O15" s="8"/>
    </row>
    <row r="16" spans="1:15" ht="28.05" customHeight="1" x14ac:dyDescent="0.3">
      <c r="A16" s="1">
        <v>9</v>
      </c>
      <c r="B16" s="2" t="s">
        <v>67</v>
      </c>
      <c r="C16" s="2" t="s">
        <v>68</v>
      </c>
      <c r="D16" s="6">
        <v>1</v>
      </c>
      <c r="E16" s="1" t="s">
        <v>69</v>
      </c>
      <c r="F16" s="7">
        <v>38</v>
      </c>
      <c r="G16" s="16"/>
      <c r="H16" s="8"/>
      <c r="I16" s="13"/>
      <c r="J16" s="1" t="s">
        <v>63</v>
      </c>
      <c r="K16" s="1" t="s">
        <v>63</v>
      </c>
      <c r="L16" s="1" t="s">
        <v>63</v>
      </c>
      <c r="M16" s="14">
        <v>1</v>
      </c>
      <c r="N16" s="1" t="s">
        <v>63</v>
      </c>
      <c r="O16" s="8"/>
    </row>
    <row r="17" spans="1:15" ht="28.05" customHeight="1" x14ac:dyDescent="0.3">
      <c r="A17" s="1">
        <v>10</v>
      </c>
      <c r="B17" s="2" t="s">
        <v>70</v>
      </c>
      <c r="C17" s="2" t="s">
        <v>71</v>
      </c>
      <c r="D17" s="6">
        <v>1</v>
      </c>
      <c r="E17" s="1" t="s">
        <v>72</v>
      </c>
      <c r="F17" s="7">
        <v>25</v>
      </c>
      <c r="G17" s="16"/>
      <c r="H17" s="8"/>
      <c r="I17" s="13"/>
      <c r="J17" s="1" t="s">
        <v>63</v>
      </c>
      <c r="K17" s="1" t="s">
        <v>63</v>
      </c>
      <c r="L17" s="1" t="s">
        <v>63</v>
      </c>
      <c r="M17" s="14">
        <v>2</v>
      </c>
      <c r="N17" s="1" t="s">
        <v>63</v>
      </c>
      <c r="O17" s="8"/>
    </row>
    <row r="18" spans="1:15" ht="28.05" customHeight="1" x14ac:dyDescent="0.3">
      <c r="A18" s="1">
        <v>11</v>
      </c>
      <c r="B18" s="2" t="s">
        <v>73</v>
      </c>
      <c r="C18" s="2" t="s">
        <v>71</v>
      </c>
      <c r="D18" s="6">
        <v>1</v>
      </c>
      <c r="E18" s="1" t="s">
        <v>72</v>
      </c>
      <c r="F18" s="7">
        <v>60</v>
      </c>
      <c r="G18" s="16"/>
      <c r="H18" s="8"/>
      <c r="I18" s="13"/>
      <c r="J18" s="1" t="s">
        <v>63</v>
      </c>
      <c r="K18" s="1" t="s">
        <v>63</v>
      </c>
      <c r="L18" s="1" t="s">
        <v>63</v>
      </c>
      <c r="M18" s="14">
        <v>1</v>
      </c>
      <c r="N18" s="1" t="s">
        <v>63</v>
      </c>
      <c r="O18" s="8"/>
    </row>
    <row r="19" spans="1:15" ht="28.05" customHeight="1" x14ac:dyDescent="0.3">
      <c r="A19" s="1">
        <v>12</v>
      </c>
      <c r="B19" s="2" t="s">
        <v>74</v>
      </c>
      <c r="C19" s="2" t="s">
        <v>57</v>
      </c>
      <c r="D19" s="6">
        <v>1000</v>
      </c>
      <c r="E19" s="1" t="s">
        <v>55</v>
      </c>
      <c r="F19" s="7">
        <v>120</v>
      </c>
      <c r="G19" s="16"/>
      <c r="H19" s="8"/>
      <c r="I19" s="13"/>
      <c r="J19" s="1" t="s">
        <v>63</v>
      </c>
      <c r="K19" s="1" t="s">
        <v>63</v>
      </c>
      <c r="L19" s="1" t="s">
        <v>63</v>
      </c>
      <c r="M19" s="14">
        <v>800</v>
      </c>
      <c r="N19" s="1" t="s">
        <v>63</v>
      </c>
      <c r="O19" s="8"/>
    </row>
    <row r="21" spans="1:15" ht="19.95" customHeight="1" x14ac:dyDescent="0.3">
      <c r="A21" s="31" t="s">
        <v>75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</row>
    <row r="22" spans="1:15" ht="22.05" customHeight="1" x14ac:dyDescent="0.3">
      <c r="B22" s="3" t="s">
        <v>76</v>
      </c>
      <c r="C22" s="3" t="s">
        <v>77</v>
      </c>
      <c r="D22" s="38" t="s">
        <v>78</v>
      </c>
      <c r="E22" s="39"/>
      <c r="F22" s="39"/>
      <c r="G22" s="39"/>
      <c r="H22" s="40"/>
    </row>
    <row r="23" spans="1:15" x14ac:dyDescent="0.3">
      <c r="B23" s="4" t="s">
        <v>79</v>
      </c>
      <c r="C23" s="15"/>
      <c r="D23" s="37" t="s">
        <v>80</v>
      </c>
      <c r="E23" s="32"/>
      <c r="F23" s="32"/>
      <c r="G23" s="32"/>
      <c r="H23" s="32"/>
    </row>
    <row r="24" spans="1:15" x14ac:dyDescent="0.3">
      <c r="B24" s="4" t="s">
        <v>81</v>
      </c>
      <c r="C24" s="20"/>
      <c r="D24" s="37" t="s">
        <v>82</v>
      </c>
      <c r="E24" s="32"/>
      <c r="F24" s="32"/>
      <c r="G24" s="32"/>
      <c r="H24" s="32"/>
    </row>
    <row r="25" spans="1:15" x14ac:dyDescent="0.3">
      <c r="B25" s="4" t="s">
        <v>83</v>
      </c>
      <c r="C25" s="20"/>
      <c r="D25" s="37" t="s">
        <v>84</v>
      </c>
      <c r="E25" s="32"/>
      <c r="F25" s="32"/>
      <c r="G25" s="32"/>
      <c r="H25" s="32"/>
    </row>
    <row r="26" spans="1:15" x14ac:dyDescent="0.3">
      <c r="B26" s="4" t="s">
        <v>85</v>
      </c>
      <c r="C26" s="20"/>
      <c r="D26" s="37" t="s">
        <v>86</v>
      </c>
      <c r="E26" s="32"/>
      <c r="F26" s="32"/>
      <c r="G26" s="32"/>
      <c r="H26" s="32"/>
    </row>
    <row r="28" spans="1:15" ht="18" customHeight="1" x14ac:dyDescent="0.3">
      <c r="A28" s="36" t="s">
        <v>87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</row>
    <row r="29" spans="1:15" ht="49.95" customHeight="1" x14ac:dyDescent="0.3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</row>
    <row r="31" spans="1:15" ht="18" customHeight="1" x14ac:dyDescent="0.3">
      <c r="A31" s="36" t="s">
        <v>88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</row>
    <row r="32" spans="1:15" ht="49.95" customHeight="1" x14ac:dyDescent="0.3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</row>
    <row r="34" spans="1:15" ht="18" customHeight="1" x14ac:dyDescent="0.3">
      <c r="A34" s="36" t="s">
        <v>89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</row>
    <row r="35" spans="1:15" ht="49.95" customHeight="1" x14ac:dyDescent="0.3">
      <c r="A35" s="33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</row>
  </sheetData>
  <mergeCells count="15">
    <mergeCell ref="A35:O35"/>
    <mergeCell ref="A1:O1"/>
    <mergeCell ref="D26:H26"/>
    <mergeCell ref="D22:H22"/>
    <mergeCell ref="A31:O31"/>
    <mergeCell ref="A21:O21"/>
    <mergeCell ref="A3:O3"/>
    <mergeCell ref="A29:O29"/>
    <mergeCell ref="D25:H25"/>
    <mergeCell ref="A28:O28"/>
    <mergeCell ref="A6:O6"/>
    <mergeCell ref="A34:O34"/>
    <mergeCell ref="D24:H24"/>
    <mergeCell ref="D23:H23"/>
    <mergeCell ref="A32:O32"/>
  </mergeCells>
  <dataValidations count="1">
    <dataValidation type="list" allowBlank="1" sqref="G8 G9 G10 G11 G12 G13 G14 G15 G16 G17 G18 G19" xr:uid="{00000000-0002-0000-0200-000000000000}">
      <formula1>"MPD,MPI,No es materia prima"</formula1>
    </dataValidation>
  </dataValidation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3"/>
  <sheetViews>
    <sheetView showGridLines="0" topLeftCell="A13" workbookViewId="0">
      <selection activeCell="A23" sqref="A23:E23"/>
    </sheetView>
  </sheetViews>
  <sheetFormatPr baseColWidth="10" defaultColWidth="8.88671875" defaultRowHeight="14.4" x14ac:dyDescent="0.3"/>
  <cols>
    <col min="1" max="1" width="5" customWidth="1"/>
    <col min="2" max="2" width="52" customWidth="1"/>
    <col min="3" max="3" width="16" customWidth="1"/>
    <col min="4" max="4" width="22" customWidth="1"/>
    <col min="5" max="5" width="62" customWidth="1"/>
  </cols>
  <sheetData>
    <row r="1" spans="1:5" ht="25.95" customHeight="1" x14ac:dyDescent="0.3">
      <c r="A1" s="29" t="s">
        <v>90</v>
      </c>
      <c r="B1" s="30"/>
      <c r="C1" s="30"/>
      <c r="D1" s="30"/>
      <c r="E1" s="30"/>
    </row>
    <row r="3" spans="1:5" ht="31.95" customHeight="1" x14ac:dyDescent="0.3">
      <c r="A3" s="35" t="s">
        <v>91</v>
      </c>
      <c r="B3" s="30"/>
      <c r="C3" s="30"/>
      <c r="D3" s="30"/>
      <c r="E3" s="30"/>
    </row>
    <row r="5" spans="1:5" ht="19.95" customHeight="1" x14ac:dyDescent="0.3">
      <c r="A5" s="31" t="s">
        <v>92</v>
      </c>
      <c r="B5" s="32"/>
      <c r="C5" s="32"/>
      <c r="D5" s="32"/>
      <c r="E5" s="32"/>
    </row>
    <row r="6" spans="1:5" ht="30" customHeight="1" x14ac:dyDescent="0.3">
      <c r="A6" s="3" t="s">
        <v>4</v>
      </c>
      <c r="B6" s="3" t="s">
        <v>93</v>
      </c>
      <c r="C6" s="3" t="s">
        <v>94</v>
      </c>
      <c r="D6" s="3" t="s">
        <v>95</v>
      </c>
      <c r="E6" s="3" t="s">
        <v>96</v>
      </c>
    </row>
    <row r="7" spans="1:5" ht="24" customHeight="1" x14ac:dyDescent="0.3">
      <c r="A7" s="1">
        <v>1</v>
      </c>
      <c r="B7" s="5" t="s">
        <v>97</v>
      </c>
      <c r="C7" s="21"/>
      <c r="D7" s="22"/>
      <c r="E7" s="23"/>
    </row>
    <row r="8" spans="1:5" ht="24" customHeight="1" x14ac:dyDescent="0.3">
      <c r="A8" s="1">
        <v>2</v>
      </c>
      <c r="B8" s="5" t="s">
        <v>98</v>
      </c>
      <c r="C8" s="21"/>
      <c r="D8" s="22"/>
      <c r="E8" s="23"/>
    </row>
    <row r="9" spans="1:5" ht="24" customHeight="1" x14ac:dyDescent="0.3">
      <c r="A9" s="1">
        <v>3</v>
      </c>
      <c r="B9" s="5" t="s">
        <v>99</v>
      </c>
      <c r="C9" s="21"/>
      <c r="D9" s="22"/>
      <c r="E9" s="23"/>
    </row>
    <row r="10" spans="1:5" ht="24" customHeight="1" x14ac:dyDescent="0.3">
      <c r="A10" s="1">
        <v>4</v>
      </c>
      <c r="B10" s="5" t="s">
        <v>100</v>
      </c>
      <c r="C10" s="21"/>
      <c r="D10" s="22"/>
      <c r="E10" s="23"/>
    </row>
    <row r="11" spans="1:5" ht="24" customHeight="1" x14ac:dyDescent="0.3">
      <c r="A11" s="1">
        <v>5</v>
      </c>
      <c r="B11" s="5" t="s">
        <v>101</v>
      </c>
      <c r="C11" s="21"/>
      <c r="D11" s="22"/>
      <c r="E11" s="23"/>
    </row>
    <row r="12" spans="1:5" ht="24" customHeight="1" x14ac:dyDescent="0.3">
      <c r="A12" s="1">
        <v>6</v>
      </c>
      <c r="B12" s="5" t="s">
        <v>102</v>
      </c>
      <c r="C12" s="21"/>
      <c r="D12" s="22"/>
      <c r="E12" s="23"/>
    </row>
    <row r="13" spans="1:5" ht="24" customHeight="1" x14ac:dyDescent="0.3">
      <c r="A13" s="1">
        <v>7</v>
      </c>
      <c r="B13" s="5" t="s">
        <v>103</v>
      </c>
      <c r="C13" s="21"/>
      <c r="D13" s="22"/>
      <c r="E13" s="23"/>
    </row>
    <row r="14" spans="1:5" ht="24" customHeight="1" x14ac:dyDescent="0.3">
      <c r="A14" s="1">
        <v>8</v>
      </c>
      <c r="B14" s="5" t="s">
        <v>104</v>
      </c>
      <c r="C14" s="21"/>
      <c r="D14" s="22"/>
      <c r="E14" s="23"/>
    </row>
    <row r="15" spans="1:5" ht="24" customHeight="1" x14ac:dyDescent="0.3">
      <c r="A15" s="1">
        <v>9</v>
      </c>
      <c r="B15" s="5" t="s">
        <v>105</v>
      </c>
      <c r="C15" s="21"/>
      <c r="D15" s="22"/>
      <c r="E15" s="23"/>
    </row>
    <row r="16" spans="1:5" ht="24" customHeight="1" x14ac:dyDescent="0.3">
      <c r="A16" s="1">
        <v>10</v>
      </c>
      <c r="B16" s="5" t="s">
        <v>106</v>
      </c>
      <c r="C16" s="21"/>
      <c r="D16" s="22"/>
      <c r="E16" s="23"/>
    </row>
    <row r="17" spans="1:5" ht="24" customHeight="1" x14ac:dyDescent="0.3">
      <c r="A17" s="1">
        <v>11</v>
      </c>
      <c r="B17" s="5" t="s">
        <v>107</v>
      </c>
      <c r="C17" s="21"/>
      <c r="D17" s="22"/>
      <c r="E17" s="23"/>
    </row>
    <row r="18" spans="1:5" ht="24" customHeight="1" x14ac:dyDescent="0.3">
      <c r="A18" s="1">
        <v>12</v>
      </c>
      <c r="B18" s="5" t="s">
        <v>108</v>
      </c>
      <c r="C18" s="21"/>
      <c r="D18" s="22"/>
      <c r="E18" s="23"/>
    </row>
    <row r="19" spans="1:5" ht="24" customHeight="1" x14ac:dyDescent="0.3">
      <c r="A19" s="1">
        <v>13</v>
      </c>
      <c r="B19" s="5" t="s">
        <v>109</v>
      </c>
      <c r="C19" s="21"/>
      <c r="D19" s="22"/>
      <c r="E19" s="23"/>
    </row>
    <row r="20" spans="1:5" ht="24" customHeight="1" x14ac:dyDescent="0.3">
      <c r="A20" s="1">
        <v>14</v>
      </c>
      <c r="B20" s="5" t="s">
        <v>110</v>
      </c>
      <c r="C20" s="21"/>
      <c r="D20" s="22"/>
      <c r="E20" s="23"/>
    </row>
    <row r="22" spans="1:5" ht="18" customHeight="1" x14ac:dyDescent="0.3">
      <c r="A22" s="36" t="s">
        <v>111</v>
      </c>
      <c r="B22" s="30"/>
      <c r="C22" s="30"/>
      <c r="D22" s="30"/>
      <c r="E22" s="30"/>
    </row>
    <row r="23" spans="1:5" ht="48" customHeight="1" x14ac:dyDescent="0.3">
      <c r="A23" s="33"/>
      <c r="B23" s="34"/>
      <c r="C23" s="34"/>
      <c r="D23" s="34"/>
      <c r="E23" s="34"/>
    </row>
  </sheetData>
  <mergeCells count="5">
    <mergeCell ref="A3:E3"/>
    <mergeCell ref="A23:E23"/>
    <mergeCell ref="A1:E1"/>
    <mergeCell ref="A22:E22"/>
    <mergeCell ref="A5:E5"/>
  </mergeCells>
  <dataValidations count="1">
    <dataValidation type="list" allowBlank="1" sqref="D7 D8 D9 D10 D11 D12 D13 D14 D15 D16 D17 D18 D19 D20" xr:uid="{00000000-0002-0000-0300-000000000000}">
      <formula1>"Operativo,Financiero,Estado financiero"</formula1>
    </dataValidation>
  </dataValidation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85"/>
  <sheetViews>
    <sheetView showGridLines="0" tabSelected="1" workbookViewId="0">
      <selection activeCell="E9" sqref="E9"/>
    </sheetView>
  </sheetViews>
  <sheetFormatPr baseColWidth="10" defaultColWidth="8.88671875" defaultRowHeight="14.4" x14ac:dyDescent="0.3"/>
  <cols>
    <col min="1" max="1" width="5" customWidth="1"/>
    <col min="2" max="2" width="46" customWidth="1"/>
    <col min="3" max="7" width="15" customWidth="1"/>
    <col min="8" max="8" width="18" customWidth="1"/>
  </cols>
  <sheetData>
    <row r="1" spans="1:8" ht="25.95" customHeight="1" x14ac:dyDescent="0.3">
      <c r="A1" s="29" t="s">
        <v>112</v>
      </c>
      <c r="B1" s="30"/>
      <c r="C1" s="30"/>
      <c r="D1" s="30"/>
      <c r="E1" s="30"/>
      <c r="F1" s="30"/>
      <c r="G1" s="30"/>
      <c r="H1" s="30"/>
    </row>
    <row r="3" spans="1:8" ht="31.95" customHeight="1" x14ac:dyDescent="0.3">
      <c r="A3" s="35" t="s">
        <v>113</v>
      </c>
      <c r="B3" s="30"/>
      <c r="C3" s="30"/>
      <c r="D3" s="30"/>
      <c r="E3" s="30"/>
      <c r="F3" s="30"/>
      <c r="G3" s="30"/>
      <c r="H3" s="30"/>
    </row>
    <row r="5" spans="1:8" ht="19.95" customHeight="1" x14ac:dyDescent="0.3">
      <c r="A5" s="31" t="s">
        <v>114</v>
      </c>
      <c r="B5" s="32"/>
      <c r="C5" s="32"/>
      <c r="D5" s="32"/>
      <c r="E5" s="32"/>
      <c r="F5" s="32"/>
      <c r="G5" s="32"/>
      <c r="H5" s="32"/>
    </row>
    <row r="6" spans="1:8" x14ac:dyDescent="0.3">
      <c r="B6" s="5" t="s">
        <v>115</v>
      </c>
      <c r="C6" s="14">
        <v>300</v>
      </c>
    </row>
    <row r="7" spans="1:8" x14ac:dyDescent="0.3">
      <c r="B7" s="5" t="s">
        <v>116</v>
      </c>
      <c r="C7" s="17">
        <v>0.15</v>
      </c>
    </row>
    <row r="8" spans="1:8" x14ac:dyDescent="0.3">
      <c r="B8" s="5" t="s">
        <v>117</v>
      </c>
      <c r="C8" s="17">
        <v>0.1</v>
      </c>
    </row>
    <row r="9" spans="1:8" x14ac:dyDescent="0.3">
      <c r="B9" s="5" t="s">
        <v>118</v>
      </c>
      <c r="C9" s="24">
        <v>0.18</v>
      </c>
    </row>
    <row r="11" spans="1:8" ht="30" customHeight="1" x14ac:dyDescent="0.3">
      <c r="B11" s="3" t="s">
        <v>40</v>
      </c>
      <c r="C11" s="3" t="s">
        <v>119</v>
      </c>
      <c r="D11" s="3" t="s">
        <v>7</v>
      </c>
      <c r="E11" s="3" t="s">
        <v>8</v>
      </c>
      <c r="F11" s="3" t="s">
        <v>120</v>
      </c>
      <c r="G11" s="3" t="s">
        <v>121</v>
      </c>
      <c r="H11" s="3" t="s">
        <v>122</v>
      </c>
    </row>
    <row r="12" spans="1:8" x14ac:dyDescent="0.3">
      <c r="B12" s="5" t="s">
        <v>123</v>
      </c>
      <c r="C12" s="1" t="s">
        <v>124</v>
      </c>
      <c r="D12" s="6">
        <v>10</v>
      </c>
      <c r="E12" s="1" t="s">
        <v>14</v>
      </c>
      <c r="F12" s="7">
        <v>75</v>
      </c>
      <c r="G12" s="1" t="s">
        <v>125</v>
      </c>
      <c r="H12" s="6">
        <v>0.22</v>
      </c>
    </row>
    <row r="13" spans="1:8" x14ac:dyDescent="0.3">
      <c r="B13" s="5" t="s">
        <v>15</v>
      </c>
      <c r="C13" s="1" t="s">
        <v>13</v>
      </c>
      <c r="D13" s="6">
        <v>50</v>
      </c>
      <c r="E13" s="1" t="s">
        <v>14</v>
      </c>
      <c r="F13" s="7">
        <v>215</v>
      </c>
      <c r="G13" s="1" t="s">
        <v>126</v>
      </c>
      <c r="H13" s="6">
        <v>0.11</v>
      </c>
    </row>
    <row r="14" spans="1:8" x14ac:dyDescent="0.3">
      <c r="B14" s="5" t="s">
        <v>127</v>
      </c>
      <c r="C14" s="1" t="s">
        <v>128</v>
      </c>
      <c r="D14" s="6">
        <v>48</v>
      </c>
      <c r="E14" s="1" t="s">
        <v>55</v>
      </c>
      <c r="F14" s="7">
        <v>69.599999999999994</v>
      </c>
      <c r="G14" s="1" t="s">
        <v>126</v>
      </c>
      <c r="H14" s="6">
        <v>1</v>
      </c>
    </row>
    <row r="16" spans="1:8" ht="30" customHeight="1" x14ac:dyDescent="0.3">
      <c r="B16" s="3" t="s">
        <v>40</v>
      </c>
      <c r="C16" s="3" t="s">
        <v>129</v>
      </c>
      <c r="D16" s="3" t="s">
        <v>24</v>
      </c>
    </row>
    <row r="17" spans="1:8" x14ac:dyDescent="0.3">
      <c r="B17" s="5" t="s">
        <v>123</v>
      </c>
      <c r="C17" s="14">
        <v>40</v>
      </c>
      <c r="D17" s="13"/>
    </row>
    <row r="18" spans="1:8" x14ac:dyDescent="0.3">
      <c r="B18" s="5" t="s">
        <v>15</v>
      </c>
      <c r="C18" s="14">
        <v>50</v>
      </c>
      <c r="D18" s="13"/>
    </row>
    <row r="19" spans="1:8" x14ac:dyDescent="0.3">
      <c r="B19" s="5" t="s">
        <v>127</v>
      </c>
      <c r="C19" s="14">
        <v>250</v>
      </c>
      <c r="D19" s="13"/>
    </row>
    <row r="21" spans="1:8" ht="19.95" customHeight="1" x14ac:dyDescent="0.3">
      <c r="A21" s="31" t="s">
        <v>130</v>
      </c>
      <c r="B21" s="32"/>
      <c r="C21" s="32"/>
      <c r="D21" s="32"/>
      <c r="E21" s="32"/>
      <c r="F21" s="32"/>
      <c r="G21" s="32"/>
      <c r="H21" s="32"/>
    </row>
    <row r="22" spans="1:8" ht="22.05" customHeight="1" x14ac:dyDescent="0.3">
      <c r="B22" s="3" t="s">
        <v>76</v>
      </c>
      <c r="C22" s="3" t="s">
        <v>131</v>
      </c>
      <c r="D22" s="3" t="s">
        <v>132</v>
      </c>
      <c r="E22" s="3" t="s">
        <v>133</v>
      </c>
      <c r="F22" s="3" t="s">
        <v>134</v>
      </c>
      <c r="G22" s="3" t="s">
        <v>135</v>
      </c>
      <c r="H22" s="3" t="s">
        <v>136</v>
      </c>
    </row>
    <row r="23" spans="1:8" x14ac:dyDescent="0.3">
      <c r="B23" s="5" t="s">
        <v>137</v>
      </c>
      <c r="C23" s="14">
        <v>2000</v>
      </c>
      <c r="D23" s="14">
        <v>2400</v>
      </c>
      <c r="E23" s="14">
        <v>2600</v>
      </c>
      <c r="F23" s="14">
        <v>2800</v>
      </c>
      <c r="G23" s="14">
        <v>3000</v>
      </c>
      <c r="H23" s="25"/>
    </row>
    <row r="25" spans="1:8" ht="19.95" customHeight="1" x14ac:dyDescent="0.3">
      <c r="A25" s="31" t="s">
        <v>138</v>
      </c>
      <c r="B25" s="32"/>
      <c r="C25" s="32"/>
      <c r="D25" s="32"/>
      <c r="E25" s="32"/>
      <c r="F25" s="32"/>
      <c r="G25" s="32"/>
      <c r="H25" s="32"/>
    </row>
    <row r="26" spans="1:8" ht="22.05" customHeight="1" x14ac:dyDescent="0.3">
      <c r="B26" s="3" t="s">
        <v>76</v>
      </c>
      <c r="C26" s="3" t="s">
        <v>131</v>
      </c>
      <c r="D26" s="3" t="s">
        <v>132</v>
      </c>
      <c r="E26" s="3" t="s">
        <v>133</v>
      </c>
      <c r="F26" s="3" t="s">
        <v>134</v>
      </c>
      <c r="G26" s="3"/>
      <c r="H26" s="3" t="s">
        <v>136</v>
      </c>
    </row>
    <row r="27" spans="1:8" x14ac:dyDescent="0.3">
      <c r="B27" s="5" t="s">
        <v>139</v>
      </c>
      <c r="C27" s="21"/>
      <c r="D27" s="21"/>
      <c r="E27" s="21"/>
      <c r="F27" s="21"/>
      <c r="G27" s="5"/>
      <c r="H27" s="25"/>
    </row>
    <row r="28" spans="1:8" x14ac:dyDescent="0.3">
      <c r="B28" s="5" t="s">
        <v>140</v>
      </c>
      <c r="C28" s="21"/>
      <c r="D28" s="21"/>
      <c r="E28" s="21"/>
      <c r="F28" s="21"/>
      <c r="G28" s="5"/>
      <c r="H28" s="25"/>
    </row>
    <row r="29" spans="1:8" x14ac:dyDescent="0.3">
      <c r="B29" s="4" t="s">
        <v>141</v>
      </c>
      <c r="C29" s="25"/>
      <c r="D29" s="25"/>
      <c r="E29" s="25"/>
      <c r="F29" s="25"/>
      <c r="G29" s="5"/>
      <c r="H29" s="25"/>
    </row>
    <row r="30" spans="1:8" x14ac:dyDescent="0.3">
      <c r="B30" s="5" t="s">
        <v>142</v>
      </c>
      <c r="C30" s="21"/>
      <c r="D30" s="21"/>
      <c r="E30" s="21"/>
      <c r="F30" s="21"/>
      <c r="G30" s="5"/>
      <c r="H30" s="25"/>
    </row>
    <row r="31" spans="1:8" x14ac:dyDescent="0.3">
      <c r="B31" s="4" t="s">
        <v>143</v>
      </c>
      <c r="C31" s="25"/>
      <c r="D31" s="25"/>
      <c r="E31" s="25"/>
      <c r="F31" s="25"/>
      <c r="G31" s="5"/>
      <c r="H31" s="25"/>
    </row>
    <row r="32" spans="1:8" x14ac:dyDescent="0.3">
      <c r="B32" s="26" t="s">
        <v>144</v>
      </c>
    </row>
    <row r="33" spans="1:8" ht="19.95" customHeight="1" x14ac:dyDescent="0.3">
      <c r="A33" s="31" t="s">
        <v>145</v>
      </c>
      <c r="B33" s="32"/>
      <c r="C33" s="32"/>
      <c r="D33" s="32"/>
      <c r="E33" s="32"/>
      <c r="F33" s="32"/>
      <c r="G33" s="32"/>
      <c r="H33" s="32"/>
    </row>
    <row r="34" spans="1:8" ht="22.05" customHeight="1" x14ac:dyDescent="0.3">
      <c r="B34" s="3" t="s">
        <v>76</v>
      </c>
      <c r="C34" s="3" t="s">
        <v>131</v>
      </c>
      <c r="D34" s="3" t="s">
        <v>132</v>
      </c>
      <c r="E34" s="3" t="s">
        <v>133</v>
      </c>
      <c r="F34" s="3" t="s">
        <v>134</v>
      </c>
      <c r="G34" s="3"/>
      <c r="H34" s="3" t="s">
        <v>136</v>
      </c>
    </row>
    <row r="35" spans="1:8" x14ac:dyDescent="0.3">
      <c r="B35" s="5" t="s">
        <v>146</v>
      </c>
      <c r="C35" s="21"/>
      <c r="D35" s="21"/>
      <c r="E35" s="21"/>
      <c r="F35" s="21"/>
      <c r="G35" s="5"/>
      <c r="H35" s="5"/>
    </row>
    <row r="36" spans="1:8" x14ac:dyDescent="0.3">
      <c r="B36" s="5" t="s">
        <v>147</v>
      </c>
      <c r="C36" s="6">
        <f>$H$12</f>
        <v>0.22</v>
      </c>
      <c r="D36" s="6">
        <f>$H$12</f>
        <v>0.22</v>
      </c>
      <c r="E36" s="6">
        <f>$H$12</f>
        <v>0.22</v>
      </c>
      <c r="F36" s="6">
        <f>$H$12</f>
        <v>0.22</v>
      </c>
      <c r="G36" s="5"/>
      <c r="H36" s="5"/>
    </row>
    <row r="37" spans="1:8" x14ac:dyDescent="0.3">
      <c r="B37" s="4" t="s">
        <v>148</v>
      </c>
      <c r="C37" s="27"/>
      <c r="D37" s="27"/>
      <c r="E37" s="27"/>
      <c r="F37" s="27"/>
      <c r="G37" s="5"/>
      <c r="H37" s="28"/>
    </row>
    <row r="38" spans="1:8" x14ac:dyDescent="0.3">
      <c r="B38" s="5" t="s">
        <v>140</v>
      </c>
      <c r="C38" s="19"/>
      <c r="D38" s="19"/>
      <c r="E38" s="19"/>
      <c r="F38" s="1" t="s">
        <v>63</v>
      </c>
      <c r="G38" s="5"/>
      <c r="H38" s="5"/>
    </row>
    <row r="39" spans="1:8" x14ac:dyDescent="0.3">
      <c r="B39" s="5" t="s">
        <v>141</v>
      </c>
      <c r="C39" s="19"/>
      <c r="D39" s="19"/>
      <c r="E39" s="19"/>
      <c r="F39" s="1" t="s">
        <v>63</v>
      </c>
      <c r="G39" s="5"/>
      <c r="H39" s="5"/>
    </row>
    <row r="40" spans="1:8" x14ac:dyDescent="0.3">
      <c r="B40" s="5" t="s">
        <v>142</v>
      </c>
      <c r="C40" s="19"/>
      <c r="D40" s="19"/>
      <c r="E40" s="19"/>
      <c r="F40" s="1" t="s">
        <v>63</v>
      </c>
      <c r="G40" s="5"/>
      <c r="H40" s="5"/>
    </row>
    <row r="41" spans="1:8" x14ac:dyDescent="0.3">
      <c r="B41" s="4" t="s">
        <v>149</v>
      </c>
      <c r="C41" s="27"/>
      <c r="D41" s="27"/>
      <c r="E41" s="27"/>
      <c r="F41" s="1" t="s">
        <v>63</v>
      </c>
      <c r="G41" s="5"/>
      <c r="H41" s="28"/>
    </row>
    <row r="42" spans="1:8" x14ac:dyDescent="0.3">
      <c r="B42" s="5" t="s">
        <v>150</v>
      </c>
      <c r="C42" s="13"/>
      <c r="D42" s="13"/>
      <c r="E42" s="13"/>
      <c r="F42" s="1" t="s">
        <v>63</v>
      </c>
      <c r="G42" s="5"/>
      <c r="H42" s="5"/>
    </row>
    <row r="43" spans="1:8" x14ac:dyDescent="0.3">
      <c r="B43" s="4" t="s">
        <v>151</v>
      </c>
      <c r="C43" s="20"/>
      <c r="D43" s="20"/>
      <c r="E43" s="20"/>
      <c r="F43" s="1" t="s">
        <v>63</v>
      </c>
      <c r="G43" s="5"/>
      <c r="H43" s="20"/>
    </row>
    <row r="44" spans="1:8" x14ac:dyDescent="0.3">
      <c r="B44" s="5" t="s">
        <v>152</v>
      </c>
      <c r="C44" s="8"/>
      <c r="D44" s="8"/>
      <c r="E44" s="8"/>
      <c r="F44" s="1" t="s">
        <v>63</v>
      </c>
      <c r="G44" s="5"/>
      <c r="H44" s="20"/>
    </row>
    <row r="45" spans="1:8" x14ac:dyDescent="0.3">
      <c r="B45" s="4" t="s">
        <v>153</v>
      </c>
      <c r="C45" s="20"/>
      <c r="D45" s="20"/>
      <c r="E45" s="20"/>
      <c r="F45" s="1" t="s">
        <v>63</v>
      </c>
      <c r="G45" s="5"/>
      <c r="H45" s="20"/>
    </row>
    <row r="47" spans="1:8" ht="19.95" customHeight="1" x14ac:dyDescent="0.3">
      <c r="A47" s="31" t="s">
        <v>154</v>
      </c>
      <c r="B47" s="32"/>
      <c r="C47" s="32"/>
      <c r="D47" s="32"/>
      <c r="E47" s="32"/>
      <c r="F47" s="32"/>
      <c r="G47" s="32"/>
      <c r="H47" s="32"/>
    </row>
    <row r="48" spans="1:8" ht="22.05" customHeight="1" x14ac:dyDescent="0.3">
      <c r="B48" s="3" t="s">
        <v>76</v>
      </c>
      <c r="C48" s="3" t="s">
        <v>131</v>
      </c>
      <c r="D48" s="3" t="s">
        <v>132</v>
      </c>
      <c r="E48" s="3" t="s">
        <v>133</v>
      </c>
      <c r="F48" s="3" t="s">
        <v>134</v>
      </c>
      <c r="G48" s="3"/>
      <c r="H48" s="3" t="s">
        <v>136</v>
      </c>
    </row>
    <row r="49" spans="1:8" x14ac:dyDescent="0.3">
      <c r="B49" s="5" t="s">
        <v>146</v>
      </c>
      <c r="C49" s="21"/>
      <c r="D49" s="21"/>
      <c r="E49" s="21"/>
      <c r="F49" s="21"/>
      <c r="G49" s="5"/>
      <c r="H49" s="5"/>
    </row>
    <row r="50" spans="1:8" x14ac:dyDescent="0.3">
      <c r="B50" s="5" t="s">
        <v>147</v>
      </c>
      <c r="C50" s="6">
        <f>$H$13</f>
        <v>0.11</v>
      </c>
      <c r="D50" s="6">
        <f>$H$13</f>
        <v>0.11</v>
      </c>
      <c r="E50" s="6">
        <f>$H$13</f>
        <v>0.11</v>
      </c>
      <c r="F50" s="6">
        <f>$H$13</f>
        <v>0.11</v>
      </c>
      <c r="G50" s="5"/>
      <c r="H50" s="5"/>
    </row>
    <row r="51" spans="1:8" x14ac:dyDescent="0.3">
      <c r="B51" s="4" t="s">
        <v>148</v>
      </c>
      <c r="C51" s="27"/>
      <c r="D51" s="27"/>
      <c r="E51" s="27"/>
      <c r="F51" s="27"/>
      <c r="G51" s="5"/>
      <c r="H51" s="28"/>
    </row>
    <row r="52" spans="1:8" x14ac:dyDescent="0.3">
      <c r="B52" s="5" t="s">
        <v>140</v>
      </c>
      <c r="C52" s="19"/>
      <c r="D52" s="19"/>
      <c r="E52" s="19"/>
      <c r="F52" s="1" t="s">
        <v>63</v>
      </c>
      <c r="G52" s="5"/>
      <c r="H52" s="5"/>
    </row>
    <row r="53" spans="1:8" x14ac:dyDescent="0.3">
      <c r="B53" s="5" t="s">
        <v>141</v>
      </c>
      <c r="C53" s="19"/>
      <c r="D53" s="19"/>
      <c r="E53" s="19"/>
      <c r="F53" s="1" t="s">
        <v>63</v>
      </c>
      <c r="G53" s="5"/>
      <c r="H53" s="5"/>
    </row>
    <row r="54" spans="1:8" x14ac:dyDescent="0.3">
      <c r="B54" s="5" t="s">
        <v>142</v>
      </c>
      <c r="C54" s="19"/>
      <c r="D54" s="19"/>
      <c r="E54" s="19"/>
      <c r="F54" s="1" t="s">
        <v>63</v>
      </c>
      <c r="G54" s="5"/>
      <c r="H54" s="5"/>
    </row>
    <row r="55" spans="1:8" x14ac:dyDescent="0.3">
      <c r="B55" s="4" t="s">
        <v>149</v>
      </c>
      <c r="C55" s="27"/>
      <c r="D55" s="27"/>
      <c r="E55" s="27"/>
      <c r="F55" s="1" t="s">
        <v>63</v>
      </c>
      <c r="G55" s="5"/>
      <c r="H55" s="28"/>
    </row>
    <row r="56" spans="1:8" x14ac:dyDescent="0.3">
      <c r="B56" s="5" t="s">
        <v>150</v>
      </c>
      <c r="C56" s="13"/>
      <c r="D56" s="13"/>
      <c r="E56" s="13"/>
      <c r="F56" s="1" t="s">
        <v>63</v>
      </c>
      <c r="G56" s="5"/>
      <c r="H56" s="5"/>
    </row>
    <row r="57" spans="1:8" x14ac:dyDescent="0.3">
      <c r="B57" s="4" t="s">
        <v>151</v>
      </c>
      <c r="C57" s="20"/>
      <c r="D57" s="20"/>
      <c r="E57" s="20"/>
      <c r="F57" s="1" t="s">
        <v>63</v>
      </c>
      <c r="G57" s="5"/>
      <c r="H57" s="20"/>
    </row>
    <row r="58" spans="1:8" x14ac:dyDescent="0.3">
      <c r="B58" s="5" t="s">
        <v>152</v>
      </c>
      <c r="C58" s="8"/>
      <c r="D58" s="8"/>
      <c r="E58" s="8"/>
      <c r="F58" s="1" t="s">
        <v>63</v>
      </c>
      <c r="G58" s="5"/>
      <c r="H58" s="20"/>
    </row>
    <row r="59" spans="1:8" x14ac:dyDescent="0.3">
      <c r="B59" s="4" t="s">
        <v>153</v>
      </c>
      <c r="C59" s="20"/>
      <c r="D59" s="20"/>
      <c r="E59" s="20"/>
      <c r="F59" s="1" t="s">
        <v>63</v>
      </c>
      <c r="G59" s="5"/>
      <c r="H59" s="20"/>
    </row>
    <row r="61" spans="1:8" ht="19.95" customHeight="1" x14ac:dyDescent="0.3">
      <c r="A61" s="31" t="s">
        <v>155</v>
      </c>
      <c r="B61" s="32"/>
      <c r="C61" s="32"/>
      <c r="D61" s="32"/>
      <c r="E61" s="32"/>
      <c r="F61" s="32"/>
      <c r="G61" s="32"/>
      <c r="H61" s="32"/>
    </row>
    <row r="62" spans="1:8" ht="22.05" customHeight="1" x14ac:dyDescent="0.3">
      <c r="B62" s="3" t="s">
        <v>76</v>
      </c>
      <c r="C62" s="3" t="s">
        <v>131</v>
      </c>
      <c r="D62" s="3" t="s">
        <v>132</v>
      </c>
      <c r="E62" s="3" t="s">
        <v>133</v>
      </c>
      <c r="F62" s="3" t="s">
        <v>134</v>
      </c>
      <c r="G62" s="3"/>
      <c r="H62" s="3" t="s">
        <v>136</v>
      </c>
    </row>
    <row r="63" spans="1:8" x14ac:dyDescent="0.3">
      <c r="B63" s="5" t="s">
        <v>146</v>
      </c>
      <c r="C63" s="21"/>
      <c r="D63" s="21"/>
      <c r="E63" s="21"/>
      <c r="F63" s="21"/>
      <c r="G63" s="5"/>
      <c r="H63" s="5"/>
    </row>
    <row r="64" spans="1:8" x14ac:dyDescent="0.3">
      <c r="B64" s="5" t="s">
        <v>147</v>
      </c>
      <c r="C64" s="6">
        <f>$H$14</f>
        <v>1</v>
      </c>
      <c r="D64" s="6">
        <f>$H$14</f>
        <v>1</v>
      </c>
      <c r="E64" s="6">
        <f>$H$14</f>
        <v>1</v>
      </c>
      <c r="F64" s="6">
        <f>$H$14</f>
        <v>1</v>
      </c>
      <c r="G64" s="5"/>
      <c r="H64" s="5"/>
    </row>
    <row r="65" spans="1:8" x14ac:dyDescent="0.3">
      <c r="B65" s="4" t="s">
        <v>148</v>
      </c>
      <c r="C65" s="27"/>
      <c r="D65" s="27"/>
      <c r="E65" s="27"/>
      <c r="F65" s="27"/>
      <c r="G65" s="5"/>
      <c r="H65" s="28"/>
    </row>
    <row r="66" spans="1:8" x14ac:dyDescent="0.3">
      <c r="B66" s="5" t="s">
        <v>140</v>
      </c>
      <c r="C66" s="19"/>
      <c r="D66" s="19"/>
      <c r="E66" s="19"/>
      <c r="F66" s="1" t="s">
        <v>63</v>
      </c>
      <c r="G66" s="5"/>
      <c r="H66" s="5"/>
    </row>
    <row r="67" spans="1:8" x14ac:dyDescent="0.3">
      <c r="B67" s="5" t="s">
        <v>141</v>
      </c>
      <c r="C67" s="19"/>
      <c r="D67" s="19"/>
      <c r="E67" s="19"/>
      <c r="F67" s="1" t="s">
        <v>63</v>
      </c>
      <c r="G67" s="5"/>
      <c r="H67" s="5"/>
    </row>
    <row r="68" spans="1:8" x14ac:dyDescent="0.3">
      <c r="B68" s="5" t="s">
        <v>142</v>
      </c>
      <c r="C68" s="19"/>
      <c r="D68" s="19"/>
      <c r="E68" s="19"/>
      <c r="F68" s="1" t="s">
        <v>63</v>
      </c>
      <c r="G68" s="5"/>
      <c r="H68" s="5"/>
    </row>
    <row r="69" spans="1:8" x14ac:dyDescent="0.3">
      <c r="B69" s="4" t="s">
        <v>149</v>
      </c>
      <c r="C69" s="27"/>
      <c r="D69" s="27"/>
      <c r="E69" s="27"/>
      <c r="F69" s="1" t="s">
        <v>63</v>
      </c>
      <c r="G69" s="5"/>
      <c r="H69" s="28"/>
    </row>
    <row r="70" spans="1:8" x14ac:dyDescent="0.3">
      <c r="B70" s="5" t="s">
        <v>150</v>
      </c>
      <c r="C70" s="13"/>
      <c r="D70" s="13"/>
      <c r="E70" s="13"/>
      <c r="F70" s="1" t="s">
        <v>63</v>
      </c>
      <c r="G70" s="5"/>
      <c r="H70" s="5"/>
    </row>
    <row r="71" spans="1:8" x14ac:dyDescent="0.3">
      <c r="B71" s="4" t="s">
        <v>151</v>
      </c>
      <c r="C71" s="20"/>
      <c r="D71" s="20"/>
      <c r="E71" s="20"/>
      <c r="F71" s="1" t="s">
        <v>63</v>
      </c>
      <c r="G71" s="5"/>
      <c r="H71" s="20"/>
    </row>
    <row r="72" spans="1:8" x14ac:dyDescent="0.3">
      <c r="B72" s="5" t="s">
        <v>152</v>
      </c>
      <c r="C72" s="8"/>
      <c r="D72" s="8"/>
      <c r="E72" s="8"/>
      <c r="F72" s="1" t="s">
        <v>63</v>
      </c>
      <c r="G72" s="5"/>
      <c r="H72" s="20"/>
    </row>
    <row r="73" spans="1:8" x14ac:dyDescent="0.3">
      <c r="B73" s="4" t="s">
        <v>153</v>
      </c>
      <c r="C73" s="20"/>
      <c r="D73" s="20"/>
      <c r="E73" s="20"/>
      <c r="F73" s="1" t="s">
        <v>63</v>
      </c>
      <c r="G73" s="5"/>
      <c r="H73" s="20"/>
    </row>
    <row r="75" spans="1:8" ht="19.95" customHeight="1" x14ac:dyDescent="0.3">
      <c r="A75" s="31" t="s">
        <v>156</v>
      </c>
      <c r="B75" s="32"/>
      <c r="C75" s="32"/>
      <c r="D75" s="32"/>
      <c r="E75" s="32"/>
      <c r="F75" s="32"/>
      <c r="G75" s="32"/>
      <c r="H75" s="32"/>
    </row>
    <row r="76" spans="1:8" ht="22.05" customHeight="1" x14ac:dyDescent="0.3">
      <c r="B76" s="3" t="s">
        <v>76</v>
      </c>
      <c r="C76" s="3" t="s">
        <v>131</v>
      </c>
      <c r="D76" s="3" t="s">
        <v>132</v>
      </c>
      <c r="E76" s="3" t="s">
        <v>133</v>
      </c>
      <c r="F76" s="3"/>
      <c r="G76" s="3"/>
      <c r="H76" s="3" t="s">
        <v>136</v>
      </c>
    </row>
    <row r="77" spans="1:8" x14ac:dyDescent="0.3">
      <c r="B77" s="5" t="s">
        <v>0</v>
      </c>
      <c r="C77" s="8"/>
      <c r="D77" s="8"/>
      <c r="E77" s="8"/>
      <c r="F77" s="5"/>
      <c r="G77" s="5"/>
      <c r="H77" s="20"/>
    </row>
    <row r="78" spans="1:8" x14ac:dyDescent="0.3">
      <c r="B78" s="5" t="s">
        <v>157</v>
      </c>
      <c r="C78" s="8"/>
      <c r="D78" s="8"/>
      <c r="E78" s="8"/>
      <c r="F78" s="5"/>
      <c r="G78" s="5"/>
      <c r="H78" s="20"/>
    </row>
    <row r="79" spans="1:8" x14ac:dyDescent="0.3">
      <c r="B79" s="4" t="s">
        <v>158</v>
      </c>
      <c r="C79" s="20"/>
      <c r="D79" s="20"/>
      <c r="E79" s="20"/>
      <c r="F79" s="5"/>
      <c r="G79" s="5"/>
      <c r="H79" s="20"/>
    </row>
    <row r="81" spans="1:8" ht="18" customHeight="1" x14ac:dyDescent="0.3">
      <c r="A81" s="36" t="s">
        <v>159</v>
      </c>
      <c r="B81" s="30"/>
      <c r="C81" s="30"/>
      <c r="D81" s="30"/>
      <c r="E81" s="30"/>
      <c r="F81" s="30"/>
      <c r="G81" s="30"/>
      <c r="H81" s="30"/>
    </row>
    <row r="82" spans="1:8" ht="48" customHeight="1" x14ac:dyDescent="0.3">
      <c r="A82" s="33"/>
      <c r="B82" s="34"/>
      <c r="C82" s="34"/>
      <c r="D82" s="34"/>
      <c r="E82" s="34"/>
      <c r="F82" s="34"/>
      <c r="G82" s="34"/>
      <c r="H82" s="34"/>
    </row>
    <row r="84" spans="1:8" ht="18" customHeight="1" x14ac:dyDescent="0.3">
      <c r="A84" s="36" t="s">
        <v>160</v>
      </c>
      <c r="B84" s="30"/>
      <c r="C84" s="30"/>
      <c r="D84" s="30"/>
      <c r="E84" s="30"/>
      <c r="F84" s="30"/>
      <c r="G84" s="30"/>
      <c r="H84" s="30"/>
    </row>
    <row r="85" spans="1:8" ht="48" customHeight="1" x14ac:dyDescent="0.3">
      <c r="A85" s="33"/>
      <c r="B85" s="34"/>
      <c r="C85" s="34"/>
      <c r="D85" s="34"/>
      <c r="E85" s="34"/>
      <c r="F85" s="34"/>
      <c r="G85" s="34"/>
      <c r="H85" s="34"/>
    </row>
  </sheetData>
  <mergeCells count="13">
    <mergeCell ref="A1:H1"/>
    <mergeCell ref="A5:H5"/>
    <mergeCell ref="A21:H21"/>
    <mergeCell ref="A33:H33"/>
    <mergeCell ref="A85:H85"/>
    <mergeCell ref="A81:H81"/>
    <mergeCell ref="A84:H84"/>
    <mergeCell ref="A75:H75"/>
    <mergeCell ref="A3:H3"/>
    <mergeCell ref="A47:H47"/>
    <mergeCell ref="A25:H25"/>
    <mergeCell ref="A61:H61"/>
    <mergeCell ref="A82:H82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Caso 1</vt:lpstr>
      <vt:lpstr>Caso 2</vt:lpstr>
      <vt:lpstr>Caso 3</vt:lpstr>
      <vt:lpstr>Caso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2026-09-29T10:42:01Z</dcterms:created>
  <dcterms:modified xsi:type="dcterms:W3CDTF">2026-09-29T12:50:38Z</dcterms:modified>
</cp:coreProperties>
</file>