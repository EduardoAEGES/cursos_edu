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IODO 2026 II\CURSOS MKT 2026 II\ANÁLISIS DE COSTOS Y PRESUPUESTOS\SEMANA 5\"/>
    </mc:Choice>
  </mc:AlternateContent>
  <xr:revisionPtr revIDLastSave="0" documentId="13_ncr:1_{4763417F-1880-4603-A8B2-9006187CB019}" xr6:coauthVersionLast="47" xr6:coauthVersionMax="47" xr10:uidLastSave="{00000000-0000-0000-0000-000000000000}"/>
  <bookViews>
    <workbookView xWindow="-108" yWindow="-108" windowWidth="23256" windowHeight="12456" tabRatio="500" activeTab="1" xr2:uid="{00000000-000D-0000-FFFF-FFFF00000000}"/>
  </bookViews>
  <sheets>
    <sheet name="CASO 1" sheetId="1" r:id="rId1"/>
    <sheet name="CASO 2"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I27" i="2" l="1"/>
  <c r="I23" i="2" l="1"/>
</calcChain>
</file>

<file path=xl/sharedStrings.xml><?xml version="1.0" encoding="utf-8"?>
<sst xmlns="http://schemas.openxmlformats.org/spreadsheetml/2006/main" count="92" uniqueCount="53">
  <si>
    <t>CONTEXTO</t>
  </si>
  <si>
    <t>El lubricentro compra aceite de motor y lo consume al prestar el servicio de cambio de aceite. Durante septiembre se registran las compras de aceite y las salidas (aceite usado en los servicios). Se valoriza el inventario por PROMEDIO PONDERADO, se determina el costo del servicio y, finalmente, el precio de venta aplicando un margen sobre el costo. Cada cambio de aceite consume 4 litros.</t>
  </si>
  <si>
    <t>PARÁMETROS DEL CASO (datos)</t>
  </si>
  <si>
    <t>Margen deseado sobre el costo (markup)</t>
  </si>
  <si>
    <t>1) KÁRDEX  —  MÉTODO PROMEDIO PONDERADO  (solo compras y ventas)</t>
  </si>
  <si>
    <t>Fecha</t>
  </si>
  <si>
    <t>Detalle</t>
  </si>
  <si>
    <t>ENTRADAS (COMPRAS)</t>
  </si>
  <si>
    <t>SALIDAS (VENTAS)</t>
  </si>
  <si>
    <t>SALDO</t>
  </si>
  <si>
    <t>Cant.</t>
  </si>
  <si>
    <t>C.Unit</t>
  </si>
  <si>
    <t>Total</t>
  </si>
  <si>
    <t>01/09</t>
  </si>
  <si>
    <t>Saldo inicial</t>
  </si>
  <si>
    <t>05/09</t>
  </si>
  <si>
    <t>Compra de aceite</t>
  </si>
  <si>
    <t>12/09</t>
  </si>
  <si>
    <t>18/09</t>
  </si>
  <si>
    <t>25/09</t>
  </si>
  <si>
    <t>TOTAL VENDIDO / CONSUMIDO EN EL MES</t>
  </si>
  <si>
    <t>2) DETERMINACIÓN DEL COSTO DEL SERVICIO</t>
  </si>
  <si>
    <t>Elemento del costo</t>
  </si>
  <si>
    <t>Importe (S/)</t>
  </si>
  <si>
    <t>Aceite consumido en los servicios  (enlazado desde el kárdex)</t>
  </si>
  <si>
    <t>Filtros de aceite (insumo directo)</t>
  </si>
  <si>
    <t>Mano de obra directa (mecánico)</t>
  </si>
  <si>
    <t>Costos indirectos (energía, consumibles)</t>
  </si>
  <si>
    <t>COSTO TOTAL DEL SERVICIO</t>
  </si>
  <si>
    <t>COSTO UNITARIO DEL SERVICIO</t>
  </si>
  <si>
    <t>3) PRECIO DE VENTA CON MARGEN</t>
  </si>
  <si>
    <t>Costo unitario del servicio</t>
  </si>
  <si>
    <t>Margen sobre el costo (markup)</t>
  </si>
  <si>
    <t>PRECIO DE VENTA UNITARIO  ( = costo × (1 + margen) )</t>
  </si>
  <si>
    <t>La imprenta compra lona (vinil) por metro cuadrado y la consume al imprimir gigantografías. En septiembre se registran las compras de lona y las salidas (lona usada en los banners impresos). Se valoriza por PROMEDIO PONDERADO, se determina el costo del servicio y luego el precio de venta con un margen sobre el costo. Cada banner consume 3 m² de lona.</t>
  </si>
  <si>
    <t>06/09</t>
  </si>
  <si>
    <t>Compra de lona</t>
  </si>
  <si>
    <t>13/09</t>
  </si>
  <si>
    <t>Salida (banners)</t>
  </si>
  <si>
    <t>20/09</t>
  </si>
  <si>
    <t>27/09</t>
  </si>
  <si>
    <t>Lona consumida en los banners  (enlazado desde el kárdex)</t>
  </si>
  <si>
    <t>Tinta y consumibles ( S/ 1.20 por m² consumido )</t>
  </si>
  <si>
    <t>Mano de obra directa (operario de impresión)</t>
  </si>
  <si>
    <t>Costos indirectos (energía del plotter, depreciación)</t>
  </si>
  <si>
    <t>Nº de banners del mes  ( = total consumido ÷ m² de lona por banner )</t>
  </si>
  <si>
    <t>Margen deseado</t>
  </si>
  <si>
    <t>Consumo</t>
  </si>
  <si>
    <t>Número de servicios al mes</t>
  </si>
  <si>
    <t>Nº de servicios del mes</t>
  </si>
  <si>
    <t>Nro de banners del mes</t>
  </si>
  <si>
    <t>CASO 1</t>
  </si>
  <si>
    <t>CASO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</si>
</sst>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charset val="1"/>
    </font>
    <font>
      <b/>
      <sz val="13"/>
      <color theme="1"/>
      <name val="Arial"/>
      <family val="2"/>
    </font>
    <font>
      <b/>
      <sz val="11"/>
      <color theme="1"/>
      <name val="Arial"/>
      <family val="2"/>
    </font>
    <font>
      <sz val="10"/>
      <color theme="1"/>
      <name val="Arial"/>
      <family val="2"/>
    </font>
    <font>
      <b/>
      <sz val="10"/>
      <color theme="1"/>
      <name val="Arial"/>
      <family val="2"/>
    </font>
    <font>
      <b/>
      <sz val="9"/>
      <color theme="1"/>
      <name val="Arial"/>
      <family val="2"/>
    </font>
    <font>
      <sz val="9"/>
      <color theme="1"/>
      <name val="Arial"/>
      <family val="2"/>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1" fillId="0" borderId="0" xfId="0" applyFont="1" applyFill="1" applyBorder="1" applyAlignment="1">
      <alignment horizontal="center" vertical="center"/>
    </xf>
    <xf numFmtId="0" fontId="0" fillId="0" borderId="0" xfId="0" applyFont="1" applyFill="1"/>
    <xf numFmtId="0" fontId="2" fillId="0" borderId="0" xfId="0" applyFont="1" applyFill="1" applyBorder="1" applyAlignment="1">
      <alignment vertical="center"/>
    </xf>
    <xf numFmtId="0" fontId="3" fillId="0" borderId="1" xfId="0" applyFont="1" applyFill="1" applyBorder="1" applyAlignment="1">
      <alignment vertical="center"/>
    </xf>
    <xf numFmtId="4" fontId="3" fillId="0" borderId="2" xfId="0" applyNumberFormat="1" applyFont="1" applyFill="1" applyBorder="1" applyAlignment="1">
      <alignment horizontal="center" vertical="center"/>
    </xf>
    <xf numFmtId="164" fontId="3" fillId="0" borderId="2" xfId="0" applyNumberFormat="1" applyFont="1" applyFill="1" applyBorder="1" applyAlignment="1">
      <alignment horizontal="center" vertical="center"/>
    </xf>
    <xf numFmtId="0" fontId="4" fillId="0" borderId="3"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6" fillId="0" borderId="2" xfId="0" applyFont="1" applyFill="1" applyBorder="1" applyAlignment="1">
      <alignment vertical="center"/>
    </xf>
    <xf numFmtId="3" fontId="6" fillId="0" borderId="2" xfId="0" applyNumberFormat="1" applyFont="1" applyFill="1" applyBorder="1" applyAlignment="1">
      <alignment horizontal="center" vertical="center"/>
    </xf>
    <xf numFmtId="4" fontId="6" fillId="0" borderId="2" xfId="0" applyNumberFormat="1" applyFont="1" applyFill="1" applyBorder="1" applyAlignment="1">
      <alignment horizontal="center" vertical="center"/>
    </xf>
    <xf numFmtId="0" fontId="5" fillId="0" borderId="1" xfId="0" applyFont="1" applyFill="1" applyBorder="1" applyAlignment="1">
      <alignment horizontal="right" vertical="center"/>
    </xf>
    <xf numFmtId="0" fontId="4" fillId="0" borderId="1" xfId="0" applyFont="1" applyFill="1" applyBorder="1" applyAlignment="1">
      <alignment vertical="center"/>
    </xf>
    <xf numFmtId="0" fontId="3" fillId="0" borderId="1" xfId="0" applyFont="1" applyFill="1" applyBorder="1" applyAlignment="1">
      <alignment horizontal="center" vertical="center"/>
    </xf>
    <xf numFmtId="3" fontId="3" fillId="0" borderId="1" xfId="0" applyNumberFormat="1" applyFont="1" applyFill="1" applyBorder="1" applyAlignment="1">
      <alignment horizontal="center" vertical="center"/>
    </xf>
    <xf numFmtId="0" fontId="3" fillId="0" borderId="0" xfId="0" applyFont="1" applyFill="1" applyBorder="1" applyAlignment="1">
      <alignment vertical="top" wrapText="1"/>
    </xf>
    <xf numFmtId="0" fontId="4" fillId="0" borderId="4" xfId="0" applyFont="1" applyFill="1" applyBorder="1" applyAlignment="1">
      <alignment vertical="center"/>
    </xf>
    <xf numFmtId="0" fontId="4" fillId="0" borderId="4" xfId="0" applyFont="1" applyFill="1" applyBorder="1" applyAlignment="1">
      <alignment horizontal="center" vertical="center"/>
    </xf>
    <xf numFmtId="0" fontId="3" fillId="0" borderId="4" xfId="0" applyFont="1" applyFill="1" applyBorder="1" applyAlignment="1">
      <alignment vertical="center"/>
    </xf>
    <xf numFmtId="0" fontId="3" fillId="0" borderId="4" xfId="0" applyFont="1" applyFill="1" applyBorder="1" applyAlignment="1">
      <alignment horizontal="center" vertical="center"/>
    </xf>
    <xf numFmtId="3" fontId="3" fillId="0" borderId="4" xfId="0" applyNumberFormat="1" applyFont="1" applyFill="1" applyBorder="1" applyAlignment="1">
      <alignment horizontal="center" vertical="center"/>
    </xf>
    <xf numFmtId="4"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3"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3" fontId="6" fillId="2" borderId="2" xfId="0" applyNumberFormat="1" applyFont="1" applyFill="1" applyBorder="1" applyAlignment="1">
      <alignment horizontal="center" vertical="center"/>
    </xf>
    <xf numFmtId="0" fontId="3" fillId="2" borderId="4" xfId="0" applyFont="1" applyFill="1" applyBorder="1" applyAlignment="1">
      <alignment horizontal="center" vertical="center"/>
    </xf>
    <xf numFmtId="0" fontId="4" fillId="2" borderId="4" xfId="0" applyFont="1" applyFill="1" applyBorder="1" applyAlignment="1">
      <alignment horizontal="center" vertical="center"/>
    </xf>
    <xf numFmtId="164" fontId="3" fillId="2" borderId="4"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164" fontId="3" fillId="2"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6E0B4"/>
      <rgbColor rgb="FF000080"/>
      <rgbColor rgb="FFFF00FF"/>
      <rgbColor rgb="FFFFFF00"/>
      <rgbColor rgb="FF00FFFF"/>
      <rgbColor rgb="FF800080"/>
      <rgbColor rgb="FF800000"/>
      <rgbColor rgb="FF008080"/>
      <rgbColor rgb="FF0000FF"/>
      <rgbColor rgb="FF00CCFF"/>
      <rgbColor rgb="FFCCFFFF"/>
      <rgbColor rgb="FFE2EFDA"/>
      <rgbColor rgb="FFFFFF99"/>
      <rgbColor rgb="FF9DC3E6"/>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
  <sheetViews>
    <sheetView showGridLines="0" zoomScaleNormal="100" workbookViewId="0">
      <selection activeCell="K2" sqref="K2"/>
    </sheetView>
  </sheetViews>
  <sheetFormatPr baseColWidth="10" defaultColWidth="8.6640625" defaultRowHeight="14.4" x14ac:dyDescent="0.3"/>
  <cols>
    <col min="1" max="1" width="11" style="2" customWidth="1"/>
    <col min="2" max="2" width="26" style="2" customWidth="1"/>
    <col min="3" max="3" width="9" style="2" customWidth="1"/>
    <col min="4" max="4" width="11" style="2" customWidth="1"/>
    <col min="5" max="5" width="12" style="2" customWidth="1"/>
    <col min="6" max="6" width="9" style="2" customWidth="1"/>
    <col min="7" max="7" width="11" style="2" customWidth="1"/>
    <col min="8" max="8" width="12" style="2" customWidth="1"/>
    <col min="9" max="9" width="9" style="2" customWidth="1"/>
    <col min="10" max="10" width="11" style="2" customWidth="1"/>
    <col min="11" max="11" width="12" style="2" customWidth="1"/>
    <col min="12" max="16384" width="8.6640625" style="2"/>
  </cols>
  <sheetData>
    <row r="1" spans="1:11" ht="25.5" customHeight="1" x14ac:dyDescent="0.3">
      <c r="A1" s="1" t="s">
        <v>51</v>
      </c>
      <c r="B1" s="1"/>
      <c r="C1" s="1"/>
      <c r="D1" s="1"/>
      <c r="E1" s="1"/>
      <c r="F1" s="1"/>
      <c r="G1" s="1"/>
      <c r="H1" s="1"/>
      <c r="I1" s="1"/>
      <c r="J1" s="1"/>
      <c r="K1" s="1"/>
    </row>
    <row r="3" spans="1:11" x14ac:dyDescent="0.3">
      <c r="A3" s="3" t="s">
        <v>0</v>
      </c>
      <c r="B3" s="3"/>
      <c r="C3" s="3"/>
      <c r="D3" s="3"/>
      <c r="E3" s="3"/>
      <c r="F3" s="3"/>
      <c r="G3" s="3"/>
      <c r="H3" s="3"/>
      <c r="I3" s="3"/>
      <c r="J3" s="3"/>
      <c r="K3" s="3"/>
    </row>
    <row r="4" spans="1:11" ht="46.8" customHeight="1" x14ac:dyDescent="0.3">
      <c r="A4" s="18" t="s">
        <v>1</v>
      </c>
      <c r="B4" s="18"/>
      <c r="C4" s="18"/>
      <c r="D4" s="18"/>
      <c r="E4" s="18"/>
      <c r="F4" s="18"/>
      <c r="G4" s="18"/>
      <c r="H4" s="18"/>
      <c r="I4" s="18"/>
      <c r="J4" s="18"/>
      <c r="K4" s="18"/>
    </row>
    <row r="6" spans="1:11" x14ac:dyDescent="0.3">
      <c r="A6" s="3" t="s">
        <v>2</v>
      </c>
      <c r="B6" s="3"/>
      <c r="C6" s="3"/>
      <c r="D6" s="3"/>
      <c r="E6" s="3"/>
      <c r="F6" s="3"/>
      <c r="G6" s="3"/>
      <c r="H6" s="3"/>
      <c r="I6" s="3"/>
      <c r="J6" s="3"/>
      <c r="K6" s="3"/>
    </row>
    <row r="7" spans="1:11" x14ac:dyDescent="0.3">
      <c r="A7" s="4" t="s">
        <v>48</v>
      </c>
      <c r="B7" s="4"/>
      <c r="C7" s="4"/>
      <c r="D7" s="4"/>
      <c r="E7" s="4"/>
      <c r="F7" s="5">
        <v>55</v>
      </c>
    </row>
    <row r="8" spans="1:11" x14ac:dyDescent="0.3">
      <c r="A8" s="4" t="s">
        <v>46</v>
      </c>
      <c r="B8" s="4"/>
      <c r="C8" s="4"/>
      <c r="D8" s="4"/>
      <c r="E8" s="4"/>
      <c r="F8" s="6">
        <v>0.4</v>
      </c>
    </row>
    <row r="10" spans="1:11" x14ac:dyDescent="0.3">
      <c r="A10" s="3" t="s">
        <v>4</v>
      </c>
      <c r="B10" s="3"/>
      <c r="C10" s="3"/>
      <c r="D10" s="3"/>
      <c r="E10" s="3"/>
      <c r="F10" s="3"/>
      <c r="G10" s="3"/>
      <c r="H10" s="3"/>
      <c r="I10" s="3"/>
      <c r="J10" s="3"/>
      <c r="K10" s="3"/>
    </row>
    <row r="11" spans="1:11" x14ac:dyDescent="0.3">
      <c r="A11" s="7" t="s">
        <v>5</v>
      </c>
      <c r="B11" s="7" t="s">
        <v>6</v>
      </c>
      <c r="C11" s="8" t="s">
        <v>7</v>
      </c>
      <c r="D11" s="8"/>
      <c r="E11" s="8"/>
      <c r="F11" s="8" t="s">
        <v>8</v>
      </c>
      <c r="G11" s="8"/>
      <c r="H11" s="8"/>
      <c r="I11" s="8" t="s">
        <v>9</v>
      </c>
      <c r="J11" s="8"/>
      <c r="K11" s="8"/>
    </row>
    <row r="12" spans="1:11" x14ac:dyDescent="0.3">
      <c r="A12" s="7"/>
      <c r="B12" s="7"/>
      <c r="C12" s="9" t="s">
        <v>10</v>
      </c>
      <c r="D12" s="9" t="s">
        <v>11</v>
      </c>
      <c r="E12" s="9" t="s">
        <v>12</v>
      </c>
      <c r="F12" s="9" t="s">
        <v>10</v>
      </c>
      <c r="G12" s="9" t="s">
        <v>11</v>
      </c>
      <c r="H12" s="9" t="s">
        <v>12</v>
      </c>
      <c r="I12" s="9" t="s">
        <v>10</v>
      </c>
      <c r="J12" s="9" t="s">
        <v>11</v>
      </c>
      <c r="K12" s="9" t="s">
        <v>12</v>
      </c>
    </row>
    <row r="13" spans="1:11" x14ac:dyDescent="0.3">
      <c r="A13" s="10" t="s">
        <v>13</v>
      </c>
      <c r="B13" s="11" t="s">
        <v>14</v>
      </c>
      <c r="C13" s="10"/>
      <c r="D13" s="10"/>
      <c r="E13" s="10"/>
      <c r="F13" s="10"/>
      <c r="G13" s="10"/>
      <c r="H13" s="10"/>
      <c r="I13" s="12">
        <v>60</v>
      </c>
      <c r="J13" s="13">
        <v>18</v>
      </c>
      <c r="K13" s="24"/>
    </row>
    <row r="14" spans="1:11" x14ac:dyDescent="0.3">
      <c r="A14" s="10" t="s">
        <v>15</v>
      </c>
      <c r="B14" s="11" t="s">
        <v>16</v>
      </c>
      <c r="C14" s="12">
        <v>120</v>
      </c>
      <c r="D14" s="13">
        <v>18.5</v>
      </c>
      <c r="E14" s="24"/>
      <c r="F14" s="10"/>
      <c r="G14" s="10"/>
      <c r="H14" s="10"/>
      <c r="I14" s="28"/>
      <c r="J14" s="25"/>
      <c r="K14" s="24"/>
    </row>
    <row r="15" spans="1:11" x14ac:dyDescent="0.3">
      <c r="A15" s="10" t="s">
        <v>17</v>
      </c>
      <c r="B15" s="11" t="s">
        <v>47</v>
      </c>
      <c r="C15" s="10"/>
      <c r="D15" s="10"/>
      <c r="E15" s="10"/>
      <c r="F15" s="12">
        <v>100</v>
      </c>
      <c r="G15" s="25"/>
      <c r="H15" s="24"/>
      <c r="I15" s="28"/>
      <c r="J15" s="25"/>
      <c r="K15" s="24"/>
    </row>
    <row r="16" spans="1:11" x14ac:dyDescent="0.3">
      <c r="A16" s="10" t="s">
        <v>18</v>
      </c>
      <c r="B16" s="11" t="s">
        <v>16</v>
      </c>
      <c r="C16" s="12">
        <v>80</v>
      </c>
      <c r="D16" s="13">
        <v>19</v>
      </c>
      <c r="E16" s="24"/>
      <c r="F16" s="10"/>
      <c r="G16" s="10"/>
      <c r="H16" s="10"/>
      <c r="I16" s="28"/>
      <c r="J16" s="25"/>
      <c r="K16" s="24"/>
    </row>
    <row r="17" spans="1:11" x14ac:dyDescent="0.3">
      <c r="A17" s="10" t="s">
        <v>19</v>
      </c>
      <c r="B17" s="11" t="s">
        <v>47</v>
      </c>
      <c r="C17" s="10"/>
      <c r="D17" s="10"/>
      <c r="E17" s="10"/>
      <c r="F17" s="12">
        <v>120</v>
      </c>
      <c r="G17" s="25"/>
      <c r="H17" s="24"/>
      <c r="I17" s="28"/>
      <c r="J17" s="25"/>
      <c r="K17" s="24"/>
    </row>
    <row r="18" spans="1:11" x14ac:dyDescent="0.3">
      <c r="A18" s="14" t="s">
        <v>20</v>
      </c>
      <c r="B18" s="14"/>
      <c r="C18" s="14"/>
      <c r="D18" s="14"/>
      <c r="E18" s="14"/>
      <c r="F18" s="26"/>
      <c r="G18" s="11"/>
      <c r="H18" s="27"/>
      <c r="I18" s="11"/>
      <c r="J18" s="11"/>
      <c r="K18" s="11"/>
    </row>
    <row r="20" spans="1:11" x14ac:dyDescent="0.3">
      <c r="A20" s="3" t="s">
        <v>21</v>
      </c>
      <c r="B20" s="3"/>
      <c r="C20" s="3"/>
      <c r="D20" s="3"/>
      <c r="E20" s="3"/>
      <c r="F20" s="3"/>
      <c r="G20" s="3"/>
      <c r="H20" s="3"/>
      <c r="I20" s="3"/>
      <c r="J20" s="3"/>
      <c r="K20" s="3"/>
    </row>
    <row r="21" spans="1:11" x14ac:dyDescent="0.3">
      <c r="A21" s="19" t="s">
        <v>22</v>
      </c>
      <c r="B21" s="19"/>
      <c r="C21" s="19"/>
      <c r="D21" s="19"/>
      <c r="E21" s="19"/>
      <c r="F21" s="19"/>
      <c r="G21" s="19"/>
      <c r="H21" s="19"/>
      <c r="I21" s="20" t="s">
        <v>23</v>
      </c>
      <c r="J21" s="20"/>
      <c r="K21" s="20"/>
    </row>
    <row r="22" spans="1:11" x14ac:dyDescent="0.3">
      <c r="A22" s="21" t="s">
        <v>24</v>
      </c>
      <c r="B22" s="21"/>
      <c r="C22" s="21"/>
      <c r="D22" s="21"/>
      <c r="E22" s="21"/>
      <c r="F22" s="21"/>
      <c r="G22" s="21"/>
      <c r="H22" s="21"/>
      <c r="I22" s="29"/>
      <c r="J22" s="29"/>
      <c r="K22" s="29"/>
    </row>
    <row r="23" spans="1:11" x14ac:dyDescent="0.3">
      <c r="A23" s="21" t="s">
        <v>25</v>
      </c>
      <c r="B23" s="21"/>
      <c r="C23" s="21"/>
      <c r="D23" s="21"/>
      <c r="E23" s="21"/>
      <c r="F23" s="21"/>
      <c r="G23" s="21"/>
      <c r="H23" s="21"/>
      <c r="I23" s="22">
        <v>440</v>
      </c>
      <c r="J23" s="22"/>
      <c r="K23" s="22"/>
    </row>
    <row r="24" spans="1:11" x14ac:dyDescent="0.3">
      <c r="A24" s="21" t="s">
        <v>26</v>
      </c>
      <c r="B24" s="21"/>
      <c r="C24" s="21"/>
      <c r="D24" s="21"/>
      <c r="E24" s="21"/>
      <c r="F24" s="21"/>
      <c r="G24" s="21"/>
      <c r="H24" s="21"/>
      <c r="I24" s="22">
        <v>594</v>
      </c>
      <c r="J24" s="22"/>
      <c r="K24" s="22"/>
    </row>
    <row r="25" spans="1:11" x14ac:dyDescent="0.3">
      <c r="A25" s="21" t="s">
        <v>27</v>
      </c>
      <c r="B25" s="21"/>
      <c r="C25" s="21"/>
      <c r="D25" s="21"/>
      <c r="E25" s="21"/>
      <c r="F25" s="21"/>
      <c r="G25" s="21"/>
      <c r="H25" s="21"/>
      <c r="I25" s="22">
        <v>160</v>
      </c>
      <c r="J25" s="22"/>
      <c r="K25" s="22"/>
    </row>
    <row r="26" spans="1:11" x14ac:dyDescent="0.3">
      <c r="A26" s="19" t="s">
        <v>28</v>
      </c>
      <c r="B26" s="19"/>
      <c r="C26" s="19"/>
      <c r="D26" s="19"/>
      <c r="E26" s="19"/>
      <c r="F26" s="19"/>
      <c r="G26" s="19"/>
      <c r="H26" s="19"/>
      <c r="I26" s="30"/>
      <c r="J26" s="30"/>
      <c r="K26" s="30"/>
    </row>
    <row r="27" spans="1:11" x14ac:dyDescent="0.3">
      <c r="A27" s="21" t="s">
        <v>49</v>
      </c>
      <c r="B27" s="21"/>
      <c r="C27" s="21"/>
      <c r="D27" s="21"/>
      <c r="E27" s="21"/>
      <c r="F27" s="21"/>
      <c r="G27" s="21"/>
      <c r="H27" s="21"/>
      <c r="I27" s="23">
        <v>55</v>
      </c>
      <c r="J27" s="23"/>
      <c r="K27" s="23"/>
    </row>
    <row r="28" spans="1:11" x14ac:dyDescent="0.3">
      <c r="A28" s="19" t="s">
        <v>29</v>
      </c>
      <c r="B28" s="19"/>
      <c r="C28" s="19"/>
      <c r="D28" s="19"/>
      <c r="E28" s="19"/>
      <c r="F28" s="19"/>
      <c r="G28" s="19"/>
      <c r="H28" s="19"/>
      <c r="I28" s="30"/>
      <c r="J28" s="30"/>
      <c r="K28" s="30"/>
    </row>
    <row r="30" spans="1:11" x14ac:dyDescent="0.3">
      <c r="A30" s="3" t="s">
        <v>30</v>
      </c>
      <c r="B30" s="3"/>
      <c r="C30" s="3"/>
      <c r="D30" s="3"/>
      <c r="E30" s="3"/>
      <c r="F30" s="3"/>
      <c r="G30" s="3"/>
      <c r="H30" s="3"/>
      <c r="I30" s="3"/>
      <c r="J30" s="3"/>
      <c r="K30" s="3"/>
    </row>
    <row r="31" spans="1:11" x14ac:dyDescent="0.3">
      <c r="A31" s="21" t="s">
        <v>31</v>
      </c>
      <c r="B31" s="21"/>
      <c r="C31" s="21"/>
      <c r="D31" s="21"/>
      <c r="E31" s="21"/>
      <c r="F31" s="21"/>
      <c r="G31" s="21"/>
      <c r="H31" s="21"/>
      <c r="I31" s="29"/>
      <c r="J31" s="29"/>
      <c r="K31" s="29"/>
    </row>
    <row r="32" spans="1:11" x14ac:dyDescent="0.3">
      <c r="A32" s="21" t="s">
        <v>32</v>
      </c>
      <c r="B32" s="21"/>
      <c r="C32" s="21"/>
      <c r="D32" s="21"/>
      <c r="E32" s="21"/>
      <c r="F32" s="21"/>
      <c r="G32" s="21"/>
      <c r="H32" s="21"/>
      <c r="I32" s="31"/>
      <c r="J32" s="31"/>
      <c r="K32" s="31"/>
    </row>
    <row r="33" spans="1:11" x14ac:dyDescent="0.3">
      <c r="A33" s="19" t="s">
        <v>33</v>
      </c>
      <c r="B33" s="19"/>
      <c r="C33" s="19"/>
      <c r="D33" s="19"/>
      <c r="E33" s="19"/>
      <c r="F33" s="19"/>
      <c r="G33" s="19"/>
      <c r="H33" s="19"/>
      <c r="I33" s="30"/>
      <c r="J33" s="30"/>
      <c r="K33" s="30"/>
    </row>
  </sheetData>
  <mergeCells count="37">
    <mergeCell ref="A33:H33"/>
    <mergeCell ref="I33:K33"/>
    <mergeCell ref="A30:K30"/>
    <mergeCell ref="A31:H31"/>
    <mergeCell ref="I31:K31"/>
    <mergeCell ref="A32:H32"/>
    <mergeCell ref="I32:K32"/>
    <mergeCell ref="A26:H26"/>
    <mergeCell ref="I26:K26"/>
    <mergeCell ref="A27:H27"/>
    <mergeCell ref="I27:K27"/>
    <mergeCell ref="A28:H28"/>
    <mergeCell ref="I28:K28"/>
    <mergeCell ref="A23:H23"/>
    <mergeCell ref="I23:K23"/>
    <mergeCell ref="A24:H24"/>
    <mergeCell ref="I24:K24"/>
    <mergeCell ref="A25:H25"/>
    <mergeCell ref="I25:K25"/>
    <mergeCell ref="A18:E18"/>
    <mergeCell ref="A20:K20"/>
    <mergeCell ref="A21:H21"/>
    <mergeCell ref="I21:K21"/>
    <mergeCell ref="A22:H22"/>
    <mergeCell ref="I22:K22"/>
    <mergeCell ref="A7:E7"/>
    <mergeCell ref="A8:E8"/>
    <mergeCell ref="A10:K10"/>
    <mergeCell ref="A11:A12"/>
    <mergeCell ref="B11:B12"/>
    <mergeCell ref="C11:E11"/>
    <mergeCell ref="F11:H11"/>
    <mergeCell ref="I11:K11"/>
    <mergeCell ref="A1:K1"/>
    <mergeCell ref="A3:K3"/>
    <mergeCell ref="A4:K4"/>
    <mergeCell ref="A6:K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
  <sheetViews>
    <sheetView showGridLines="0" tabSelected="1" zoomScaleNormal="100" workbookViewId="0">
      <selection activeCell="J2" sqref="J2"/>
    </sheetView>
  </sheetViews>
  <sheetFormatPr baseColWidth="10" defaultColWidth="8.6640625" defaultRowHeight="14.4" x14ac:dyDescent="0.3"/>
  <cols>
    <col min="1" max="1" width="11" style="2" customWidth="1"/>
    <col min="2" max="2" width="26" style="2" customWidth="1"/>
    <col min="3" max="3" width="9" style="2" customWidth="1"/>
    <col min="4" max="4" width="11" style="2" customWidth="1"/>
    <col min="5" max="5" width="12" style="2" customWidth="1"/>
    <col min="6" max="6" width="9" style="2" customWidth="1"/>
    <col min="7" max="7" width="11" style="2" customWidth="1"/>
    <col min="8" max="8" width="12" style="2" customWidth="1"/>
    <col min="9" max="9" width="9" style="2" customWidth="1"/>
    <col min="10" max="10" width="11" style="2" customWidth="1"/>
    <col min="11" max="11" width="12" style="2" customWidth="1"/>
    <col min="12" max="16384" width="8.6640625" style="2"/>
  </cols>
  <sheetData>
    <row r="1" spans="1:11" ht="25.5" customHeight="1" x14ac:dyDescent="0.3">
      <c r="A1" s="1" t="s">
        <v>52</v>
      </c>
      <c r="B1" s="1"/>
      <c r="C1" s="1"/>
      <c r="D1" s="1"/>
      <c r="E1" s="1"/>
      <c r="F1" s="1"/>
      <c r="G1" s="1"/>
      <c r="H1" s="1"/>
      <c r="I1" s="1"/>
      <c r="J1" s="1"/>
      <c r="K1" s="1"/>
    </row>
    <row r="3" spans="1:11" x14ac:dyDescent="0.3">
      <c r="A3" s="3" t="s">
        <v>0</v>
      </c>
      <c r="B3" s="3"/>
      <c r="C3" s="3"/>
      <c r="D3" s="3"/>
      <c r="E3" s="3"/>
      <c r="F3" s="3"/>
      <c r="G3" s="3"/>
      <c r="H3" s="3"/>
      <c r="I3" s="3"/>
      <c r="J3" s="3"/>
      <c r="K3" s="3"/>
    </row>
    <row r="4" spans="1:11" ht="57.75" customHeight="1" x14ac:dyDescent="0.3">
      <c r="A4" s="18" t="s">
        <v>34</v>
      </c>
      <c r="B4" s="18"/>
      <c r="C4" s="18"/>
      <c r="D4" s="18"/>
      <c r="E4" s="18"/>
      <c r="F4" s="18"/>
      <c r="G4" s="18"/>
      <c r="H4" s="18"/>
      <c r="I4" s="18"/>
      <c r="J4" s="18"/>
      <c r="K4" s="18"/>
    </row>
    <row r="6" spans="1:11" x14ac:dyDescent="0.3">
      <c r="A6" s="3" t="s">
        <v>2</v>
      </c>
      <c r="B6" s="3"/>
      <c r="C6" s="3"/>
      <c r="D6" s="3"/>
      <c r="E6" s="3"/>
      <c r="F6" s="3"/>
      <c r="G6" s="3"/>
      <c r="H6" s="3"/>
      <c r="I6" s="3"/>
      <c r="J6" s="3"/>
      <c r="K6" s="3"/>
    </row>
    <row r="7" spans="1:11" x14ac:dyDescent="0.3">
      <c r="A7" s="4" t="s">
        <v>50</v>
      </c>
      <c r="B7" s="4"/>
      <c r="C7" s="4"/>
      <c r="D7" s="4"/>
      <c r="E7" s="4"/>
      <c r="F7" s="5">
        <v>250</v>
      </c>
    </row>
    <row r="8" spans="1:11" x14ac:dyDescent="0.3">
      <c r="A8" s="4" t="s">
        <v>3</v>
      </c>
      <c r="B8" s="4"/>
      <c r="C8" s="4"/>
      <c r="D8" s="4"/>
      <c r="E8" s="4"/>
      <c r="F8" s="6">
        <v>0.45</v>
      </c>
    </row>
    <row r="10" spans="1:11" x14ac:dyDescent="0.3">
      <c r="A10" s="3" t="s">
        <v>4</v>
      </c>
      <c r="B10" s="3"/>
      <c r="C10" s="3"/>
      <c r="D10" s="3"/>
      <c r="E10" s="3"/>
      <c r="F10" s="3"/>
      <c r="G10" s="3"/>
      <c r="H10" s="3"/>
      <c r="I10" s="3"/>
      <c r="J10" s="3"/>
      <c r="K10" s="3"/>
    </row>
    <row r="11" spans="1:11" x14ac:dyDescent="0.3">
      <c r="A11" s="7" t="s">
        <v>5</v>
      </c>
      <c r="B11" s="7" t="s">
        <v>6</v>
      </c>
      <c r="C11" s="8" t="s">
        <v>7</v>
      </c>
      <c r="D11" s="8"/>
      <c r="E11" s="8"/>
      <c r="F11" s="8" t="s">
        <v>8</v>
      </c>
      <c r="G11" s="8"/>
      <c r="H11" s="8"/>
      <c r="I11" s="8" t="s">
        <v>9</v>
      </c>
      <c r="J11" s="8"/>
      <c r="K11" s="8"/>
    </row>
    <row r="12" spans="1:11" x14ac:dyDescent="0.3">
      <c r="A12" s="7"/>
      <c r="B12" s="7"/>
      <c r="C12" s="9" t="s">
        <v>10</v>
      </c>
      <c r="D12" s="9" t="s">
        <v>11</v>
      </c>
      <c r="E12" s="9" t="s">
        <v>12</v>
      </c>
      <c r="F12" s="9" t="s">
        <v>10</v>
      </c>
      <c r="G12" s="9" t="s">
        <v>11</v>
      </c>
      <c r="H12" s="9" t="s">
        <v>12</v>
      </c>
      <c r="I12" s="9" t="s">
        <v>10</v>
      </c>
      <c r="J12" s="9" t="s">
        <v>11</v>
      </c>
      <c r="K12" s="9" t="s">
        <v>12</v>
      </c>
    </row>
    <row r="13" spans="1:11" x14ac:dyDescent="0.3">
      <c r="A13" s="10" t="s">
        <v>13</v>
      </c>
      <c r="B13" s="11" t="s">
        <v>14</v>
      </c>
      <c r="C13" s="10"/>
      <c r="D13" s="10"/>
      <c r="E13" s="10"/>
      <c r="F13" s="10"/>
      <c r="G13" s="10"/>
      <c r="H13" s="10"/>
      <c r="I13" s="12">
        <v>150</v>
      </c>
      <c r="J13" s="13">
        <v>6</v>
      </c>
      <c r="K13" s="24"/>
    </row>
    <row r="14" spans="1:11" x14ac:dyDescent="0.3">
      <c r="A14" s="10" t="s">
        <v>35</v>
      </c>
      <c r="B14" s="11" t="s">
        <v>36</v>
      </c>
      <c r="C14" s="12">
        <v>400</v>
      </c>
      <c r="D14" s="13">
        <v>6.2</v>
      </c>
      <c r="E14" s="24"/>
      <c r="F14" s="10"/>
      <c r="G14" s="10"/>
      <c r="H14" s="10"/>
      <c r="I14" s="28"/>
      <c r="J14" s="25"/>
      <c r="K14" s="24"/>
    </row>
    <row r="15" spans="1:11" x14ac:dyDescent="0.3">
      <c r="A15" s="10" t="s">
        <v>37</v>
      </c>
      <c r="B15" s="11" t="s">
        <v>38</v>
      </c>
      <c r="C15" s="10"/>
      <c r="D15" s="10"/>
      <c r="E15" s="10"/>
      <c r="F15" s="12">
        <v>300</v>
      </c>
      <c r="G15" s="25"/>
      <c r="H15" s="25"/>
      <c r="I15" s="28"/>
      <c r="J15" s="25"/>
      <c r="K15" s="24"/>
    </row>
    <row r="16" spans="1:11" x14ac:dyDescent="0.3">
      <c r="A16" s="10" t="s">
        <v>39</v>
      </c>
      <c r="B16" s="11" t="s">
        <v>36</v>
      </c>
      <c r="C16" s="12">
        <v>350</v>
      </c>
      <c r="D16" s="13">
        <v>6.5</v>
      </c>
      <c r="E16" s="24"/>
      <c r="F16" s="10"/>
      <c r="G16" s="10"/>
      <c r="H16" s="10"/>
      <c r="I16" s="28"/>
      <c r="J16" s="25"/>
      <c r="K16" s="24"/>
    </row>
    <row r="17" spans="1:11" x14ac:dyDescent="0.3">
      <c r="A17" s="10" t="s">
        <v>40</v>
      </c>
      <c r="B17" s="11" t="s">
        <v>38</v>
      </c>
      <c r="C17" s="10"/>
      <c r="D17" s="10"/>
      <c r="E17" s="10"/>
      <c r="F17" s="12">
        <v>450</v>
      </c>
      <c r="G17" s="25"/>
      <c r="H17" s="25"/>
      <c r="I17" s="28"/>
      <c r="J17" s="25"/>
      <c r="K17" s="24"/>
    </row>
    <row r="18" spans="1:11" x14ac:dyDescent="0.3">
      <c r="A18" s="14" t="s">
        <v>20</v>
      </c>
      <c r="B18" s="14"/>
      <c r="C18" s="14"/>
      <c r="D18" s="14"/>
      <c r="E18" s="14"/>
      <c r="F18" s="26"/>
      <c r="G18" s="11"/>
      <c r="H18" s="27"/>
      <c r="I18" s="11"/>
      <c r="J18" s="11"/>
      <c r="K18" s="11"/>
    </row>
    <row r="20" spans="1:11" x14ac:dyDescent="0.3">
      <c r="A20" s="3" t="s">
        <v>21</v>
      </c>
      <c r="B20" s="3"/>
      <c r="C20" s="3"/>
      <c r="D20" s="3"/>
      <c r="E20" s="3"/>
      <c r="F20" s="3"/>
      <c r="G20" s="3"/>
      <c r="H20" s="3"/>
      <c r="I20" s="3"/>
      <c r="J20" s="3"/>
      <c r="K20" s="3"/>
    </row>
    <row r="21" spans="1:11" x14ac:dyDescent="0.3">
      <c r="A21" s="15" t="s">
        <v>22</v>
      </c>
      <c r="B21" s="15"/>
      <c r="C21" s="15"/>
      <c r="D21" s="15"/>
      <c r="E21" s="15"/>
      <c r="F21" s="15"/>
      <c r="G21" s="15"/>
      <c r="H21" s="15"/>
      <c r="I21" s="8" t="s">
        <v>23</v>
      </c>
      <c r="J21" s="8"/>
      <c r="K21" s="8"/>
    </row>
    <row r="22" spans="1:11" x14ac:dyDescent="0.3">
      <c r="A22" s="4" t="s">
        <v>41</v>
      </c>
      <c r="B22" s="4"/>
      <c r="C22" s="4"/>
      <c r="D22" s="4"/>
      <c r="E22" s="4"/>
      <c r="F22" s="4"/>
      <c r="G22" s="4"/>
      <c r="H22" s="4"/>
      <c r="I22" s="32"/>
      <c r="J22" s="32"/>
      <c r="K22" s="32"/>
    </row>
    <row r="23" spans="1:11" x14ac:dyDescent="0.3">
      <c r="A23" s="4" t="s">
        <v>42</v>
      </c>
      <c r="B23" s="4"/>
      <c r="C23" s="4"/>
      <c r="D23" s="4"/>
      <c r="E23" s="4"/>
      <c r="F23" s="4"/>
      <c r="G23" s="4"/>
      <c r="H23" s="4"/>
      <c r="I23" s="16">
        <f>F18*1.2</f>
        <v>0</v>
      </c>
      <c r="J23" s="16"/>
      <c r="K23" s="16"/>
    </row>
    <row r="24" spans="1:11" x14ac:dyDescent="0.3">
      <c r="A24" s="4" t="s">
        <v>43</v>
      </c>
      <c r="B24" s="4"/>
      <c r="C24" s="4"/>
      <c r="D24" s="4"/>
      <c r="E24" s="4"/>
      <c r="F24" s="4"/>
      <c r="G24" s="4"/>
      <c r="H24" s="4"/>
      <c r="I24" s="16">
        <v>960</v>
      </c>
      <c r="J24" s="16"/>
      <c r="K24" s="16"/>
    </row>
    <row r="25" spans="1:11" x14ac:dyDescent="0.3">
      <c r="A25" s="4" t="s">
        <v>44</v>
      </c>
      <c r="B25" s="4"/>
      <c r="C25" s="4"/>
      <c r="D25" s="4"/>
      <c r="E25" s="4"/>
      <c r="F25" s="4"/>
      <c r="G25" s="4"/>
      <c r="H25" s="4"/>
      <c r="I25" s="16">
        <v>500</v>
      </c>
      <c r="J25" s="16"/>
      <c r="K25" s="16"/>
    </row>
    <row r="26" spans="1:11" x14ac:dyDescent="0.3">
      <c r="A26" s="15" t="s">
        <v>28</v>
      </c>
      <c r="B26" s="15"/>
      <c r="C26" s="15"/>
      <c r="D26" s="15"/>
      <c r="E26" s="15"/>
      <c r="F26" s="15"/>
      <c r="G26" s="15"/>
      <c r="H26" s="15"/>
      <c r="I26" s="33"/>
      <c r="J26" s="33"/>
      <c r="K26" s="33"/>
    </row>
    <row r="27" spans="1:11" x14ac:dyDescent="0.3">
      <c r="A27" s="4" t="s">
        <v>45</v>
      </c>
      <c r="B27" s="4"/>
      <c r="C27" s="4"/>
      <c r="D27" s="4"/>
      <c r="E27" s="4"/>
      <c r="F27" s="4"/>
      <c r="G27" s="4"/>
      <c r="H27" s="4"/>
      <c r="I27" s="17">
        <f>F18/F7</f>
        <v>0</v>
      </c>
      <c r="J27" s="17"/>
      <c r="K27" s="17"/>
    </row>
    <row r="28" spans="1:11" x14ac:dyDescent="0.3">
      <c r="A28" s="15" t="s">
        <v>29</v>
      </c>
      <c r="B28" s="15"/>
      <c r="C28" s="15"/>
      <c r="D28" s="15"/>
      <c r="E28" s="15"/>
      <c r="F28" s="15"/>
      <c r="G28" s="15"/>
      <c r="H28" s="15"/>
      <c r="I28" s="33"/>
      <c r="J28" s="33"/>
      <c r="K28" s="33"/>
    </row>
    <row r="30" spans="1:11" x14ac:dyDescent="0.3">
      <c r="A30" s="3" t="s">
        <v>30</v>
      </c>
      <c r="B30" s="3"/>
      <c r="C30" s="3"/>
      <c r="D30" s="3"/>
      <c r="E30" s="3"/>
      <c r="F30" s="3"/>
      <c r="G30" s="3"/>
      <c r="H30" s="3"/>
      <c r="I30" s="3"/>
      <c r="J30" s="3"/>
      <c r="K30" s="3"/>
    </row>
    <row r="31" spans="1:11" x14ac:dyDescent="0.3">
      <c r="A31" s="4" t="s">
        <v>31</v>
      </c>
      <c r="B31" s="4"/>
      <c r="C31" s="4"/>
      <c r="D31" s="4"/>
      <c r="E31" s="4"/>
      <c r="F31" s="4"/>
      <c r="G31" s="4"/>
      <c r="H31" s="4"/>
      <c r="I31" s="32"/>
      <c r="J31" s="32"/>
      <c r="K31" s="32"/>
    </row>
    <row r="32" spans="1:11" x14ac:dyDescent="0.3">
      <c r="A32" s="4" t="s">
        <v>32</v>
      </c>
      <c r="B32" s="4"/>
      <c r="C32" s="4"/>
      <c r="D32" s="4"/>
      <c r="E32" s="4"/>
      <c r="F32" s="4"/>
      <c r="G32" s="4"/>
      <c r="H32" s="4"/>
      <c r="I32" s="34"/>
      <c r="J32" s="34"/>
      <c r="K32" s="34"/>
    </row>
    <row r="33" spans="1:11" x14ac:dyDescent="0.3">
      <c r="A33" s="15" t="s">
        <v>33</v>
      </c>
      <c r="B33" s="15"/>
      <c r="C33" s="15"/>
      <c r="D33" s="15"/>
      <c r="E33" s="15"/>
      <c r="F33" s="15"/>
      <c r="G33" s="15"/>
      <c r="H33" s="15"/>
      <c r="I33" s="33"/>
      <c r="J33" s="33"/>
      <c r="K33" s="33"/>
    </row>
  </sheetData>
  <mergeCells count="37">
    <mergeCell ref="A33:H33"/>
    <mergeCell ref="I33:K33"/>
    <mergeCell ref="A30:K30"/>
    <mergeCell ref="A31:H31"/>
    <mergeCell ref="I31:K31"/>
    <mergeCell ref="A32:H32"/>
    <mergeCell ref="I32:K32"/>
    <mergeCell ref="A26:H26"/>
    <mergeCell ref="I26:K26"/>
    <mergeCell ref="A27:H27"/>
    <mergeCell ref="I27:K27"/>
    <mergeCell ref="A28:H28"/>
    <mergeCell ref="I28:K28"/>
    <mergeCell ref="A23:H23"/>
    <mergeCell ref="I23:K23"/>
    <mergeCell ref="A24:H24"/>
    <mergeCell ref="I24:K24"/>
    <mergeCell ref="A25:H25"/>
    <mergeCell ref="I25:K25"/>
    <mergeCell ref="A18:E18"/>
    <mergeCell ref="A20:K20"/>
    <mergeCell ref="A21:H21"/>
    <mergeCell ref="I21:K21"/>
    <mergeCell ref="A22:H22"/>
    <mergeCell ref="I22:K22"/>
    <mergeCell ref="A7:E7"/>
    <mergeCell ref="A8:E8"/>
    <mergeCell ref="A10:K10"/>
    <mergeCell ref="A11:A12"/>
    <mergeCell ref="B11:B12"/>
    <mergeCell ref="C11:E11"/>
    <mergeCell ref="F11:H11"/>
    <mergeCell ref="I11:K11"/>
    <mergeCell ref="A1:K1"/>
    <mergeCell ref="A3:K3"/>
    <mergeCell ref="A4:K4"/>
    <mergeCell ref="A6:K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 1</vt:lpstr>
      <vt:lpstr>CASO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Usuario</cp:lastModifiedBy>
  <cp:revision>0</cp:revision>
  <dcterms:created xsi:type="dcterms:W3CDTF">2026-09-15T22:23:14Z</dcterms:created>
  <dcterms:modified xsi:type="dcterms:W3CDTF">2026-09-15T22:35:53Z</dcterms:modified>
  <dc:language>en-US</dc:language>
</cp:coreProperties>
</file>