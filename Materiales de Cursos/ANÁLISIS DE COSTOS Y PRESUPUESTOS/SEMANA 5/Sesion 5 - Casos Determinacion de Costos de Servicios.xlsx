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ION 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<sst xmlns="http://schemas.openxmlformats.org/spreadsheetml/2006/main" count="127" uniqueCount="56">
  <si>
    <t xml:space="preserve">ANÁLISIS DE COSTOS Y PRESUPUESTOS — SESIÓN 5</t>
  </si>
  <si>
    <t xml:space="preserve">CASOS PRÁCTICOS: DETERMINACIÓN DEL COSTO DE SERVICIOS</t>
  </si>
  <si>
    <t xml:space="preserve">Cuatro casos de empresas de servicios peruanas. En cada caso se identifican los elementos del costo del servicio (insumos directos cuando corresponde, mano de obra directa y costos indirectos) y se determina el costo total y el costo unitario. No se incluyen gastos administrativos ni gastos de ventas: solo costos del servicio.</t>
  </si>
  <si>
    <t xml:space="preserve">CASO 1 — Estudio Fotográfico "Kodak Misti" E.I.R.L. — Revelado e impresión de fotografías</t>
  </si>
  <si>
    <t xml:space="preserve">El estudio revela e imprime fotografías digitales en Arequipa. Un cliente encarga la impresión de un lote de 200 fotografías digitales en tamaño 10x15 cm. Se determina el costo total del pedido y el costo unitario por fotografía.</t>
  </si>
  <si>
    <t xml:space="preserve">Insumos directos del servicio</t>
  </si>
  <si>
    <t xml:space="preserve">Concepto</t>
  </si>
  <si>
    <t xml:space="preserve">Cantidad</t>
  </si>
  <si>
    <t xml:space="preserve">Costo unitario (S/)</t>
  </si>
  <si>
    <t xml:space="preserve">Importe (S/)</t>
  </si>
  <si>
    <t xml:space="preserve">Papel fotográfico 10x15 cm</t>
  </si>
  <si>
    <t xml:space="preserve">Tinta y consumibles de impresión (lote)</t>
  </si>
  <si>
    <t xml:space="preserve">Sobres y fundas protectoras</t>
  </si>
  <si>
    <t xml:space="preserve">Subtotal insumos directos</t>
  </si>
  <si>
    <t xml:space="preserve">Mano de obra directa</t>
  </si>
  <si>
    <t xml:space="preserve">Horas</t>
  </si>
  <si>
    <t xml:space="preserve">Tarifa por hora (S/)</t>
  </si>
  <si>
    <t xml:space="preserve">Técnico de revelado e impresión</t>
  </si>
  <si>
    <t xml:space="preserve">Subtotal mano de obra directa</t>
  </si>
  <si>
    <t xml:space="preserve">Costos indirectos del servicio (CIF) aplicados</t>
  </si>
  <si>
    <t xml:space="preserve">Base de prorrateo</t>
  </si>
  <si>
    <t xml:space="preserve">Energía eléctrica de equipos de impresión</t>
  </si>
  <si>
    <t xml:space="preserve">Prorrateo del pedido</t>
  </si>
  <si>
    <t xml:space="preserve">Depreciación de la impresora fotográfica</t>
  </si>
  <si>
    <t xml:space="preserve">Subtotal costos indirectos (CIF)</t>
  </si>
  <si>
    <t xml:space="preserve">DETERMINACIÓN DEL COSTO DEL SERVICIO</t>
  </si>
  <si>
    <t xml:space="preserve">Insumos directos</t>
  </si>
  <si>
    <t xml:space="preserve">Costos indirectos (CIF)</t>
  </si>
  <si>
    <t xml:space="preserve">COSTO TOTAL DEL SERVICIO</t>
  </si>
  <si>
    <t xml:space="preserve">Unidades del pedido (fotografías)</t>
  </si>
  <si>
    <t xml:space="preserve">COSTO UNITARIO DEL SERVICIO</t>
  </si>
  <si>
    <t xml:space="preserve">CASO 2 — Instituto Virtual "SaberMás" — Dictado de un curso en línea</t>
  </si>
  <si>
    <t xml:space="preserve">El instituto dicta cursos virtuales en vivo. Se costea el dictado del curso "Excel Intermedio", de 20 horas, con 30 alumnos matriculados. Al ser un servicio 100% digital, no existen insumos directos.</t>
  </si>
  <si>
    <t xml:space="preserve">Honorario del docente del curso</t>
  </si>
  <si>
    <t xml:space="preserve">Licencia de plataforma virtual (aula y videoconferencia)</t>
  </si>
  <si>
    <t xml:space="preserve">Prorrateo del curso</t>
  </si>
  <si>
    <t xml:space="preserve">Internet y energía eléctrica del instructor</t>
  </si>
  <si>
    <t xml:space="preserve">Insumos directos (no aplica: servicio sin insumos físicos)</t>
  </si>
  <si>
    <t xml:space="preserve">Alumnos matriculados en el curso</t>
  </si>
  <si>
    <t xml:space="preserve">CASO 3 — Ramírez &amp; Consultores S.A.C. — Asesoría contable y tributaria</t>
  </si>
  <si>
    <t xml:space="preserve">La firma brinda asesoría contable a empresas de Arequipa. Se costea una asesoría puntual sobre declaración anual de renta para un cliente, con 8 horas de trabajo profesional. Es un servicio profesional, por lo que no existen insumos directos.</t>
  </si>
  <si>
    <t xml:space="preserve">Honorario del contador senior a cargo</t>
  </si>
  <si>
    <t xml:space="preserve">Alquiler de oficina (prorrateo por hora de asesoría)</t>
  </si>
  <si>
    <t xml:space="preserve">Prorrateo de 8 horas</t>
  </si>
  <si>
    <t xml:space="preserve">Depreciación de equipo de cómputo y útiles</t>
  </si>
  <si>
    <t xml:space="preserve">Prorrateo del servicio</t>
  </si>
  <si>
    <t xml:space="preserve">Horas de asesoría prestadas</t>
  </si>
  <si>
    <t xml:space="preserve">CASO 4 — AutoBrillo Arequipa E.I.R.L. — Lavado y encerado de vehículos</t>
  </si>
  <si>
    <t xml:space="preserve">El taller lava y encera vehículos ligeros. Se costea un lote de 15 vehículos atendidos en un día con el servicio completo (lavado exterior, interior y encerado).</t>
  </si>
  <si>
    <t xml:space="preserve">Shampoo automotriz biodegradable</t>
  </si>
  <si>
    <t xml:space="preserve">Cera para encerado</t>
  </si>
  <si>
    <t xml:space="preserve">Paños de microfibra y aromatizante</t>
  </si>
  <si>
    <t xml:space="preserve">Operarios de lavado (2 operarios x 4 horas)</t>
  </si>
  <si>
    <t xml:space="preserve">Agua y energía eléctrica del local</t>
  </si>
  <si>
    <t xml:space="preserve">Prorrateo del lote del día</t>
  </si>
  <si>
    <t xml:space="preserve">Vehículos atendidos en el lote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</si>
</sst>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S/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C0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18.55" hidden="false" customHeight="false" outlineLevel="0" collapsed="false">
      <c r="A1" s="1" t="s">
        <v>0</v>
      </c>
    </row>
    <row r="2" customFormat="false" ht="16.15" hidden="false" customHeight="false" outlineLevel="0" collapsed="false">
      <c r="A2" s="2" t="s">
        <v>1</v>
      </c>
    </row>
    <row r="3" customFormat="false" ht="31.5" hidden="false" customHeight="true" outlineLevel="0" collapsed="false">
      <c r="A3" s="3" t="s">
        <v>2</v>
      </c>
    </row>
    <row r="5" customFormat="false" ht="16.15" hidden="false" customHeight="false" outlineLevel="0" collapsed="false">
      <c r="A5" s="2" t="s">
        <v>3</v>
      </c>
    </row>
    <row r="6" customFormat="false" ht="30" hidden="false" customHeight="true" outlineLevel="0" collapsed="false">
      <c r="A6" s="4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6" t="s">
        <v>6</v>
      </c>
      <c r="B9" s="6" t="s">
        <v>7</v>
      </c>
      <c r="C9" s="6" t="s">
        <v>8</v>
      </c>
      <c r="D9" s="6" t="s">
        <v>9</v>
      </c>
    </row>
    <row r="10" customFormat="false" ht="15" hidden="false" customHeight="false" outlineLevel="0" collapsed="false">
      <c r="A10" s="7" t="s">
        <v>10</v>
      </c>
      <c r="B10" s="7" t="n">
        <v>200</v>
      </c>
      <c r="C10" s="8" t="n">
        <v>0.35</v>
      </c>
      <c r="D10" s="8" t="n">
        <f aca="false">B10*C10</f>
        <v>70</v>
      </c>
    </row>
    <row r="11" customFormat="false" ht="15" hidden="false" customHeight="false" outlineLevel="0" collapsed="false">
      <c r="A11" s="7" t="s">
        <v>11</v>
      </c>
      <c r="B11" s="7" t="n">
        <v>1</v>
      </c>
      <c r="C11" s="8" t="n">
        <v>45</v>
      </c>
      <c r="D11" s="8" t="n">
        <f aca="false">B11*C11</f>
        <v>45</v>
      </c>
    </row>
    <row r="12" customFormat="false" ht="15" hidden="false" customHeight="false" outlineLevel="0" collapsed="false">
      <c r="A12" s="7" t="s">
        <v>12</v>
      </c>
      <c r="B12" s="7" t="n">
        <v>200</v>
      </c>
      <c r="C12" s="8" t="n">
        <v>0.1</v>
      </c>
      <c r="D12" s="8" t="n">
        <f aca="false">B12*C12</f>
        <v>20</v>
      </c>
    </row>
    <row r="13" customFormat="false" ht="15" hidden="false" customHeight="false" outlineLevel="0" collapsed="false">
      <c r="A13" s="9" t="s">
        <v>13</v>
      </c>
      <c r="B13" s="9"/>
      <c r="C13" s="9"/>
      <c r="D13" s="10" t="n">
        <f aca="false">SUM(D10:D12)</f>
        <v>135</v>
      </c>
    </row>
    <row r="15" customFormat="false" ht="15" hidden="false" customHeight="false" outlineLevel="0" collapsed="false">
      <c r="A15" s="5" t="s">
        <v>14</v>
      </c>
    </row>
    <row r="16" customFormat="false" ht="15" hidden="false" customHeight="false" outlineLevel="0" collapsed="false">
      <c r="A16" s="6" t="s">
        <v>6</v>
      </c>
      <c r="B16" s="6" t="s">
        <v>15</v>
      </c>
      <c r="C16" s="6" t="s">
        <v>16</v>
      </c>
      <c r="D16" s="6" t="s">
        <v>9</v>
      </c>
    </row>
    <row r="17" customFormat="false" ht="15" hidden="false" customHeight="false" outlineLevel="0" collapsed="false">
      <c r="A17" s="7" t="s">
        <v>17</v>
      </c>
      <c r="B17" s="7" t="n">
        <v>2</v>
      </c>
      <c r="C17" s="8" t="n">
        <v>15</v>
      </c>
      <c r="D17" s="8" t="n">
        <f aca="false">B17*C17</f>
        <v>30</v>
      </c>
    </row>
    <row r="18" customFormat="false" ht="15" hidden="false" customHeight="false" outlineLevel="0" collapsed="false">
      <c r="A18" s="9" t="s">
        <v>18</v>
      </c>
      <c r="B18" s="9"/>
      <c r="C18" s="9"/>
      <c r="D18" s="10" t="n">
        <f aca="false">SUM(D17:D17)</f>
        <v>30</v>
      </c>
    </row>
    <row r="20" customFormat="false" ht="15" hidden="false" customHeight="false" outlineLevel="0" collapsed="false">
      <c r="A20" s="5" t="s">
        <v>19</v>
      </c>
    </row>
    <row r="21" customFormat="false" ht="15" hidden="false" customHeight="false" outlineLevel="0" collapsed="false">
      <c r="A21" s="6" t="s">
        <v>6</v>
      </c>
      <c r="B21" s="6" t="s">
        <v>20</v>
      </c>
      <c r="C21" s="6"/>
      <c r="D21" s="6" t="s">
        <v>9</v>
      </c>
    </row>
    <row r="22" customFormat="false" ht="15" hidden="false" customHeight="false" outlineLevel="0" collapsed="false">
      <c r="A22" s="7" t="s">
        <v>21</v>
      </c>
      <c r="B22" s="7" t="s">
        <v>22</v>
      </c>
      <c r="C22" s="7"/>
      <c r="D22" s="8" t="n">
        <v>15</v>
      </c>
    </row>
    <row r="23" customFormat="false" ht="15" hidden="false" customHeight="false" outlineLevel="0" collapsed="false">
      <c r="A23" s="7" t="s">
        <v>23</v>
      </c>
      <c r="B23" s="7" t="s">
        <v>22</v>
      </c>
      <c r="C23" s="7"/>
      <c r="D23" s="8" t="n">
        <v>10</v>
      </c>
    </row>
    <row r="24" customFormat="false" ht="15" hidden="false" customHeight="false" outlineLevel="0" collapsed="false">
      <c r="A24" s="9" t="s">
        <v>24</v>
      </c>
      <c r="B24" s="9"/>
      <c r="C24" s="9"/>
      <c r="D24" s="10" t="n">
        <f aca="false">SUM(D22:D23)</f>
        <v>25</v>
      </c>
    </row>
    <row r="26" customFormat="false" ht="15" hidden="false" customHeight="false" outlineLevel="0" collapsed="false">
      <c r="A26" s="5" t="s">
        <v>25</v>
      </c>
    </row>
    <row r="27" customFormat="false" ht="15" hidden="false" customHeight="false" outlineLevel="0" collapsed="false">
      <c r="A27" s="6" t="s">
        <v>6</v>
      </c>
      <c r="B27" s="6"/>
      <c r="C27" s="6"/>
      <c r="D27" s="6" t="s">
        <v>9</v>
      </c>
    </row>
    <row r="28" customFormat="false" ht="15" hidden="false" customHeight="false" outlineLevel="0" collapsed="false">
      <c r="A28" s="7" t="s">
        <v>26</v>
      </c>
      <c r="D28" s="8" t="n">
        <f aca="false">D13</f>
        <v>135</v>
      </c>
    </row>
    <row r="29" customFormat="false" ht="15" hidden="false" customHeight="false" outlineLevel="0" collapsed="false">
      <c r="A29" s="7" t="s">
        <v>14</v>
      </c>
      <c r="D29" s="8" t="n">
        <f aca="false">D18</f>
        <v>30</v>
      </c>
    </row>
    <row r="30" customFormat="false" ht="15" hidden="false" customHeight="false" outlineLevel="0" collapsed="false">
      <c r="A30" s="7" t="s">
        <v>27</v>
      </c>
      <c r="D30" s="8" t="n">
        <f aca="false">D24</f>
        <v>25</v>
      </c>
    </row>
    <row r="31" customFormat="false" ht="15" hidden="false" customHeight="false" outlineLevel="0" collapsed="false">
      <c r="A31" s="9" t="s">
        <v>28</v>
      </c>
      <c r="D31" s="10" t="n">
        <f aca="false">SUM(D28:D30)</f>
        <v>190</v>
      </c>
    </row>
    <row r="32" customFormat="false" ht="15" hidden="false" customHeight="false" outlineLevel="0" collapsed="false">
      <c r="A32" s="7" t="s">
        <v>29</v>
      </c>
      <c r="D32" s="7" t="n">
        <v>200</v>
      </c>
    </row>
    <row r="33" customFormat="false" ht="15" hidden="false" customHeight="false" outlineLevel="0" collapsed="false">
      <c r="A33" s="9" t="s">
        <v>30</v>
      </c>
      <c r="D33" s="10" t="n">
        <f aca="false">D31/D32</f>
        <v>0.95</v>
      </c>
    </row>
    <row r="36" customFormat="false" ht="16.15" hidden="false" customHeight="false" outlineLevel="0" collapsed="false">
      <c r="A36" s="2" t="s">
        <v>31</v>
      </c>
    </row>
    <row r="37" customFormat="false" ht="30" hidden="false" customHeight="true" outlineLevel="0" collapsed="false">
      <c r="A37" s="4" t="s">
        <v>32</v>
      </c>
    </row>
    <row r="39" customFormat="false" ht="15" hidden="false" customHeight="false" outlineLevel="0" collapsed="false">
      <c r="A39" s="5" t="s">
        <v>14</v>
      </c>
    </row>
    <row r="40" customFormat="false" ht="15" hidden="false" customHeight="false" outlineLevel="0" collapsed="false">
      <c r="A40" s="6" t="s">
        <v>6</v>
      </c>
      <c r="B40" s="6" t="s">
        <v>15</v>
      </c>
      <c r="C40" s="6" t="s">
        <v>16</v>
      </c>
      <c r="D40" s="6" t="s">
        <v>9</v>
      </c>
    </row>
    <row r="41" customFormat="false" ht="15" hidden="false" customHeight="false" outlineLevel="0" collapsed="false">
      <c r="A41" s="7" t="s">
        <v>33</v>
      </c>
      <c r="B41" s="7" t="n">
        <v>20</v>
      </c>
      <c r="C41" s="8" t="n">
        <v>60</v>
      </c>
      <c r="D41" s="8" t="n">
        <f aca="false">B41*C41</f>
        <v>1200</v>
      </c>
    </row>
    <row r="42" customFormat="false" ht="15" hidden="false" customHeight="false" outlineLevel="0" collapsed="false">
      <c r="A42" s="9" t="s">
        <v>18</v>
      </c>
      <c r="B42" s="9"/>
      <c r="C42" s="9"/>
      <c r="D42" s="10" t="n">
        <f aca="false">SUM(D41:D41)</f>
        <v>1200</v>
      </c>
    </row>
    <row r="44" customFormat="false" ht="15" hidden="false" customHeight="false" outlineLevel="0" collapsed="false">
      <c r="A44" s="5" t="s">
        <v>19</v>
      </c>
    </row>
    <row r="45" customFormat="false" ht="15" hidden="false" customHeight="false" outlineLevel="0" collapsed="false">
      <c r="A45" s="6" t="s">
        <v>6</v>
      </c>
      <c r="B45" s="6" t="s">
        <v>20</v>
      </c>
      <c r="C45" s="6"/>
      <c r="D45" s="6" t="s">
        <v>9</v>
      </c>
    </row>
    <row r="46" customFormat="false" ht="15" hidden="false" customHeight="false" outlineLevel="0" collapsed="false">
      <c r="A46" s="7" t="s">
        <v>34</v>
      </c>
      <c r="B46" s="7" t="s">
        <v>35</v>
      </c>
      <c r="C46" s="7"/>
      <c r="D46" s="8" t="n">
        <v>180</v>
      </c>
    </row>
    <row r="47" customFormat="false" ht="15" hidden="false" customHeight="false" outlineLevel="0" collapsed="false">
      <c r="A47" s="7" t="s">
        <v>36</v>
      </c>
      <c r="B47" s="7" t="s">
        <v>35</v>
      </c>
      <c r="C47" s="7"/>
      <c r="D47" s="8" t="n">
        <v>60</v>
      </c>
    </row>
    <row r="48" customFormat="false" ht="15" hidden="false" customHeight="false" outlineLevel="0" collapsed="false">
      <c r="A48" s="9" t="s">
        <v>24</v>
      </c>
      <c r="B48" s="9"/>
      <c r="C48" s="9"/>
      <c r="D48" s="10" t="n">
        <f aca="false">SUM(D46:D47)</f>
        <v>240</v>
      </c>
    </row>
    <row r="50" customFormat="false" ht="15" hidden="false" customHeight="false" outlineLevel="0" collapsed="false">
      <c r="A50" s="5" t="s">
        <v>25</v>
      </c>
    </row>
    <row r="51" customFormat="false" ht="15" hidden="false" customHeight="false" outlineLevel="0" collapsed="false">
      <c r="A51" s="6" t="s">
        <v>6</v>
      </c>
      <c r="B51" s="6"/>
      <c r="C51" s="6"/>
      <c r="D51" s="6" t="s">
        <v>9</v>
      </c>
    </row>
    <row r="52" customFormat="false" ht="15" hidden="false" customHeight="false" outlineLevel="0" collapsed="false">
      <c r="A52" s="7" t="s">
        <v>37</v>
      </c>
      <c r="D52" s="8" t="n">
        <v>0</v>
      </c>
    </row>
    <row r="53" customFormat="false" ht="15" hidden="false" customHeight="false" outlineLevel="0" collapsed="false">
      <c r="A53" s="7" t="s">
        <v>14</v>
      </c>
      <c r="D53" s="8" t="n">
        <f aca="false">D42</f>
        <v>1200</v>
      </c>
    </row>
    <row r="54" customFormat="false" ht="15" hidden="false" customHeight="false" outlineLevel="0" collapsed="false">
      <c r="A54" s="7" t="s">
        <v>27</v>
      </c>
      <c r="D54" s="8" t="n">
        <f aca="false">D48</f>
        <v>240</v>
      </c>
    </row>
    <row r="55" customFormat="false" ht="15" hidden="false" customHeight="false" outlineLevel="0" collapsed="false">
      <c r="A55" s="9" t="s">
        <v>28</v>
      </c>
      <c r="D55" s="10" t="n">
        <f aca="false">SUM(D52:D54)</f>
        <v>1440</v>
      </c>
    </row>
    <row r="56" customFormat="false" ht="15" hidden="false" customHeight="false" outlineLevel="0" collapsed="false">
      <c r="A56" s="7" t="s">
        <v>38</v>
      </c>
      <c r="D56" s="7" t="n">
        <v>30</v>
      </c>
    </row>
    <row r="57" customFormat="false" ht="15" hidden="false" customHeight="false" outlineLevel="0" collapsed="false">
      <c r="A57" s="9" t="s">
        <v>30</v>
      </c>
      <c r="D57" s="10" t="n">
        <f aca="false">D55/D56</f>
        <v>48</v>
      </c>
    </row>
    <row r="60" customFormat="false" ht="16.15" hidden="false" customHeight="false" outlineLevel="0" collapsed="false">
      <c r="A60" s="2" t="s">
        <v>39</v>
      </c>
    </row>
    <row r="61" customFormat="false" ht="30" hidden="false" customHeight="true" outlineLevel="0" collapsed="false">
      <c r="A61" s="4" t="s">
        <v>40</v>
      </c>
    </row>
    <row r="63" customFormat="false" ht="15" hidden="false" customHeight="false" outlineLevel="0" collapsed="false">
      <c r="A63" s="5" t="s">
        <v>14</v>
      </c>
    </row>
    <row r="64" customFormat="false" ht="15" hidden="false" customHeight="false" outlineLevel="0" collapsed="false">
      <c r="A64" s="6" t="s">
        <v>6</v>
      </c>
      <c r="B64" s="6" t="s">
        <v>15</v>
      </c>
      <c r="C64" s="6" t="s">
        <v>16</v>
      </c>
      <c r="D64" s="6" t="s">
        <v>9</v>
      </c>
    </row>
    <row r="65" customFormat="false" ht="15" hidden="false" customHeight="false" outlineLevel="0" collapsed="false">
      <c r="A65" s="7" t="s">
        <v>41</v>
      </c>
      <c r="B65" s="7" t="n">
        <v>8</v>
      </c>
      <c r="C65" s="8" t="n">
        <v>45</v>
      </c>
      <c r="D65" s="8" t="n">
        <f aca="false">B65*C65</f>
        <v>360</v>
      </c>
    </row>
    <row r="66" customFormat="false" ht="15" hidden="false" customHeight="false" outlineLevel="0" collapsed="false">
      <c r="A66" s="9" t="s">
        <v>18</v>
      </c>
      <c r="B66" s="9"/>
      <c r="C66" s="9"/>
      <c r="D66" s="10" t="n">
        <f aca="false">SUM(D65:D65)</f>
        <v>360</v>
      </c>
    </row>
    <row r="68" customFormat="false" ht="15" hidden="false" customHeight="false" outlineLevel="0" collapsed="false">
      <c r="A68" s="5" t="s">
        <v>19</v>
      </c>
    </row>
    <row r="69" customFormat="false" ht="15" hidden="false" customHeight="false" outlineLevel="0" collapsed="false">
      <c r="A69" s="6" t="s">
        <v>6</v>
      </c>
      <c r="B69" s="6" t="s">
        <v>20</v>
      </c>
      <c r="C69" s="6"/>
      <c r="D69" s="6" t="s">
        <v>9</v>
      </c>
    </row>
    <row r="70" customFormat="false" ht="15" hidden="false" customHeight="false" outlineLevel="0" collapsed="false">
      <c r="A70" s="7" t="s">
        <v>42</v>
      </c>
      <c r="B70" s="7" t="s">
        <v>43</v>
      </c>
      <c r="C70" s="7"/>
      <c r="D70" s="8" t="n">
        <v>64</v>
      </c>
    </row>
    <row r="71" customFormat="false" ht="15" hidden="false" customHeight="false" outlineLevel="0" collapsed="false">
      <c r="A71" s="7" t="s">
        <v>44</v>
      </c>
      <c r="B71" s="7" t="s">
        <v>45</v>
      </c>
      <c r="C71" s="7"/>
      <c r="D71" s="8" t="n">
        <v>20</v>
      </c>
    </row>
    <row r="72" customFormat="false" ht="15" hidden="false" customHeight="false" outlineLevel="0" collapsed="false">
      <c r="A72" s="9" t="s">
        <v>24</v>
      </c>
      <c r="B72" s="9"/>
      <c r="C72" s="9"/>
      <c r="D72" s="10" t="n">
        <f aca="false">SUM(D70:D71)</f>
        <v>84</v>
      </c>
    </row>
    <row r="74" customFormat="false" ht="15" hidden="false" customHeight="false" outlineLevel="0" collapsed="false">
      <c r="A74" s="5" t="s">
        <v>25</v>
      </c>
    </row>
    <row r="75" customFormat="false" ht="15" hidden="false" customHeight="false" outlineLevel="0" collapsed="false">
      <c r="A75" s="6" t="s">
        <v>6</v>
      </c>
      <c r="B75" s="6"/>
      <c r="C75" s="6"/>
      <c r="D75" s="6" t="s">
        <v>9</v>
      </c>
    </row>
    <row r="76" customFormat="false" ht="15" hidden="false" customHeight="false" outlineLevel="0" collapsed="false">
      <c r="A76" s="7" t="s">
        <v>37</v>
      </c>
      <c r="D76" s="8" t="n">
        <v>0</v>
      </c>
    </row>
    <row r="77" customFormat="false" ht="15" hidden="false" customHeight="false" outlineLevel="0" collapsed="false">
      <c r="A77" s="7" t="s">
        <v>14</v>
      </c>
      <c r="D77" s="8" t="n">
        <f aca="false">D66</f>
        <v>360</v>
      </c>
    </row>
    <row r="78" customFormat="false" ht="15" hidden="false" customHeight="false" outlineLevel="0" collapsed="false">
      <c r="A78" s="7" t="s">
        <v>27</v>
      </c>
      <c r="D78" s="8" t="n">
        <f aca="false">D72</f>
        <v>84</v>
      </c>
    </row>
    <row r="79" customFormat="false" ht="15" hidden="false" customHeight="false" outlineLevel="0" collapsed="false">
      <c r="A79" s="9" t="s">
        <v>28</v>
      </c>
      <c r="D79" s="10" t="n">
        <f aca="false">SUM(D76:D78)</f>
        <v>444</v>
      </c>
    </row>
    <row r="80" customFormat="false" ht="15" hidden="false" customHeight="false" outlineLevel="0" collapsed="false">
      <c r="A80" s="7" t="s">
        <v>46</v>
      </c>
      <c r="D80" s="7" t="n">
        <v>8</v>
      </c>
    </row>
    <row r="81" customFormat="false" ht="15" hidden="false" customHeight="false" outlineLevel="0" collapsed="false">
      <c r="A81" s="9" t="s">
        <v>30</v>
      </c>
      <c r="D81" s="10" t="n">
        <f aca="false">D79/D80</f>
        <v>55.5</v>
      </c>
    </row>
    <row r="84" customFormat="false" ht="16.15" hidden="false" customHeight="false" outlineLevel="0" collapsed="false">
      <c r="A84" s="2" t="s">
        <v>47</v>
      </c>
    </row>
    <row r="85" customFormat="false" ht="30" hidden="false" customHeight="true" outlineLevel="0" collapsed="false">
      <c r="A85" s="4" t="s">
        <v>48</v>
      </c>
    </row>
    <row r="87" customFormat="false" ht="15" hidden="false" customHeight="false" outlineLevel="0" collapsed="false">
      <c r="A87" s="5" t="s">
        <v>5</v>
      </c>
    </row>
    <row r="88" customFormat="false" ht="15" hidden="false" customHeight="false" outlineLevel="0" collapsed="false">
      <c r="A88" s="6" t="s">
        <v>6</v>
      </c>
      <c r="B88" s="6" t="s">
        <v>7</v>
      </c>
      <c r="C88" s="6" t="s">
        <v>8</v>
      </c>
      <c r="D88" s="6" t="s">
        <v>9</v>
      </c>
    </row>
    <row r="89" customFormat="false" ht="15" hidden="false" customHeight="false" outlineLevel="0" collapsed="false">
      <c r="A89" s="7" t="s">
        <v>49</v>
      </c>
      <c r="B89" s="7" t="n">
        <v>15</v>
      </c>
      <c r="C89" s="8" t="n">
        <v>2.5</v>
      </c>
      <c r="D89" s="8" t="n">
        <f aca="false">B89*C89</f>
        <v>37.5</v>
      </c>
    </row>
    <row r="90" customFormat="false" ht="15" hidden="false" customHeight="false" outlineLevel="0" collapsed="false">
      <c r="A90" s="7" t="s">
        <v>50</v>
      </c>
      <c r="B90" s="7" t="n">
        <v>15</v>
      </c>
      <c r="C90" s="8" t="n">
        <v>4</v>
      </c>
      <c r="D90" s="8" t="n">
        <f aca="false">B90*C90</f>
        <v>60</v>
      </c>
    </row>
    <row r="91" customFormat="false" ht="15" hidden="false" customHeight="false" outlineLevel="0" collapsed="false">
      <c r="A91" s="7" t="s">
        <v>51</v>
      </c>
      <c r="B91" s="7" t="n">
        <v>15</v>
      </c>
      <c r="C91" s="8" t="n">
        <v>1.5</v>
      </c>
      <c r="D91" s="8" t="n">
        <f aca="false">B91*C91</f>
        <v>22.5</v>
      </c>
    </row>
    <row r="92" customFormat="false" ht="15" hidden="false" customHeight="false" outlineLevel="0" collapsed="false">
      <c r="A92" s="9" t="s">
        <v>13</v>
      </c>
      <c r="B92" s="9"/>
      <c r="C92" s="9"/>
      <c r="D92" s="10" t="n">
        <f aca="false">SUM(D89:D91)</f>
        <v>120</v>
      </c>
    </row>
    <row r="94" customFormat="false" ht="15" hidden="false" customHeight="false" outlineLevel="0" collapsed="false">
      <c r="A94" s="5" t="s">
        <v>14</v>
      </c>
    </row>
    <row r="95" customFormat="false" ht="15" hidden="false" customHeight="false" outlineLevel="0" collapsed="false">
      <c r="A95" s="6" t="s">
        <v>6</v>
      </c>
      <c r="B95" s="6" t="s">
        <v>15</v>
      </c>
      <c r="C95" s="6" t="s">
        <v>16</v>
      </c>
      <c r="D95" s="6" t="s">
        <v>9</v>
      </c>
    </row>
    <row r="96" customFormat="false" ht="15" hidden="false" customHeight="false" outlineLevel="0" collapsed="false">
      <c r="A96" s="7" t="s">
        <v>52</v>
      </c>
      <c r="B96" s="7" t="n">
        <v>8</v>
      </c>
      <c r="C96" s="8" t="n">
        <v>12</v>
      </c>
      <c r="D96" s="8" t="n">
        <f aca="false">B96*C96</f>
        <v>96</v>
      </c>
    </row>
    <row r="97" customFormat="false" ht="15" hidden="false" customHeight="false" outlineLevel="0" collapsed="false">
      <c r="A97" s="9" t="s">
        <v>18</v>
      </c>
      <c r="B97" s="9"/>
      <c r="C97" s="9"/>
      <c r="D97" s="10" t="n">
        <f aca="false">SUM(D96:D96)</f>
        <v>96</v>
      </c>
    </row>
    <row r="99" customFormat="false" ht="15" hidden="false" customHeight="false" outlineLevel="0" collapsed="false">
      <c r="A99" s="5" t="s">
        <v>19</v>
      </c>
    </row>
    <row r="100" customFormat="false" ht="15" hidden="false" customHeight="false" outlineLevel="0" collapsed="false">
      <c r="A100" s="6" t="s">
        <v>6</v>
      </c>
      <c r="B100" s="6" t="s">
        <v>20</v>
      </c>
      <c r="C100" s="6"/>
      <c r="D100" s="6" t="s">
        <v>9</v>
      </c>
    </row>
    <row r="101" customFormat="false" ht="15" hidden="false" customHeight="false" outlineLevel="0" collapsed="false">
      <c r="A101" s="7" t="s">
        <v>53</v>
      </c>
      <c r="B101" s="7" t="s">
        <v>54</v>
      </c>
      <c r="C101" s="7"/>
      <c r="D101" s="8" t="n">
        <v>45</v>
      </c>
    </row>
    <row r="102" customFormat="false" ht="15" hidden="false" customHeight="false" outlineLevel="0" collapsed="false">
      <c r="A102" s="9" t="s">
        <v>24</v>
      </c>
      <c r="B102" s="9"/>
      <c r="C102" s="9"/>
      <c r="D102" s="10" t="n">
        <f aca="false">SUM(D101:D101)</f>
        <v>45</v>
      </c>
    </row>
    <row r="104" customFormat="false" ht="15" hidden="false" customHeight="false" outlineLevel="0" collapsed="false">
      <c r="A104" s="5" t="s">
        <v>25</v>
      </c>
    </row>
    <row r="105" customFormat="false" ht="15" hidden="false" customHeight="false" outlineLevel="0" collapsed="false">
      <c r="A105" s="6" t="s">
        <v>6</v>
      </c>
      <c r="B105" s="6"/>
      <c r="C105" s="6"/>
      <c r="D105" s="6" t="s">
        <v>9</v>
      </c>
    </row>
    <row r="106" customFormat="false" ht="15" hidden="false" customHeight="false" outlineLevel="0" collapsed="false">
      <c r="A106" s="7" t="s">
        <v>26</v>
      </c>
      <c r="D106" s="8" t="n">
        <f aca="false">D92</f>
        <v>120</v>
      </c>
    </row>
    <row r="107" customFormat="false" ht="15" hidden="false" customHeight="false" outlineLevel="0" collapsed="false">
      <c r="A107" s="7" t="s">
        <v>14</v>
      </c>
      <c r="D107" s="8" t="n">
        <f aca="false">D97</f>
        <v>96</v>
      </c>
    </row>
    <row r="108" customFormat="false" ht="15" hidden="false" customHeight="false" outlineLevel="0" collapsed="false">
      <c r="A108" s="7" t="s">
        <v>27</v>
      </c>
      <c r="D108" s="8" t="n">
        <f aca="false">D102</f>
        <v>45</v>
      </c>
    </row>
    <row r="109" customFormat="false" ht="15" hidden="false" customHeight="false" outlineLevel="0" collapsed="false">
      <c r="A109" s="9" t="s">
        <v>28</v>
      </c>
      <c r="D109" s="10" t="n">
        <f aca="false">SUM(D106:D108)</f>
        <v>261</v>
      </c>
    </row>
    <row r="110" customFormat="false" ht="15" hidden="false" customHeight="false" outlineLevel="0" collapsed="false">
      <c r="A110" s="7" t="s">
        <v>55</v>
      </c>
      <c r="D110" s="7" t="n">
        <v>15</v>
      </c>
    </row>
    <row r="111" customFormat="false" ht="15" hidden="false" customHeight="false" outlineLevel="0" collapsed="false">
      <c r="A111" s="9" t="s">
        <v>30</v>
      </c>
      <c r="D111" s="10" t="n">
        <f aca="false">D109/D110</f>
        <v>17.4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2026-09-15T11:24:17Z</dcterms:created>
  <dc:creator>openpyxl</dc:creator>
  <dc:description/>
  <dc:language>en-US</dc:language>
  <cp:lastModifiedBy/>
  <dcterms:modified xsi:type="dcterms:W3CDTF">2026-09-15T11:24:17Z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