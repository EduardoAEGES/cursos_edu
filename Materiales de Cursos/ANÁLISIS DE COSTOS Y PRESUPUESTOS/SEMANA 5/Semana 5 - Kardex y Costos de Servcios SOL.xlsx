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IODO 2026 II\CURSOS MKT 2026 II\ANÁLISIS DE COSTOS Y PRESUPUESTOS\SEMANA 5\"/>
    </mc:Choice>
  </mc:AlternateContent>
  <xr:revisionPtr revIDLastSave="0" documentId="8_{F6319A64-CBBC-4F78-80FA-6F85F44D6C70}" xr6:coauthVersionLast="47" xr6:coauthVersionMax="47" xr10:uidLastSave="{00000000-0000-0000-0000-000000000000}"/>
  <bookViews>
    <workbookView xWindow="-108" yWindow="-108" windowWidth="23256" windowHeight="12456" tabRatio="500" activeTab="1" xr2:uid="{00000000-000D-0000-FFFF-FFFF00000000}"/>
  </bookViews>
  <sheets>
    <sheet name="CASO 1" sheetId="1" r:id="rId1"/>
    <sheet name="CASO 2"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I32" i="2" l="1"/>
  <c r="F18" i="2"/>
  <c r="I27" i="2" s="1"/>
  <c r="E16" i="2"/>
  <c r="I14" i="2"/>
  <c r="I15" i="2" s="1"/>
  <c r="I16" i="2" s="1"/>
  <c r="I17" i="2" s="1"/>
  <c r="E14" i="2"/>
  <c r="K13" i="2"/>
  <c r="K14" i="2" s="1"/>
  <c r="I32" i="1"/>
  <c r="F18" i="1"/>
  <c r="E16" i="1"/>
  <c r="I14" i="1"/>
  <c r="I15" i="1" s="1"/>
  <c r="I16" i="1" s="1"/>
  <c r="I17" i="1" s="1"/>
  <c r="E14" i="1"/>
  <c r="K13" i="1"/>
  <c r="K14" i="1" l="1"/>
  <c r="J14" i="1" s="1"/>
  <c r="G15" i="1" s="1"/>
  <c r="H15" i="1" s="1"/>
  <c r="J14" i="2"/>
  <c r="G15" i="2" s="1"/>
  <c r="H15" i="2" s="1"/>
  <c r="K15" i="2" s="1"/>
  <c r="I23" i="2"/>
  <c r="K16" i="2" l="1"/>
  <c r="J15" i="2"/>
  <c r="K15" i="1"/>
  <c r="K16" i="1" l="1"/>
  <c r="J15" i="1"/>
  <c r="J16" i="2"/>
  <c r="G17" i="2" s="1"/>
  <c r="H17" i="2" s="1"/>
  <c r="H18" i="2" s="1"/>
  <c r="I22" i="2" s="1"/>
  <c r="I26" i="2" s="1"/>
  <c r="K17" i="2"/>
  <c r="J17" i="2" s="1"/>
  <c r="I28" i="2" l="1"/>
  <c r="J16" i="1"/>
  <c r="G17" i="1" s="1"/>
  <c r="H17" i="1" s="1"/>
  <c r="H18" i="1" s="1"/>
  <c r="I22" i="1" s="1"/>
  <c r="I26" i="1" s="1"/>
  <c r="K17" i="1" l="1"/>
  <c r="J17" i="1" s="1"/>
  <c r="I28" i="1"/>
  <c r="I33" i="2"/>
  <c r="I31" i="2"/>
  <c r="I31" i="1" l="1"/>
  <c r="I33" i="1"/>
</calcChain>
</file>

<file path=xl/sharedStrings.xml><?xml version="1.0" encoding="utf-8"?>
<sst xmlns="http://schemas.openxmlformats.org/spreadsheetml/2006/main" count="92" uniqueCount="53">
  <si>
    <t>CASO 1 — Lubricentro «El Misti» E.I.R.L. (Arequipa)  ·  Servicio de cambio de aceite</t>
  </si>
  <si>
    <t>CONTEXTO</t>
  </si>
  <si>
    <t>El lubricentro compra aceite de motor y lo consume al prestar el servicio de cambio de aceite. Durante septiembre se registran las compras de aceite y las salidas (aceite usado en los servicios). Se valoriza el inventario por PROMEDIO PONDERADO, se determina el costo del servicio y, finalmente, el precio de venta aplicando un margen sobre el costo. Cada cambio de aceite consume 4 litros.</t>
  </si>
  <si>
    <t>PARÁMETROS DEL CASO (datos)</t>
  </si>
  <si>
    <t>Margen deseado sobre el costo (markup)</t>
  </si>
  <si>
    <t>1) KÁRDEX  —  MÉTODO PROMEDIO PONDERADO  (solo compras y ventas)</t>
  </si>
  <si>
    <t>Fecha</t>
  </si>
  <si>
    <t>Detalle</t>
  </si>
  <si>
    <t>ENTRADAS (COMPRAS)</t>
  </si>
  <si>
    <t>SALIDAS (VENTAS)</t>
  </si>
  <si>
    <t>SALDO</t>
  </si>
  <si>
    <t>Cant.</t>
  </si>
  <si>
    <t>C.Unit</t>
  </si>
  <si>
    <t>Total</t>
  </si>
  <si>
    <t>01/09</t>
  </si>
  <si>
    <t>Saldo inicial</t>
  </si>
  <si>
    <t>05/09</t>
  </si>
  <si>
    <t>Compra de aceite</t>
  </si>
  <si>
    <t>12/09</t>
  </si>
  <si>
    <t>18/09</t>
  </si>
  <si>
    <t>25/09</t>
  </si>
  <si>
    <t>TOTAL VENDIDO / CONSUMIDO EN EL MES</t>
  </si>
  <si>
    <t>2) DETERMINACIÓN DEL COSTO DEL SERVICIO</t>
  </si>
  <si>
    <t>Elemento del costo</t>
  </si>
  <si>
    <t>Importe (S/)</t>
  </si>
  <si>
    <t>Aceite consumido en los servicios  (enlazado desde el kárdex)</t>
  </si>
  <si>
    <t>Filtros de aceite (insumo directo)</t>
  </si>
  <si>
    <t>Mano de obra directa (mecánico)</t>
  </si>
  <si>
    <t>Costos indirectos (energía, consumibles)</t>
  </si>
  <si>
    <t>COSTO TOTAL DEL SERVICIO</t>
  </si>
  <si>
    <t>COSTO UNITARIO DEL SERVICIO</t>
  </si>
  <si>
    <t>3) PRECIO DE VENTA CON MARGEN</t>
  </si>
  <si>
    <t>Costo unitario del servicio</t>
  </si>
  <si>
    <t>Margen sobre el costo (markup)</t>
  </si>
  <si>
    <t>PRECIO DE VENTA UNITARIO  ( = costo × (1 + margen) )</t>
  </si>
  <si>
    <t>CASO 2 — Imprenta «Gigantografías del Sur» S.A.C. (Arequipa)  ·  Impresión de banners</t>
  </si>
  <si>
    <t>La imprenta compra lona (vinil) por metro cuadrado y la consume al imprimir gigantografías. En septiembre se registran las compras de lona y las salidas (lona usada en los banners impresos). Se valoriza por PROMEDIO PONDERADO, se determina el costo del servicio y luego el precio de venta con un margen sobre el costo. Cada banner consume 3 m² de lona.</t>
  </si>
  <si>
    <t>m² de lona por banner</t>
  </si>
  <si>
    <t>06/09</t>
  </si>
  <si>
    <t>Compra de lona</t>
  </si>
  <si>
    <t>13/09</t>
  </si>
  <si>
    <t>Salida (banners)</t>
  </si>
  <si>
    <t>20/09</t>
  </si>
  <si>
    <t>27/09</t>
  </si>
  <si>
    <t>Lona consumida en los banners  (enlazado desde el kárdex)</t>
  </si>
  <si>
    <t>Tinta y consumibles ( S/ 1.20 por m² consumido )</t>
  </si>
  <si>
    <t>Mano de obra directa (operario de impresión)</t>
  </si>
  <si>
    <t>Costos indirectos (energía del plotter, depreciación)</t>
  </si>
  <si>
    <t>Nº de banners del mes  ( = total consumido ÷ m² de lona por banner )</t>
  </si>
  <si>
    <t>Margen deseado</t>
  </si>
  <si>
    <t>Consumo</t>
  </si>
  <si>
    <t>Número de servicios al mes</t>
  </si>
  <si>
    <t>Nº de servicios del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</si>
</sst>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1"/>
    </font>
    <font>
      <b/>
      <sz val="13"/>
      <color theme="1"/>
      <name val="Arial"/>
      <family val="2"/>
    </font>
    <font>
      <b/>
      <sz val="11"/>
      <color theme="1"/>
      <name val="Arial"/>
      <family val="2"/>
    </font>
    <font>
      <sz val="10"/>
      <color theme="1"/>
      <name val="Arial"/>
      <family val="2"/>
    </font>
    <font>
      <b/>
      <sz val="10"/>
      <color theme="1"/>
      <name val="Arial"/>
      <family val="2"/>
    </font>
    <font>
      <b/>
      <sz val="9"/>
      <color theme="1"/>
      <name val="Arial"/>
      <family val="2"/>
    </font>
    <font>
      <sz val="9"/>
      <color theme="1"/>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0" xfId="0" applyFont="1" applyFill="1" applyBorder="1" applyAlignment="1">
      <alignment horizontal="center" vertical="center"/>
    </xf>
    <xf numFmtId="0" fontId="0" fillId="0" borderId="0" xfId="0" applyFont="1" applyFill="1"/>
    <xf numFmtId="0" fontId="2" fillId="0" borderId="0" xfId="0" applyFont="1" applyFill="1" applyBorder="1" applyAlignment="1">
      <alignment vertical="center"/>
    </xf>
    <xf numFmtId="0" fontId="3" fillId="0" borderId="1" xfId="0" applyFont="1" applyFill="1" applyBorder="1" applyAlignment="1">
      <alignment vertical="center"/>
    </xf>
    <xf numFmtId="4" fontId="3" fillId="0" borderId="2" xfId="0" applyNumberFormat="1" applyFont="1" applyFill="1" applyBorder="1" applyAlignment="1">
      <alignment horizontal="center" vertical="center"/>
    </xf>
    <xf numFmtId="164" fontId="3" fillId="0" borderId="2" xfId="0" applyNumberFormat="1" applyFont="1" applyFill="1" applyBorder="1" applyAlignment="1">
      <alignment horizontal="center" vertical="center"/>
    </xf>
    <xf numFmtId="0" fontId="4" fillId="0" borderId="3"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2" xfId="0" applyFont="1" applyFill="1" applyBorder="1" applyAlignment="1">
      <alignment vertical="center"/>
    </xf>
    <xf numFmtId="3" fontId="6" fillId="0" borderId="2" xfId="0" applyNumberFormat="1" applyFont="1" applyFill="1" applyBorder="1" applyAlignment="1">
      <alignment horizontal="center" vertical="center"/>
    </xf>
    <xf numFmtId="4" fontId="6" fillId="0" borderId="2" xfId="0" applyNumberFormat="1" applyFont="1" applyFill="1" applyBorder="1" applyAlignment="1">
      <alignment horizontal="center" vertical="center"/>
    </xf>
    <xf numFmtId="0" fontId="5" fillId="0" borderId="1" xfId="0" applyFont="1" applyFill="1" applyBorder="1" applyAlignment="1">
      <alignment horizontal="right" vertical="center"/>
    </xf>
    <xf numFmtId="0" fontId="4" fillId="0" borderId="1" xfId="0" applyFont="1" applyFill="1" applyBorder="1" applyAlignment="1">
      <alignment vertical="center"/>
    </xf>
    <xf numFmtId="0" fontId="3" fillId="0" borderId="1" xfId="0" applyFont="1" applyFill="1" applyBorder="1" applyAlignment="1">
      <alignment horizontal="center" vertical="center"/>
    </xf>
    <xf numFmtId="3" fontId="3" fillId="0" borderId="1" xfId="0" applyNumberFormat="1" applyFont="1" applyFill="1" applyBorder="1" applyAlignment="1">
      <alignment horizontal="center" vertical="center"/>
    </xf>
    <xf numFmtId="0" fontId="3" fillId="0" borderId="0" xfId="0" applyFont="1" applyFill="1" applyBorder="1" applyAlignment="1">
      <alignment vertical="top" wrapText="1"/>
    </xf>
    <xf numFmtId="0" fontId="4" fillId="0" borderId="4" xfId="0" applyFont="1" applyFill="1" applyBorder="1" applyAlignment="1">
      <alignment vertical="center"/>
    </xf>
    <xf numFmtId="0" fontId="4" fillId="0" borderId="4" xfId="0" applyFont="1" applyFill="1" applyBorder="1" applyAlignment="1">
      <alignment horizontal="center" vertical="center"/>
    </xf>
    <xf numFmtId="0" fontId="3" fillId="0" borderId="4" xfId="0" applyFont="1" applyFill="1" applyBorder="1" applyAlignment="1">
      <alignment vertical="center"/>
    </xf>
    <xf numFmtId="0" fontId="3" fillId="0" borderId="4" xfId="0" applyFont="1" applyFill="1" applyBorder="1" applyAlignment="1">
      <alignment horizontal="center" vertical="center"/>
    </xf>
    <xf numFmtId="3" fontId="3" fillId="0" borderId="4" xfId="0" applyNumberFormat="1" applyFont="1" applyFill="1" applyBorder="1" applyAlignment="1">
      <alignment horizontal="center" vertical="center"/>
    </xf>
    <xf numFmtId="4"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3"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3" fontId="6" fillId="2" borderId="2" xfId="0" applyNumberFormat="1" applyFont="1" applyFill="1" applyBorder="1" applyAlignment="1">
      <alignment horizontal="center" vertical="center"/>
    </xf>
    <xf numFmtId="0" fontId="3" fillId="2" borderId="4" xfId="0" applyFont="1" applyFill="1" applyBorder="1" applyAlignment="1">
      <alignment horizontal="center" vertical="center"/>
    </xf>
    <xf numFmtId="0" fontId="4" fillId="2" borderId="4" xfId="0" applyFont="1" applyFill="1" applyBorder="1" applyAlignment="1">
      <alignment horizontal="center" vertical="center"/>
    </xf>
    <xf numFmtId="164" fontId="3" fillId="2" borderId="4"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showGridLines="0" topLeftCell="A5" zoomScaleNormal="100" workbookViewId="0">
      <selection activeCell="I27" sqref="I27:K27"/>
    </sheetView>
  </sheetViews>
  <sheetFormatPr baseColWidth="10" defaultColWidth="8.6640625" defaultRowHeight="14.4" x14ac:dyDescent="0.3"/>
  <cols>
    <col min="1" max="1" width="11" style="2" customWidth="1"/>
    <col min="2" max="2" width="26" style="2" customWidth="1"/>
    <col min="3" max="3" width="9" style="2" customWidth="1"/>
    <col min="4" max="4" width="11" style="2" customWidth="1"/>
    <col min="5" max="5" width="12" style="2" customWidth="1"/>
    <col min="6" max="6" width="9" style="2" customWidth="1"/>
    <col min="7" max="7" width="11" style="2" customWidth="1"/>
    <col min="8" max="8" width="12" style="2" customWidth="1"/>
    <col min="9" max="9" width="9" style="2" customWidth="1"/>
    <col min="10" max="10" width="11" style="2" customWidth="1"/>
    <col min="11" max="11" width="12" style="2" customWidth="1"/>
    <col min="12" max="16384" width="8.6640625" style="2"/>
  </cols>
  <sheetData>
    <row r="1" spans="1:11" ht="25.5" customHeight="1" x14ac:dyDescent="0.3">
      <c r="A1" s="1" t="s">
        <v>0</v>
      </c>
      <c r="B1" s="1"/>
      <c r="C1" s="1"/>
      <c r="D1" s="1"/>
      <c r="E1" s="1"/>
      <c r="F1" s="1"/>
      <c r="G1" s="1"/>
      <c r="H1" s="1"/>
      <c r="I1" s="1"/>
      <c r="J1" s="1"/>
      <c r="K1" s="1"/>
    </row>
    <row r="3" spans="1:11" x14ac:dyDescent="0.3">
      <c r="A3" s="3" t="s">
        <v>1</v>
      </c>
      <c r="B3" s="3"/>
      <c r="C3" s="3"/>
      <c r="D3" s="3"/>
      <c r="E3" s="3"/>
      <c r="F3" s="3"/>
      <c r="G3" s="3"/>
      <c r="H3" s="3"/>
      <c r="I3" s="3"/>
      <c r="J3" s="3"/>
      <c r="K3" s="3"/>
    </row>
    <row r="4" spans="1:11" ht="46.8" customHeight="1" x14ac:dyDescent="0.3">
      <c r="A4" s="18" t="s">
        <v>2</v>
      </c>
      <c r="B4" s="18"/>
      <c r="C4" s="18"/>
      <c r="D4" s="18"/>
      <c r="E4" s="18"/>
      <c r="F4" s="18"/>
      <c r="G4" s="18"/>
      <c r="H4" s="18"/>
      <c r="I4" s="18"/>
      <c r="J4" s="18"/>
      <c r="K4" s="18"/>
    </row>
    <row r="6" spans="1:11" x14ac:dyDescent="0.3">
      <c r="A6" s="3" t="s">
        <v>3</v>
      </c>
      <c r="B6" s="3"/>
      <c r="C6" s="3"/>
      <c r="D6" s="3"/>
      <c r="E6" s="3"/>
      <c r="F6" s="3"/>
      <c r="G6" s="3"/>
      <c r="H6" s="3"/>
      <c r="I6" s="3"/>
      <c r="J6" s="3"/>
      <c r="K6" s="3"/>
    </row>
    <row r="7" spans="1:11" x14ac:dyDescent="0.3">
      <c r="A7" s="4" t="s">
        <v>51</v>
      </c>
      <c r="B7" s="4"/>
      <c r="C7" s="4"/>
      <c r="D7" s="4"/>
      <c r="E7" s="4"/>
      <c r="F7" s="5">
        <v>55</v>
      </c>
    </row>
    <row r="8" spans="1:11" x14ac:dyDescent="0.3">
      <c r="A8" s="4" t="s">
        <v>49</v>
      </c>
      <c r="B8" s="4"/>
      <c r="C8" s="4"/>
      <c r="D8" s="4"/>
      <c r="E8" s="4"/>
      <c r="F8" s="6">
        <v>0.4</v>
      </c>
    </row>
    <row r="10" spans="1:11" x14ac:dyDescent="0.3">
      <c r="A10" s="3" t="s">
        <v>5</v>
      </c>
      <c r="B10" s="3"/>
      <c r="C10" s="3"/>
      <c r="D10" s="3"/>
      <c r="E10" s="3"/>
      <c r="F10" s="3"/>
      <c r="G10" s="3"/>
      <c r="H10" s="3"/>
      <c r="I10" s="3"/>
      <c r="J10" s="3"/>
      <c r="K10" s="3"/>
    </row>
    <row r="11" spans="1:11" x14ac:dyDescent="0.3">
      <c r="A11" s="7" t="s">
        <v>6</v>
      </c>
      <c r="B11" s="7" t="s">
        <v>7</v>
      </c>
      <c r="C11" s="8" t="s">
        <v>8</v>
      </c>
      <c r="D11" s="8"/>
      <c r="E11" s="8"/>
      <c r="F11" s="8" t="s">
        <v>9</v>
      </c>
      <c r="G11" s="8"/>
      <c r="H11" s="8"/>
      <c r="I11" s="8" t="s">
        <v>10</v>
      </c>
      <c r="J11" s="8"/>
      <c r="K11" s="8"/>
    </row>
    <row r="12" spans="1:11" x14ac:dyDescent="0.3">
      <c r="A12" s="7"/>
      <c r="B12" s="7"/>
      <c r="C12" s="9" t="s">
        <v>11</v>
      </c>
      <c r="D12" s="9" t="s">
        <v>12</v>
      </c>
      <c r="E12" s="9" t="s">
        <v>13</v>
      </c>
      <c r="F12" s="9" t="s">
        <v>11</v>
      </c>
      <c r="G12" s="9" t="s">
        <v>12</v>
      </c>
      <c r="H12" s="9" t="s">
        <v>13</v>
      </c>
      <c r="I12" s="9" t="s">
        <v>11</v>
      </c>
      <c r="J12" s="9" t="s">
        <v>12</v>
      </c>
      <c r="K12" s="9" t="s">
        <v>13</v>
      </c>
    </row>
    <row r="13" spans="1:11" x14ac:dyDescent="0.3">
      <c r="A13" s="10" t="s">
        <v>14</v>
      </c>
      <c r="B13" s="11" t="s">
        <v>15</v>
      </c>
      <c r="C13" s="10"/>
      <c r="D13" s="10"/>
      <c r="E13" s="10"/>
      <c r="F13" s="10"/>
      <c r="G13" s="10"/>
      <c r="H13" s="10"/>
      <c r="I13" s="12">
        <v>60</v>
      </c>
      <c r="J13" s="13">
        <v>18</v>
      </c>
      <c r="K13" s="24">
        <f>I13*J13</f>
        <v>1080</v>
      </c>
    </row>
    <row r="14" spans="1:11" x14ac:dyDescent="0.3">
      <c r="A14" s="10" t="s">
        <v>16</v>
      </c>
      <c r="B14" s="11" t="s">
        <v>17</v>
      </c>
      <c r="C14" s="12">
        <v>120</v>
      </c>
      <c r="D14" s="13">
        <v>18.5</v>
      </c>
      <c r="E14" s="24">
        <f>C14*D14</f>
        <v>2220</v>
      </c>
      <c r="F14" s="10"/>
      <c r="G14" s="10"/>
      <c r="H14" s="10"/>
      <c r="I14" s="28">
        <f>I13+C14</f>
        <v>180</v>
      </c>
      <c r="J14" s="25">
        <f>K14/I14</f>
        <v>18.333333333333332</v>
      </c>
      <c r="K14" s="24">
        <f>K13+E14</f>
        <v>3300</v>
      </c>
    </row>
    <row r="15" spans="1:11" x14ac:dyDescent="0.3">
      <c r="A15" s="10" t="s">
        <v>18</v>
      </c>
      <c r="B15" s="11" t="s">
        <v>50</v>
      </c>
      <c r="C15" s="10"/>
      <c r="D15" s="10"/>
      <c r="E15" s="10"/>
      <c r="F15" s="12">
        <v>100</v>
      </c>
      <c r="G15" s="25">
        <f>J14</f>
        <v>18.333333333333332</v>
      </c>
      <c r="H15" s="24">
        <f>F15*G15</f>
        <v>1833.3333333333333</v>
      </c>
      <c r="I15" s="28">
        <f>I14-F15</f>
        <v>80</v>
      </c>
      <c r="J15" s="25">
        <f>K15/I15</f>
        <v>18.333333333333336</v>
      </c>
      <c r="K15" s="24">
        <f>K14-H15</f>
        <v>1466.6666666666667</v>
      </c>
    </row>
    <row r="16" spans="1:11" x14ac:dyDescent="0.3">
      <c r="A16" s="10" t="s">
        <v>19</v>
      </c>
      <c r="B16" s="11" t="s">
        <v>17</v>
      </c>
      <c r="C16" s="12">
        <v>80</v>
      </c>
      <c r="D16" s="13">
        <v>19</v>
      </c>
      <c r="E16" s="24">
        <f>C16*D16</f>
        <v>1520</v>
      </c>
      <c r="F16" s="10"/>
      <c r="G16" s="10"/>
      <c r="H16" s="10"/>
      <c r="I16" s="28">
        <f>I15+C16</f>
        <v>160</v>
      </c>
      <c r="J16" s="25">
        <f>K16/I16</f>
        <v>18.666666666666668</v>
      </c>
      <c r="K16" s="24">
        <f>K15+E16</f>
        <v>2986.666666666667</v>
      </c>
    </row>
    <row r="17" spans="1:11" x14ac:dyDescent="0.3">
      <c r="A17" s="10" t="s">
        <v>20</v>
      </c>
      <c r="B17" s="11" t="s">
        <v>50</v>
      </c>
      <c r="C17" s="10"/>
      <c r="D17" s="10"/>
      <c r="E17" s="10"/>
      <c r="F17" s="12">
        <v>120</v>
      </c>
      <c r="G17" s="25">
        <f>J16</f>
        <v>18.666666666666668</v>
      </c>
      <c r="H17" s="24">
        <f>F17*G17</f>
        <v>2240</v>
      </c>
      <c r="I17" s="28">
        <f>I16-F17</f>
        <v>40</v>
      </c>
      <c r="J17" s="25">
        <f>K17/I17</f>
        <v>18.666666666666675</v>
      </c>
      <c r="K17" s="24">
        <f>K16-H17</f>
        <v>746.66666666666697</v>
      </c>
    </row>
    <row r="18" spans="1:11" x14ac:dyDescent="0.3">
      <c r="A18" s="14" t="s">
        <v>21</v>
      </c>
      <c r="B18" s="14"/>
      <c r="C18" s="14"/>
      <c r="D18" s="14"/>
      <c r="E18" s="14"/>
      <c r="F18" s="26">
        <f>F15+F17</f>
        <v>220</v>
      </c>
      <c r="G18" s="11"/>
      <c r="H18" s="27">
        <f>H15+H17</f>
        <v>4073.333333333333</v>
      </c>
      <c r="I18" s="11"/>
      <c r="J18" s="11"/>
      <c r="K18" s="11"/>
    </row>
    <row r="20" spans="1:11" x14ac:dyDescent="0.3">
      <c r="A20" s="3" t="s">
        <v>22</v>
      </c>
      <c r="B20" s="3"/>
      <c r="C20" s="3"/>
      <c r="D20" s="3"/>
      <c r="E20" s="3"/>
      <c r="F20" s="3"/>
      <c r="G20" s="3"/>
      <c r="H20" s="3"/>
      <c r="I20" s="3"/>
      <c r="J20" s="3"/>
      <c r="K20" s="3"/>
    </row>
    <row r="21" spans="1:11" x14ac:dyDescent="0.3">
      <c r="A21" s="19" t="s">
        <v>23</v>
      </c>
      <c r="B21" s="19"/>
      <c r="C21" s="19"/>
      <c r="D21" s="19"/>
      <c r="E21" s="19"/>
      <c r="F21" s="19"/>
      <c r="G21" s="19"/>
      <c r="H21" s="19"/>
      <c r="I21" s="20" t="s">
        <v>24</v>
      </c>
      <c r="J21" s="20"/>
      <c r="K21" s="20"/>
    </row>
    <row r="22" spans="1:11" x14ac:dyDescent="0.3">
      <c r="A22" s="21" t="s">
        <v>25</v>
      </c>
      <c r="B22" s="21"/>
      <c r="C22" s="21"/>
      <c r="D22" s="21"/>
      <c r="E22" s="21"/>
      <c r="F22" s="21"/>
      <c r="G22" s="21"/>
      <c r="H22" s="21"/>
      <c r="I22" s="29">
        <f>H18</f>
        <v>4073.333333333333</v>
      </c>
      <c r="J22" s="29"/>
      <c r="K22" s="29"/>
    </row>
    <row r="23" spans="1:11" x14ac:dyDescent="0.3">
      <c r="A23" s="21" t="s">
        <v>26</v>
      </c>
      <c r="B23" s="21"/>
      <c r="C23" s="21"/>
      <c r="D23" s="21"/>
      <c r="E23" s="21"/>
      <c r="F23" s="21"/>
      <c r="G23" s="21"/>
      <c r="H23" s="21"/>
      <c r="I23" s="22">
        <v>440</v>
      </c>
      <c r="J23" s="22"/>
      <c r="K23" s="22"/>
    </row>
    <row r="24" spans="1:11" x14ac:dyDescent="0.3">
      <c r="A24" s="21" t="s">
        <v>27</v>
      </c>
      <c r="B24" s="21"/>
      <c r="C24" s="21"/>
      <c r="D24" s="21"/>
      <c r="E24" s="21"/>
      <c r="F24" s="21"/>
      <c r="G24" s="21"/>
      <c r="H24" s="21"/>
      <c r="I24" s="22">
        <v>594</v>
      </c>
      <c r="J24" s="22"/>
      <c r="K24" s="22"/>
    </row>
    <row r="25" spans="1:11" x14ac:dyDescent="0.3">
      <c r="A25" s="21" t="s">
        <v>28</v>
      </c>
      <c r="B25" s="21"/>
      <c r="C25" s="21"/>
      <c r="D25" s="21"/>
      <c r="E25" s="21"/>
      <c r="F25" s="21"/>
      <c r="G25" s="21"/>
      <c r="H25" s="21"/>
      <c r="I25" s="22">
        <v>160</v>
      </c>
      <c r="J25" s="22"/>
      <c r="K25" s="22"/>
    </row>
    <row r="26" spans="1:11" x14ac:dyDescent="0.3">
      <c r="A26" s="19" t="s">
        <v>29</v>
      </c>
      <c r="B26" s="19"/>
      <c r="C26" s="19"/>
      <c r="D26" s="19"/>
      <c r="E26" s="19"/>
      <c r="F26" s="19"/>
      <c r="G26" s="19"/>
      <c r="H26" s="19"/>
      <c r="I26" s="30">
        <f>I22+I23+I24+I25</f>
        <v>5267.333333333333</v>
      </c>
      <c r="J26" s="30"/>
      <c r="K26" s="30"/>
    </row>
    <row r="27" spans="1:11" x14ac:dyDescent="0.3">
      <c r="A27" s="21" t="s">
        <v>52</v>
      </c>
      <c r="B27" s="21"/>
      <c r="C27" s="21"/>
      <c r="D27" s="21"/>
      <c r="E27" s="21"/>
      <c r="F27" s="21"/>
      <c r="G27" s="21"/>
      <c r="H27" s="21"/>
      <c r="I27" s="23">
        <v>55</v>
      </c>
      <c r="J27" s="23"/>
      <c r="K27" s="23"/>
    </row>
    <row r="28" spans="1:11" x14ac:dyDescent="0.3">
      <c r="A28" s="19" t="s">
        <v>30</v>
      </c>
      <c r="B28" s="19"/>
      <c r="C28" s="19"/>
      <c r="D28" s="19"/>
      <c r="E28" s="19"/>
      <c r="F28" s="19"/>
      <c r="G28" s="19"/>
      <c r="H28" s="19"/>
      <c r="I28" s="30">
        <f>I26/I27</f>
        <v>95.769696969696966</v>
      </c>
      <c r="J28" s="30"/>
      <c r="K28" s="30"/>
    </row>
    <row r="30" spans="1:11" x14ac:dyDescent="0.3">
      <c r="A30" s="3" t="s">
        <v>31</v>
      </c>
      <c r="B30" s="3"/>
      <c r="C30" s="3"/>
      <c r="D30" s="3"/>
      <c r="E30" s="3"/>
      <c r="F30" s="3"/>
      <c r="G30" s="3"/>
      <c r="H30" s="3"/>
      <c r="I30" s="3"/>
      <c r="J30" s="3"/>
      <c r="K30" s="3"/>
    </row>
    <row r="31" spans="1:11" x14ac:dyDescent="0.3">
      <c r="A31" s="21" t="s">
        <v>32</v>
      </c>
      <c r="B31" s="21"/>
      <c r="C31" s="21"/>
      <c r="D31" s="21"/>
      <c r="E31" s="21"/>
      <c r="F31" s="21"/>
      <c r="G31" s="21"/>
      <c r="H31" s="21"/>
      <c r="I31" s="29">
        <f>I28</f>
        <v>95.769696969696966</v>
      </c>
      <c r="J31" s="29"/>
      <c r="K31" s="29"/>
    </row>
    <row r="32" spans="1:11" x14ac:dyDescent="0.3">
      <c r="A32" s="21" t="s">
        <v>33</v>
      </c>
      <c r="B32" s="21"/>
      <c r="C32" s="21"/>
      <c r="D32" s="21"/>
      <c r="E32" s="21"/>
      <c r="F32" s="21"/>
      <c r="G32" s="21"/>
      <c r="H32" s="21"/>
      <c r="I32" s="31">
        <f>F8</f>
        <v>0.4</v>
      </c>
      <c r="J32" s="31"/>
      <c r="K32" s="31"/>
    </row>
    <row r="33" spans="1:11" x14ac:dyDescent="0.3">
      <c r="A33" s="19" t="s">
        <v>34</v>
      </c>
      <c r="B33" s="19"/>
      <c r="C33" s="19"/>
      <c r="D33" s="19"/>
      <c r="E33" s="19"/>
      <c r="F33" s="19"/>
      <c r="G33" s="19"/>
      <c r="H33" s="19"/>
      <c r="I33" s="30">
        <f>I28*(1+F8)</f>
        <v>134.07757575757574</v>
      </c>
      <c r="J33" s="30"/>
      <c r="K33" s="30"/>
    </row>
  </sheetData>
  <mergeCells count="37">
    <mergeCell ref="A33:H33"/>
    <mergeCell ref="I33:K33"/>
    <mergeCell ref="A30:K30"/>
    <mergeCell ref="A31:H31"/>
    <mergeCell ref="I31:K31"/>
    <mergeCell ref="A32:H32"/>
    <mergeCell ref="I32:K32"/>
    <mergeCell ref="A26:H26"/>
    <mergeCell ref="I26:K26"/>
    <mergeCell ref="A27:H27"/>
    <mergeCell ref="I27:K27"/>
    <mergeCell ref="A28:H28"/>
    <mergeCell ref="I28:K28"/>
    <mergeCell ref="A23:H23"/>
    <mergeCell ref="I23:K23"/>
    <mergeCell ref="A24:H24"/>
    <mergeCell ref="I24:K24"/>
    <mergeCell ref="A25:H25"/>
    <mergeCell ref="I25:K25"/>
    <mergeCell ref="A18:E18"/>
    <mergeCell ref="A20:K20"/>
    <mergeCell ref="A21:H21"/>
    <mergeCell ref="I21:K21"/>
    <mergeCell ref="A22:H22"/>
    <mergeCell ref="I22:K22"/>
    <mergeCell ref="A7:E7"/>
    <mergeCell ref="A8:E8"/>
    <mergeCell ref="A10:K10"/>
    <mergeCell ref="A11:A12"/>
    <mergeCell ref="B11:B12"/>
    <mergeCell ref="C11:E11"/>
    <mergeCell ref="F11:H11"/>
    <mergeCell ref="I11:K11"/>
    <mergeCell ref="A1:K1"/>
    <mergeCell ref="A3:K3"/>
    <mergeCell ref="A4:K4"/>
    <mergeCell ref="A6:K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3"/>
  <sheetViews>
    <sheetView showGridLines="0" tabSelected="1" zoomScaleNormal="100" workbookViewId="0">
      <selection sqref="A1:K1"/>
    </sheetView>
  </sheetViews>
  <sheetFormatPr baseColWidth="10" defaultColWidth="8.6640625" defaultRowHeight="14.4" x14ac:dyDescent="0.3"/>
  <cols>
    <col min="1" max="1" width="11" style="2" customWidth="1"/>
    <col min="2" max="2" width="26" style="2" customWidth="1"/>
    <col min="3" max="3" width="9" style="2" customWidth="1"/>
    <col min="4" max="4" width="11" style="2" customWidth="1"/>
    <col min="5" max="5" width="12" style="2" customWidth="1"/>
    <col min="6" max="6" width="9" style="2" customWidth="1"/>
    <col min="7" max="7" width="11" style="2" customWidth="1"/>
    <col min="8" max="8" width="12" style="2" customWidth="1"/>
    <col min="9" max="9" width="9" style="2" customWidth="1"/>
    <col min="10" max="10" width="11" style="2" customWidth="1"/>
    <col min="11" max="11" width="12" style="2" customWidth="1"/>
    <col min="12" max="16384" width="8.6640625" style="2"/>
  </cols>
  <sheetData>
    <row r="1" spans="1:11" ht="25.5" customHeight="1" x14ac:dyDescent="0.3">
      <c r="A1" s="1" t="s">
        <v>35</v>
      </c>
      <c r="B1" s="1"/>
      <c r="C1" s="1"/>
      <c r="D1" s="1"/>
      <c r="E1" s="1"/>
      <c r="F1" s="1"/>
      <c r="G1" s="1"/>
      <c r="H1" s="1"/>
      <c r="I1" s="1"/>
      <c r="J1" s="1"/>
      <c r="K1" s="1"/>
    </row>
    <row r="3" spans="1:11" x14ac:dyDescent="0.3">
      <c r="A3" s="3" t="s">
        <v>1</v>
      </c>
      <c r="B3" s="3"/>
      <c r="C3" s="3"/>
      <c r="D3" s="3"/>
      <c r="E3" s="3"/>
      <c r="F3" s="3"/>
      <c r="G3" s="3"/>
      <c r="H3" s="3"/>
      <c r="I3" s="3"/>
      <c r="J3" s="3"/>
      <c r="K3" s="3"/>
    </row>
    <row r="4" spans="1:11" ht="57.75" customHeight="1" x14ac:dyDescent="0.3">
      <c r="A4" s="18" t="s">
        <v>36</v>
      </c>
      <c r="B4" s="18"/>
      <c r="C4" s="18"/>
      <c r="D4" s="18"/>
      <c r="E4" s="18"/>
      <c r="F4" s="18"/>
      <c r="G4" s="18"/>
      <c r="H4" s="18"/>
      <c r="I4" s="18"/>
      <c r="J4" s="18"/>
      <c r="K4" s="18"/>
    </row>
    <row r="6" spans="1:11" x14ac:dyDescent="0.3">
      <c r="A6" s="3" t="s">
        <v>3</v>
      </c>
      <c r="B6" s="3"/>
      <c r="C6" s="3"/>
      <c r="D6" s="3"/>
      <c r="E6" s="3"/>
      <c r="F6" s="3"/>
      <c r="G6" s="3"/>
      <c r="H6" s="3"/>
      <c r="I6" s="3"/>
      <c r="J6" s="3"/>
      <c r="K6" s="3"/>
    </row>
    <row r="7" spans="1:11" x14ac:dyDescent="0.3">
      <c r="A7" s="4" t="s">
        <v>37</v>
      </c>
      <c r="B7" s="4"/>
      <c r="C7" s="4"/>
      <c r="D7" s="4"/>
      <c r="E7" s="4"/>
      <c r="F7" s="5">
        <v>3</v>
      </c>
    </row>
    <row r="8" spans="1:11" x14ac:dyDescent="0.3">
      <c r="A8" s="4" t="s">
        <v>4</v>
      </c>
      <c r="B8" s="4"/>
      <c r="C8" s="4"/>
      <c r="D8" s="4"/>
      <c r="E8" s="4"/>
      <c r="F8" s="6">
        <v>0.45</v>
      </c>
    </row>
    <row r="10" spans="1:11" x14ac:dyDescent="0.3">
      <c r="A10" s="3" t="s">
        <v>5</v>
      </c>
      <c r="B10" s="3"/>
      <c r="C10" s="3"/>
      <c r="D10" s="3"/>
      <c r="E10" s="3"/>
      <c r="F10" s="3"/>
      <c r="G10" s="3"/>
      <c r="H10" s="3"/>
      <c r="I10" s="3"/>
      <c r="J10" s="3"/>
      <c r="K10" s="3"/>
    </row>
    <row r="11" spans="1:11" x14ac:dyDescent="0.3">
      <c r="A11" s="7" t="s">
        <v>6</v>
      </c>
      <c r="B11" s="7" t="s">
        <v>7</v>
      </c>
      <c r="C11" s="8" t="s">
        <v>8</v>
      </c>
      <c r="D11" s="8"/>
      <c r="E11" s="8"/>
      <c r="F11" s="8" t="s">
        <v>9</v>
      </c>
      <c r="G11" s="8"/>
      <c r="H11" s="8"/>
      <c r="I11" s="8" t="s">
        <v>10</v>
      </c>
      <c r="J11" s="8"/>
      <c r="K11" s="8"/>
    </row>
    <row r="12" spans="1:11" x14ac:dyDescent="0.3">
      <c r="A12" s="7"/>
      <c r="B12" s="7"/>
      <c r="C12" s="9" t="s">
        <v>11</v>
      </c>
      <c r="D12" s="9" t="s">
        <v>12</v>
      </c>
      <c r="E12" s="9" t="s">
        <v>13</v>
      </c>
      <c r="F12" s="9" t="s">
        <v>11</v>
      </c>
      <c r="G12" s="9" t="s">
        <v>12</v>
      </c>
      <c r="H12" s="9" t="s">
        <v>13</v>
      </c>
      <c r="I12" s="9" t="s">
        <v>11</v>
      </c>
      <c r="J12" s="9" t="s">
        <v>12</v>
      </c>
      <c r="K12" s="9" t="s">
        <v>13</v>
      </c>
    </row>
    <row r="13" spans="1:11" x14ac:dyDescent="0.3">
      <c r="A13" s="10" t="s">
        <v>14</v>
      </c>
      <c r="B13" s="11" t="s">
        <v>15</v>
      </c>
      <c r="C13" s="10"/>
      <c r="D13" s="10"/>
      <c r="E13" s="10"/>
      <c r="F13" s="10"/>
      <c r="G13" s="10"/>
      <c r="H13" s="10"/>
      <c r="I13" s="12">
        <v>150</v>
      </c>
      <c r="J13" s="13">
        <v>6</v>
      </c>
      <c r="K13" s="24">
        <f>I13*J13</f>
        <v>900</v>
      </c>
    </row>
    <row r="14" spans="1:11" x14ac:dyDescent="0.3">
      <c r="A14" s="10" t="s">
        <v>38</v>
      </c>
      <c r="B14" s="11" t="s">
        <v>39</v>
      </c>
      <c r="C14" s="12">
        <v>400</v>
      </c>
      <c r="D14" s="13">
        <v>6.2</v>
      </c>
      <c r="E14" s="24">
        <f>C14*D14</f>
        <v>2480</v>
      </c>
      <c r="F14" s="10"/>
      <c r="G14" s="10"/>
      <c r="H14" s="10"/>
      <c r="I14" s="28">
        <f>I13+C14</f>
        <v>550</v>
      </c>
      <c r="J14" s="25">
        <f>K14/I14</f>
        <v>6.1454545454545455</v>
      </c>
      <c r="K14" s="24">
        <f>K13+E14</f>
        <v>3380</v>
      </c>
    </row>
    <row r="15" spans="1:11" x14ac:dyDescent="0.3">
      <c r="A15" s="10" t="s">
        <v>40</v>
      </c>
      <c r="B15" s="11" t="s">
        <v>41</v>
      </c>
      <c r="C15" s="10"/>
      <c r="D15" s="10"/>
      <c r="E15" s="10"/>
      <c r="F15" s="12">
        <v>300</v>
      </c>
      <c r="G15" s="25">
        <f>J14</f>
        <v>6.1454545454545455</v>
      </c>
      <c r="H15" s="13">
        <f>F15*G15</f>
        <v>1843.6363636363637</v>
      </c>
      <c r="I15" s="28">
        <f>I14-F15</f>
        <v>250</v>
      </c>
      <c r="J15" s="25">
        <f>K15/I15</f>
        <v>6.1454545454545446</v>
      </c>
      <c r="K15" s="24">
        <f>K14-H15</f>
        <v>1536.3636363636363</v>
      </c>
    </row>
    <row r="16" spans="1:11" x14ac:dyDescent="0.3">
      <c r="A16" s="10" t="s">
        <v>42</v>
      </c>
      <c r="B16" s="11" t="s">
        <v>39</v>
      </c>
      <c r="C16" s="12">
        <v>350</v>
      </c>
      <c r="D16" s="13">
        <v>6.5</v>
      </c>
      <c r="E16" s="24">
        <f>C16*D16</f>
        <v>2275</v>
      </c>
      <c r="F16" s="10"/>
      <c r="G16" s="10"/>
      <c r="H16" s="10"/>
      <c r="I16" s="28">
        <f>I15+C16</f>
        <v>600</v>
      </c>
      <c r="J16" s="25">
        <f>K16/I16</f>
        <v>6.3522727272727266</v>
      </c>
      <c r="K16" s="24">
        <f>K15+E16</f>
        <v>3811.363636363636</v>
      </c>
    </row>
    <row r="17" spans="1:11" x14ac:dyDescent="0.3">
      <c r="A17" s="10" t="s">
        <v>43</v>
      </c>
      <c r="B17" s="11" t="s">
        <v>41</v>
      </c>
      <c r="C17" s="10"/>
      <c r="D17" s="10"/>
      <c r="E17" s="10"/>
      <c r="F17" s="12">
        <v>450</v>
      </c>
      <c r="G17" s="25">
        <f>J16</f>
        <v>6.3522727272727266</v>
      </c>
      <c r="H17" s="13">
        <f>F17*G17</f>
        <v>2858.522727272727</v>
      </c>
      <c r="I17" s="28">
        <f>I16-F17</f>
        <v>150</v>
      </c>
      <c r="J17" s="25">
        <f>K17/I17</f>
        <v>6.3522727272727266</v>
      </c>
      <c r="K17" s="24">
        <f>K16-H17</f>
        <v>952.84090909090901</v>
      </c>
    </row>
    <row r="18" spans="1:11" x14ac:dyDescent="0.3">
      <c r="A18" s="14" t="s">
        <v>21</v>
      </c>
      <c r="B18" s="14"/>
      <c r="C18" s="14"/>
      <c r="D18" s="14"/>
      <c r="E18" s="14"/>
      <c r="F18" s="26">
        <f>F15+F17</f>
        <v>750</v>
      </c>
      <c r="G18" s="11"/>
      <c r="H18" s="27">
        <f>H15+H17</f>
        <v>4702.159090909091</v>
      </c>
      <c r="I18" s="11"/>
      <c r="J18" s="11"/>
      <c r="K18" s="11"/>
    </row>
    <row r="20" spans="1:11" x14ac:dyDescent="0.3">
      <c r="A20" s="3" t="s">
        <v>22</v>
      </c>
      <c r="B20" s="3"/>
      <c r="C20" s="3"/>
      <c r="D20" s="3"/>
      <c r="E20" s="3"/>
      <c r="F20" s="3"/>
      <c r="G20" s="3"/>
      <c r="H20" s="3"/>
      <c r="I20" s="3"/>
      <c r="J20" s="3"/>
      <c r="K20" s="3"/>
    </row>
    <row r="21" spans="1:11" x14ac:dyDescent="0.3">
      <c r="A21" s="15" t="s">
        <v>23</v>
      </c>
      <c r="B21" s="15"/>
      <c r="C21" s="15"/>
      <c r="D21" s="15"/>
      <c r="E21" s="15"/>
      <c r="F21" s="15"/>
      <c r="G21" s="15"/>
      <c r="H21" s="15"/>
      <c r="I21" s="8" t="s">
        <v>24</v>
      </c>
      <c r="J21" s="8"/>
      <c r="K21" s="8"/>
    </row>
    <row r="22" spans="1:11" x14ac:dyDescent="0.3">
      <c r="A22" s="4" t="s">
        <v>44</v>
      </c>
      <c r="B22" s="4"/>
      <c r="C22" s="4"/>
      <c r="D22" s="4"/>
      <c r="E22" s="4"/>
      <c r="F22" s="4"/>
      <c r="G22" s="4"/>
      <c r="H22" s="4"/>
      <c r="I22" s="32">
        <f>H18</f>
        <v>4702.159090909091</v>
      </c>
      <c r="J22" s="32"/>
      <c r="K22" s="32"/>
    </row>
    <row r="23" spans="1:11" x14ac:dyDescent="0.3">
      <c r="A23" s="4" t="s">
        <v>45</v>
      </c>
      <c r="B23" s="4"/>
      <c r="C23" s="4"/>
      <c r="D23" s="4"/>
      <c r="E23" s="4"/>
      <c r="F23" s="4"/>
      <c r="G23" s="4"/>
      <c r="H23" s="4"/>
      <c r="I23" s="16">
        <f>F18*1.2</f>
        <v>900</v>
      </c>
      <c r="J23" s="16"/>
      <c r="K23" s="16"/>
    </row>
    <row r="24" spans="1:11" x14ac:dyDescent="0.3">
      <c r="A24" s="4" t="s">
        <v>46</v>
      </c>
      <c r="B24" s="4"/>
      <c r="C24" s="4"/>
      <c r="D24" s="4"/>
      <c r="E24" s="4"/>
      <c r="F24" s="4"/>
      <c r="G24" s="4"/>
      <c r="H24" s="4"/>
      <c r="I24" s="16">
        <v>960</v>
      </c>
      <c r="J24" s="16"/>
      <c r="K24" s="16"/>
    </row>
    <row r="25" spans="1:11" x14ac:dyDescent="0.3">
      <c r="A25" s="4" t="s">
        <v>47</v>
      </c>
      <c r="B25" s="4"/>
      <c r="C25" s="4"/>
      <c r="D25" s="4"/>
      <c r="E25" s="4"/>
      <c r="F25" s="4"/>
      <c r="G25" s="4"/>
      <c r="H25" s="4"/>
      <c r="I25" s="16">
        <v>500</v>
      </c>
      <c r="J25" s="16"/>
      <c r="K25" s="16"/>
    </row>
    <row r="26" spans="1:11" x14ac:dyDescent="0.3">
      <c r="A26" s="15" t="s">
        <v>29</v>
      </c>
      <c r="B26" s="15"/>
      <c r="C26" s="15"/>
      <c r="D26" s="15"/>
      <c r="E26" s="15"/>
      <c r="F26" s="15"/>
      <c r="G26" s="15"/>
      <c r="H26" s="15"/>
      <c r="I26" s="33">
        <f>I22+I23+I24+I25</f>
        <v>7062.159090909091</v>
      </c>
      <c r="J26" s="33"/>
      <c r="K26" s="33"/>
    </row>
    <row r="27" spans="1:11" x14ac:dyDescent="0.3">
      <c r="A27" s="4" t="s">
        <v>48</v>
      </c>
      <c r="B27" s="4"/>
      <c r="C27" s="4"/>
      <c r="D27" s="4"/>
      <c r="E27" s="4"/>
      <c r="F27" s="4"/>
      <c r="G27" s="4"/>
      <c r="H27" s="4"/>
      <c r="I27" s="17">
        <f>F18/F7</f>
        <v>250</v>
      </c>
      <c r="J27" s="17"/>
      <c r="K27" s="17"/>
    </row>
    <row r="28" spans="1:11" x14ac:dyDescent="0.3">
      <c r="A28" s="15" t="s">
        <v>30</v>
      </c>
      <c r="B28" s="15"/>
      <c r="C28" s="15"/>
      <c r="D28" s="15"/>
      <c r="E28" s="15"/>
      <c r="F28" s="15"/>
      <c r="G28" s="15"/>
      <c r="H28" s="15"/>
      <c r="I28" s="33">
        <f>I26/I27</f>
        <v>28.248636363636365</v>
      </c>
      <c r="J28" s="33"/>
      <c r="K28" s="33"/>
    </row>
    <row r="30" spans="1:11" x14ac:dyDescent="0.3">
      <c r="A30" s="3" t="s">
        <v>31</v>
      </c>
      <c r="B30" s="3"/>
      <c r="C30" s="3"/>
      <c r="D30" s="3"/>
      <c r="E30" s="3"/>
      <c r="F30" s="3"/>
      <c r="G30" s="3"/>
      <c r="H30" s="3"/>
      <c r="I30" s="3"/>
      <c r="J30" s="3"/>
      <c r="K30" s="3"/>
    </row>
    <row r="31" spans="1:11" x14ac:dyDescent="0.3">
      <c r="A31" s="4" t="s">
        <v>32</v>
      </c>
      <c r="B31" s="4"/>
      <c r="C31" s="4"/>
      <c r="D31" s="4"/>
      <c r="E31" s="4"/>
      <c r="F31" s="4"/>
      <c r="G31" s="4"/>
      <c r="H31" s="4"/>
      <c r="I31" s="32">
        <f>I28</f>
        <v>28.248636363636365</v>
      </c>
      <c r="J31" s="32"/>
      <c r="K31" s="32"/>
    </row>
    <row r="32" spans="1:11" x14ac:dyDescent="0.3">
      <c r="A32" s="4" t="s">
        <v>33</v>
      </c>
      <c r="B32" s="4"/>
      <c r="C32" s="4"/>
      <c r="D32" s="4"/>
      <c r="E32" s="4"/>
      <c r="F32" s="4"/>
      <c r="G32" s="4"/>
      <c r="H32" s="4"/>
      <c r="I32" s="34">
        <f>F8</f>
        <v>0.45</v>
      </c>
      <c r="J32" s="34"/>
      <c r="K32" s="34"/>
    </row>
    <row r="33" spans="1:11" x14ac:dyDescent="0.3">
      <c r="A33" s="15" t="s">
        <v>34</v>
      </c>
      <c r="B33" s="15"/>
      <c r="C33" s="15"/>
      <c r="D33" s="15"/>
      <c r="E33" s="15"/>
      <c r="F33" s="15"/>
      <c r="G33" s="15"/>
      <c r="H33" s="15"/>
      <c r="I33" s="33">
        <f>I28*(1+F8)</f>
        <v>40.960522727272725</v>
      </c>
      <c r="J33" s="33"/>
      <c r="K33" s="33"/>
    </row>
  </sheetData>
  <mergeCells count="37">
    <mergeCell ref="A33:H33"/>
    <mergeCell ref="I33:K33"/>
    <mergeCell ref="A30:K30"/>
    <mergeCell ref="A31:H31"/>
    <mergeCell ref="I31:K31"/>
    <mergeCell ref="A32:H32"/>
    <mergeCell ref="I32:K32"/>
    <mergeCell ref="A26:H26"/>
    <mergeCell ref="I26:K26"/>
    <mergeCell ref="A27:H27"/>
    <mergeCell ref="I27:K27"/>
    <mergeCell ref="A28:H28"/>
    <mergeCell ref="I28:K28"/>
    <mergeCell ref="A23:H23"/>
    <mergeCell ref="I23:K23"/>
    <mergeCell ref="A24:H24"/>
    <mergeCell ref="I24:K24"/>
    <mergeCell ref="A25:H25"/>
    <mergeCell ref="I25:K25"/>
    <mergeCell ref="A18:E18"/>
    <mergeCell ref="A20:K20"/>
    <mergeCell ref="A21:H21"/>
    <mergeCell ref="I21:K21"/>
    <mergeCell ref="A22:H22"/>
    <mergeCell ref="I22:K22"/>
    <mergeCell ref="A7:E7"/>
    <mergeCell ref="A8:E8"/>
    <mergeCell ref="A10:K10"/>
    <mergeCell ref="A11:A12"/>
    <mergeCell ref="B11:B12"/>
    <mergeCell ref="C11:E11"/>
    <mergeCell ref="F11:H11"/>
    <mergeCell ref="I11:K11"/>
    <mergeCell ref="A1:K1"/>
    <mergeCell ref="A3:K3"/>
    <mergeCell ref="A4:K4"/>
    <mergeCell ref="A6:K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CASO 1</vt:lpstr>
      <vt:lpstr>CASO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Usuario</cp:lastModifiedBy>
  <cp:revision>0</cp:revision>
  <dcterms:created xsi:type="dcterms:W3CDTF">2026-09-15T22:23:14Z</dcterms:created>
  <dcterms:modified xsi:type="dcterms:W3CDTF">2026-09-15T22:33:51Z</dcterms:modified>
  <dc:language>en-US</dc:language>
</cp:coreProperties>
</file>