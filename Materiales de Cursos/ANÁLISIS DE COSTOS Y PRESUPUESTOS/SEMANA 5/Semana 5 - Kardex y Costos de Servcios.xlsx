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O 1" sheetId="1" state="visible" r:id="rId3"/>
    <sheet name="CASO 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<sst xmlns="http://schemas.openxmlformats.org/spreadsheetml/2006/main" count="116" uniqueCount="64">
  <si>
    <t xml:space="preserve">CASO 1 — Lubricentro «El Misti» E.I.R.L. (Arequipa)  ·  Servicio de cambio de aceite</t>
  </si>
  <si>
    <t xml:space="preserve">CASO INTEGRAL  ·  Kárdex básico  →  Costo del servicio  →  Precio de venta con margen</t>
  </si>
  <si>
    <t xml:space="preserve">CONTEXTO</t>
  </si>
  <si>
    <t xml:space="preserve">El lubricentro compra aceite de motor y lo consume al prestar el servicio de cambio de aceite. Durante septiembre se registran las compras de aceite y las salidas (aceite usado en los servicios). Se valoriza el inventario por PROMEDIO PONDERADO, se determina el costo del servicio y, finalmente, el precio de venta aplicando un margen sobre el costo. Cada cambio de aceite consume 4 litros.</t>
  </si>
  <si>
    <t xml:space="preserve">PARÁMETROS DEL CASO (datos)</t>
  </si>
  <si>
    <t xml:space="preserve">Litros de aceite por servicio (cambio)</t>
  </si>
  <si>
    <t xml:space="preserve">Margen deseado sobre el costo (markup)</t>
  </si>
  <si>
    <t xml:space="preserve">1) KÁRDEX  —  MÉTODO PROMEDIO PONDERADO  (solo compras y ventas)</t>
  </si>
  <si>
    <t xml:space="preserve">Fecha</t>
  </si>
  <si>
    <t xml:space="preserve">Detalle</t>
  </si>
  <si>
    <t xml:space="preserve">ENTRADAS (COMPRAS)</t>
  </si>
  <si>
    <t xml:space="preserve">SALIDAS (VENTAS)</t>
  </si>
  <si>
    <t xml:space="preserve">SALDO</t>
  </si>
  <si>
    <t xml:space="preserve">Cant.</t>
  </si>
  <si>
    <t xml:space="preserve">C.Unit</t>
  </si>
  <si>
    <t xml:space="preserve">Total</t>
  </si>
  <si>
    <t xml:space="preserve">01/09</t>
  </si>
  <si>
    <t xml:space="preserve">Saldo inicial</t>
  </si>
  <si>
    <t xml:space="preserve">05/09</t>
  </si>
  <si>
    <t xml:space="preserve">Compra de aceite</t>
  </si>
  <si>
    <t xml:space="preserve">12/09</t>
  </si>
  <si>
    <t xml:space="preserve">Salida (servicios)</t>
  </si>
  <si>
    <t xml:space="preserve">18/09</t>
  </si>
  <si>
    <t xml:space="preserve">25/09</t>
  </si>
  <si>
    <t xml:space="preserve">TOTAL VENDIDO / CONSUMIDO EN EL MES</t>
  </si>
  <si>
    <t xml:space="preserve">2) DETERMINACIÓN DEL COSTO DEL SERVICIO</t>
  </si>
  <si>
    <t xml:space="preserve">Elemento del costo</t>
  </si>
  <si>
    <t xml:space="preserve">Importe (S/)</t>
  </si>
  <si>
    <t xml:space="preserve">Aceite consumido en los servicios  (enlazado desde el kárdex)</t>
  </si>
  <si>
    <t xml:space="preserve">Filtros de aceite (insumo directo)</t>
  </si>
  <si>
    <t xml:space="preserve">Mano de obra directa (mecánico)</t>
  </si>
  <si>
    <t xml:space="preserve">Costos indirectos (energía, consumibles)</t>
  </si>
  <si>
    <t xml:space="preserve">COSTO TOTAL DEL SERVICIO</t>
  </si>
  <si>
    <t xml:space="preserve">Nº de servicios del mes  ( = total consumido ÷ litros de aceite por servicio )</t>
  </si>
  <si>
    <t xml:space="preserve">COSTO UNITARIO DEL SERVICIO</t>
  </si>
  <si>
    <t xml:space="preserve">3) PRECIO DE VENTA CON MARGEN</t>
  </si>
  <si>
    <t xml:space="preserve">Costo unitario del servicio</t>
  </si>
  <si>
    <t xml:space="preserve">Margen sobre el costo (markup)</t>
  </si>
  <si>
    <t xml:space="preserve">Utilidad unitaria  ( = costo × margen )</t>
  </si>
  <si>
    <t xml:space="preserve">PRECIO DE VENTA UNITARIO  ( = costo × (1 + margen) )</t>
  </si>
  <si>
    <t xml:space="preserve">COMPROBACIÓN — RESULTADO DEL MES</t>
  </si>
  <si>
    <t xml:space="preserve">Ingreso por ventas del mes  ( = precio × Nº servicios )</t>
  </si>
  <si>
    <t xml:space="preserve">Costo total del mes</t>
  </si>
  <si>
    <t xml:space="preserve">Utilidad bruta del mes</t>
  </si>
  <si>
    <t xml:space="preserve">CÓMO LEER ESTE CASO</t>
  </si>
  <si>
    <t xml:space="preserve">•  Las celdas en AZUL sobre fondo amarillo son los DATOS del caso (puedes cambiarlas y todo recalcula).</t>
  </si>
  <si>
    <t xml:space="preserve">•  Las celdas en NEGRO son fórmulas: no las edites, muestran el desarrollo del ejercicio.</t>
  </si>
  <si>
    <t xml:space="preserve">•  Promedio ponderado: después de cada COMPRA se recalcula el costo unitario del saldo (=Valor total ÷ Cantidad). Las VENTAS salen a ese promedio vigente.</t>
  </si>
  <si>
    <t xml:space="preserve">•  El costo de los materiales del servicio se toma directamente del total de salidas del kárdex (no se vuelve a digitar).</t>
  </si>
  <si>
    <t xml:space="preserve">•  Precio de venta = Costo unitario × (1 + margen). Es un margen sobre el costo (markup), no sobre el precio.</t>
  </si>
  <si>
    <t xml:space="preserve">CASO 2 — Imprenta «Gigantografías del Sur» S.A.C. (Arequipa)  ·  Impresión de banners</t>
  </si>
  <si>
    <t xml:space="preserve">La imprenta compra lona (vinil) por metro cuadrado y la consume al imprimir gigantografías. En septiembre se registran las compras de lona y las salidas (lona usada en los banners impresos). Se valoriza por PROMEDIO PONDERADO, se determina el costo del servicio y luego el precio de venta con un margen sobre el costo. Cada banner consume 3 m² de lona.</t>
  </si>
  <si>
    <t xml:space="preserve">m² de lona por banner</t>
  </si>
  <si>
    <t xml:space="preserve">06/09</t>
  </si>
  <si>
    <t xml:space="preserve">Compra de lona</t>
  </si>
  <si>
    <t xml:space="preserve">13/09</t>
  </si>
  <si>
    <t xml:space="preserve">Salida (banners)</t>
  </si>
  <si>
    <t xml:space="preserve">20/09</t>
  </si>
  <si>
    <t xml:space="preserve">27/09</t>
  </si>
  <si>
    <t xml:space="preserve">Lona consumida en los banners  (enlazado desde el kárdex)</t>
  </si>
  <si>
    <t xml:space="preserve">Tinta y consumibles ( S/ 1.20 por m² consumido )</t>
  </si>
  <si>
    <t xml:space="preserve">Mano de obra directa (operario de impresión)</t>
  </si>
  <si>
    <t xml:space="preserve">Costos indirectos (energía del plotter, depreciación)</t>
  </si>
  <si>
    <t xml:space="preserve">Nº de banners del mes  ( = total consumido ÷ m² de lona por banner )</t>
  </si>
</sst>
</file>

<file path=xl/styles.xml><?xml version="1.0" encoding="utf-8"?>
<styleSheet xmlns="http://schemas.openxmlformats.org/spreadsheetml/2006/main">
  <numFmts count="5">
    <numFmt numFmtId="164" formatCode="General"/>
    <numFmt numFmtId="165" formatCode="#,##0.00"/>
    <numFmt numFmtId="166" formatCode="0.0%"/>
    <numFmt numFmtId="167" formatCode="#,##0"/>
    <numFmt numFmtId="168" formatCode="General"/>
  </numFmts>
  <fonts count="1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i val="true"/>
      <sz val="10"/>
      <color rgb="FF1F3864"/>
      <name val="Arial"/>
      <family val="0"/>
      <charset val="1"/>
    </font>
    <font>
      <b val="true"/>
      <sz val="11"/>
      <color rgb="FFFFFFFF"/>
      <name val="Arial"/>
      <family val="0"/>
      <charset val="1"/>
    </font>
    <font>
      <i val="true"/>
      <sz val="10"/>
      <color rgb="FF000000"/>
      <name val="Arial"/>
      <family val="0"/>
      <charset val="1"/>
    </font>
    <font>
      <sz val="10"/>
      <color rgb="FF000000"/>
      <name val="Arial"/>
      <family val="0"/>
      <charset val="1"/>
    </font>
    <font>
      <sz val="10"/>
      <color rgb="FF0000FF"/>
      <name val="Arial"/>
      <family val="0"/>
      <charset val="1"/>
    </font>
    <font>
      <b val="true"/>
      <sz val="10"/>
      <color rgb="FF1F3864"/>
      <name val="Arial"/>
      <family val="0"/>
      <charset val="1"/>
    </font>
    <font>
      <b val="true"/>
      <sz val="9"/>
      <color rgb="FF1F3864"/>
      <name val="Arial"/>
      <family val="0"/>
      <charset val="1"/>
    </font>
    <font>
      <sz val="9"/>
      <color rgb="FF000000"/>
      <name val="Arial"/>
      <family val="0"/>
      <charset val="1"/>
    </font>
    <font>
      <sz val="9"/>
      <color rgb="FF0000FF"/>
      <name val="Arial"/>
      <family val="0"/>
      <charset val="1"/>
    </font>
    <font>
      <b val="true"/>
      <sz val="9"/>
      <color rgb="FF000000"/>
      <name val="Arial"/>
      <family val="0"/>
      <charset val="1"/>
    </font>
    <font>
      <b val="true"/>
      <sz val="10"/>
      <color rgb="FF000000"/>
      <name val="Arial"/>
      <family val="0"/>
      <charset val="1"/>
    </font>
    <font>
      <b val="true"/>
      <sz val="10"/>
      <color rgb="FFFFFFFF"/>
      <name val="Arial"/>
      <family val="0"/>
      <charset val="1"/>
    </font>
    <font>
      <i val="true"/>
      <sz val="9"/>
      <color rgb="FF0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9DC3E6"/>
        <bgColor rgb="FFBFBFBF"/>
      </patternFill>
    </fill>
    <fill>
      <patternFill patternType="solid">
        <fgColor rgb="FF2E75B6"/>
        <bgColor rgb="FF0066CC"/>
      </patternFill>
    </fill>
    <fill>
      <patternFill patternType="solid">
        <fgColor rgb="FFFFF2CC"/>
        <bgColor rgb="FFF2F2F2"/>
      </patternFill>
    </fill>
    <fill>
      <patternFill patternType="solid">
        <fgColor rgb="FFC6E0B4"/>
        <bgColor rgb="FFE2EFDA"/>
      </patternFill>
    </fill>
    <fill>
      <patternFill patternType="solid">
        <fgColor rgb="FFE2EFDA"/>
        <bgColor rgb="FFF2F2F2"/>
      </patternFill>
    </fill>
    <fill>
      <patternFill patternType="solid">
        <fgColor rgb="FFF2F2F2"/>
        <bgColor rgb="FFE2EFDA"/>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5" fontId="9" fillId="5" borderId="2" xfId="0" applyFont="true" applyBorder="true" applyAlignment="true" applyProtection="false">
      <alignment horizontal="center" vertical="center" textRotation="0" wrapText="false" indent="0" shrinkToFit="false"/>
      <protection locked="true" hidden="false"/>
    </xf>
    <xf numFmtId="166" fontId="9" fillId="5" borderId="2" xfId="0" applyFont="true" applyBorder="true" applyAlignment="true" applyProtection="false">
      <alignment horizontal="center" vertical="center" textRotation="0" wrapText="false" indent="0" shrinkToFit="false"/>
      <protection locked="true" hidden="false"/>
    </xf>
    <xf numFmtId="164" fontId="10" fillId="3" borderId="3"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7" fontId="13" fillId="0" borderId="2" xfId="0" applyFont="true" applyBorder="true" applyAlignment="true" applyProtection="false">
      <alignment horizontal="center" vertical="center" textRotation="0" wrapText="false" indent="0" shrinkToFit="false"/>
      <protection locked="true" hidden="false"/>
    </xf>
    <xf numFmtId="165" fontId="13" fillId="0" borderId="2" xfId="0" applyFont="true" applyBorder="true" applyAlignment="true" applyProtection="false">
      <alignment horizontal="center" vertical="center" textRotation="0" wrapText="false" indent="0" shrinkToFit="false"/>
      <protection locked="true" hidden="false"/>
    </xf>
    <xf numFmtId="165" fontId="12" fillId="0" borderId="2" xfId="0" applyFont="true" applyBorder="true" applyAlignment="true" applyProtection="false">
      <alignment horizontal="center" vertical="center" textRotation="0" wrapText="false" indent="0" shrinkToFit="false"/>
      <protection locked="true" hidden="false"/>
    </xf>
    <xf numFmtId="167" fontId="12" fillId="0" borderId="2" xfId="0" applyFont="true" applyBorder="true" applyAlignment="true" applyProtection="false">
      <alignment horizontal="center" vertical="center" textRotation="0" wrapText="false" indent="0" shrinkToFit="false"/>
      <protection locked="true" hidden="false"/>
    </xf>
    <xf numFmtId="168" fontId="12" fillId="0" borderId="2"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right" vertical="center" textRotation="0" wrapText="false" indent="0" shrinkToFit="false"/>
      <protection locked="true" hidden="false"/>
    </xf>
    <xf numFmtId="167" fontId="14" fillId="6"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general" vertical="center" textRotation="0" wrapText="false" indent="0" shrinkToFit="false"/>
      <protection locked="true" hidden="false"/>
    </xf>
    <xf numFmtId="168" fontId="14" fillId="6" borderId="2"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general" vertical="center" textRotation="0" wrapText="false" indent="0" shrinkToFit="false"/>
      <protection locked="true" hidden="false"/>
    </xf>
    <xf numFmtId="168" fontId="15" fillId="6"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general" vertical="center" textRotation="0" wrapText="false" indent="0" shrinkToFit="false"/>
      <protection locked="true" hidden="false"/>
    </xf>
    <xf numFmtId="168" fontId="15" fillId="7"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6" fillId="4" borderId="0" xfId="0" applyFont="true" applyBorder="true" applyAlignment="true" applyProtection="false">
      <alignment horizontal="general" vertical="center" textRotation="0" wrapText="false" indent="0" shrinkToFit="false"/>
      <protection locked="true" hidden="false"/>
    </xf>
    <xf numFmtId="168" fontId="8" fillId="7" borderId="1"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12"/>
    <col collapsed="false" customWidth="true" hidden="false" outlineLevel="0" max="6" min="6" style="0" width="9"/>
    <col collapsed="false" customWidth="true" hidden="false" outlineLevel="0" max="7" min="7" style="0" width="11"/>
    <col collapsed="false" customWidth="true" hidden="false" outlineLevel="0" max="8" min="8" style="0" width="12"/>
    <col collapsed="false" customWidth="true" hidden="false" outlineLevel="0" max="9" min="9" style="0" width="9"/>
    <col collapsed="false" customWidth="true" hidden="false" outlineLevel="0" max="10" min="10" style="0" width="11"/>
    <col collapsed="false" customWidth="true" hidden="false" outlineLevel="0" max="11" min="11" style="0" width="12"/>
  </cols>
  <sheetData>
    <row r="1" customFormat="false" ht="25.5" hidden="false" customHeight="tru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15" hidden="false" customHeight="false" outlineLevel="0" collapsed="false">
      <c r="A4" s="3" t="s">
        <v>2</v>
      </c>
      <c r="B4" s="3"/>
      <c r="C4" s="3"/>
      <c r="D4" s="3"/>
      <c r="E4" s="3"/>
      <c r="F4" s="3"/>
      <c r="G4" s="3"/>
      <c r="H4" s="3"/>
      <c r="I4" s="3"/>
      <c r="J4" s="3"/>
      <c r="K4" s="3"/>
    </row>
    <row r="5" customFormat="false" ht="57.75" hidden="false" customHeight="true" outlineLevel="0" collapsed="false">
      <c r="A5" s="4" t="s">
        <v>3</v>
      </c>
      <c r="B5" s="4"/>
      <c r="C5" s="4"/>
      <c r="D5" s="4"/>
      <c r="E5" s="4"/>
      <c r="F5" s="4"/>
      <c r="G5" s="4"/>
      <c r="H5" s="4"/>
      <c r="I5" s="4"/>
      <c r="J5" s="4"/>
      <c r="K5" s="4"/>
    </row>
    <row r="7" customFormat="false" ht="15" hidden="false" customHeight="false" outlineLevel="0" collapsed="false">
      <c r="A7" s="3" t="s">
        <v>4</v>
      </c>
      <c r="B7" s="3"/>
      <c r="C7" s="3"/>
      <c r="D7" s="3"/>
      <c r="E7" s="3"/>
      <c r="F7" s="3"/>
      <c r="G7" s="3"/>
      <c r="H7" s="3"/>
      <c r="I7" s="3"/>
      <c r="J7" s="3"/>
      <c r="K7" s="3"/>
    </row>
    <row r="8" customFormat="false" ht="15" hidden="false" customHeight="false" outlineLevel="0" collapsed="false">
      <c r="A8" s="5" t="s">
        <v>5</v>
      </c>
      <c r="B8" s="5"/>
      <c r="C8" s="5"/>
      <c r="D8" s="5"/>
      <c r="E8" s="5"/>
      <c r="F8" s="6" t="n">
        <v>4</v>
      </c>
    </row>
    <row r="9" customFormat="false" ht="15" hidden="false" customHeight="false" outlineLevel="0" collapsed="false">
      <c r="A9" s="5" t="s">
        <v>6</v>
      </c>
      <c r="B9" s="5"/>
      <c r="C9" s="5"/>
      <c r="D9" s="5"/>
      <c r="E9" s="5"/>
      <c r="F9" s="7" t="n">
        <v>0.4</v>
      </c>
    </row>
    <row r="11" customFormat="false" ht="15" hidden="false" customHeight="false" outlineLevel="0" collapsed="false">
      <c r="A11" s="3" t="s">
        <v>7</v>
      </c>
      <c r="B11" s="3"/>
      <c r="C11" s="3"/>
      <c r="D11" s="3"/>
      <c r="E11" s="3"/>
      <c r="F11" s="3"/>
      <c r="G11" s="3"/>
      <c r="H11" s="3"/>
      <c r="I11" s="3"/>
      <c r="J11" s="3"/>
      <c r="K11" s="3"/>
    </row>
    <row r="12" customFormat="false" ht="15" hidden="false" customHeight="false" outlineLevel="0" collapsed="false">
      <c r="A12" s="8" t="s">
        <v>8</v>
      </c>
      <c r="B12" s="8" t="s">
        <v>9</v>
      </c>
      <c r="C12" s="9" t="s">
        <v>10</v>
      </c>
      <c r="D12" s="9"/>
      <c r="E12" s="9"/>
      <c r="F12" s="9" t="s">
        <v>11</v>
      </c>
      <c r="G12" s="9"/>
      <c r="H12" s="9"/>
      <c r="I12" s="9" t="s">
        <v>12</v>
      </c>
      <c r="J12" s="9"/>
      <c r="K12" s="9"/>
    </row>
    <row r="13" customFormat="false" ht="15" hidden="false" customHeight="false" outlineLevel="0" collapsed="false">
      <c r="A13" s="8"/>
      <c r="B13" s="8"/>
      <c r="C13" s="10" t="s">
        <v>13</v>
      </c>
      <c r="D13" s="10" t="s">
        <v>14</v>
      </c>
      <c r="E13" s="10" t="s">
        <v>15</v>
      </c>
      <c r="F13" s="10" t="s">
        <v>13</v>
      </c>
      <c r="G13" s="10" t="s">
        <v>14</v>
      </c>
      <c r="H13" s="10" t="s">
        <v>15</v>
      </c>
      <c r="I13" s="10" t="s">
        <v>13</v>
      </c>
      <c r="J13" s="10" t="s">
        <v>14</v>
      </c>
      <c r="K13" s="10" t="s">
        <v>15</v>
      </c>
    </row>
    <row r="14" customFormat="false" ht="15" hidden="false" customHeight="false" outlineLevel="0" collapsed="false">
      <c r="A14" s="11" t="s">
        <v>16</v>
      </c>
      <c r="B14" s="12" t="s">
        <v>17</v>
      </c>
      <c r="C14" s="11"/>
      <c r="D14" s="11"/>
      <c r="E14" s="11"/>
      <c r="F14" s="11"/>
      <c r="G14" s="11"/>
      <c r="H14" s="11"/>
      <c r="I14" s="13" t="n">
        <v>60</v>
      </c>
      <c r="J14" s="14" t="n">
        <v>18</v>
      </c>
      <c r="K14" s="15" t="n">
        <f aca="false">I14*J14</f>
        <v>1080</v>
      </c>
    </row>
    <row r="15" customFormat="false" ht="15" hidden="false" customHeight="false" outlineLevel="0" collapsed="false">
      <c r="A15" s="11" t="s">
        <v>18</v>
      </c>
      <c r="B15" s="12" t="s">
        <v>19</v>
      </c>
      <c r="C15" s="13" t="n">
        <v>120</v>
      </c>
      <c r="D15" s="14" t="n">
        <v>18.5</v>
      </c>
      <c r="E15" s="15" t="n">
        <f aca="false">C15*D15</f>
        <v>2220</v>
      </c>
      <c r="F15" s="11"/>
      <c r="G15" s="11"/>
      <c r="H15" s="11"/>
      <c r="I15" s="16" t="n">
        <f aca="false">I14+C15</f>
        <v>180</v>
      </c>
      <c r="J15" s="17" t="n">
        <f aca="false">K15/I15</f>
        <v>18.3333333333333</v>
      </c>
      <c r="K15" s="15" t="n">
        <f aca="false">K14+E15</f>
        <v>3300</v>
      </c>
    </row>
    <row r="16" customFormat="false" ht="15" hidden="false" customHeight="false" outlineLevel="0" collapsed="false">
      <c r="A16" s="11" t="s">
        <v>20</v>
      </c>
      <c r="B16" s="12" t="s">
        <v>21</v>
      </c>
      <c r="C16" s="11"/>
      <c r="D16" s="11"/>
      <c r="E16" s="11"/>
      <c r="F16" s="13" t="n">
        <v>100</v>
      </c>
      <c r="G16" s="17" t="n">
        <f aca="false">J15</f>
        <v>18.3333333333333</v>
      </c>
      <c r="H16" s="15" t="n">
        <f aca="false">F16*G16</f>
        <v>1833.33333333333</v>
      </c>
      <c r="I16" s="16" t="n">
        <f aca="false">I15-F16</f>
        <v>80</v>
      </c>
      <c r="J16" s="17" t="n">
        <f aca="false">K16/I16</f>
        <v>18.3333333333333</v>
      </c>
      <c r="K16" s="15" t="n">
        <f aca="false">K15-H16</f>
        <v>1466.66666666667</v>
      </c>
    </row>
    <row r="17" customFormat="false" ht="15" hidden="false" customHeight="false" outlineLevel="0" collapsed="false">
      <c r="A17" s="11" t="s">
        <v>22</v>
      </c>
      <c r="B17" s="12" t="s">
        <v>19</v>
      </c>
      <c r="C17" s="13" t="n">
        <v>80</v>
      </c>
      <c r="D17" s="14" t="n">
        <v>19</v>
      </c>
      <c r="E17" s="15" t="n">
        <f aca="false">C17*D17</f>
        <v>1520</v>
      </c>
      <c r="F17" s="11"/>
      <c r="G17" s="11"/>
      <c r="H17" s="11"/>
      <c r="I17" s="16" t="n">
        <f aca="false">I16+C17</f>
        <v>160</v>
      </c>
      <c r="J17" s="17" t="n">
        <f aca="false">K17/I17</f>
        <v>18.6666666666667</v>
      </c>
      <c r="K17" s="15" t="n">
        <f aca="false">K16+E17</f>
        <v>2986.66666666667</v>
      </c>
    </row>
    <row r="18" customFormat="false" ht="15" hidden="false" customHeight="false" outlineLevel="0" collapsed="false">
      <c r="A18" s="11" t="s">
        <v>23</v>
      </c>
      <c r="B18" s="12" t="s">
        <v>21</v>
      </c>
      <c r="C18" s="11"/>
      <c r="D18" s="11"/>
      <c r="E18" s="11"/>
      <c r="F18" s="13" t="n">
        <v>120</v>
      </c>
      <c r="G18" s="17" t="n">
        <f aca="false">J17</f>
        <v>18.6666666666667</v>
      </c>
      <c r="H18" s="15" t="n">
        <f aca="false">F18*G18</f>
        <v>2240</v>
      </c>
      <c r="I18" s="16" t="n">
        <f aca="false">I17-F18</f>
        <v>40</v>
      </c>
      <c r="J18" s="17" t="n">
        <f aca="false">K18/I18</f>
        <v>18.6666666666667</v>
      </c>
      <c r="K18" s="15" t="n">
        <f aca="false">K17-H18</f>
        <v>746.666666666667</v>
      </c>
    </row>
    <row r="19" customFormat="false" ht="15" hidden="false" customHeight="false" outlineLevel="0" collapsed="false">
      <c r="A19" s="18" t="s">
        <v>24</v>
      </c>
      <c r="B19" s="18"/>
      <c r="C19" s="18"/>
      <c r="D19" s="18"/>
      <c r="E19" s="18"/>
      <c r="F19" s="19" t="n">
        <f aca="false">F16+F18</f>
        <v>220</v>
      </c>
      <c r="G19" s="20"/>
      <c r="H19" s="21" t="n">
        <f aca="false">H16+H18</f>
        <v>4073.33333333333</v>
      </c>
      <c r="I19" s="20"/>
      <c r="J19" s="20"/>
      <c r="K19" s="20"/>
    </row>
    <row r="21" customFormat="false" ht="15" hidden="false" customHeight="false" outlineLevel="0" collapsed="false">
      <c r="A21" s="3" t="s">
        <v>25</v>
      </c>
      <c r="B21" s="3"/>
      <c r="C21" s="3"/>
      <c r="D21" s="3"/>
      <c r="E21" s="3"/>
      <c r="F21" s="3"/>
      <c r="G21" s="3"/>
      <c r="H21" s="3"/>
      <c r="I21" s="3"/>
      <c r="J21" s="3"/>
      <c r="K21" s="3"/>
    </row>
    <row r="22" customFormat="false" ht="15" hidden="false" customHeight="false" outlineLevel="0" collapsed="false">
      <c r="A22" s="22" t="s">
        <v>26</v>
      </c>
      <c r="B22" s="22"/>
      <c r="C22" s="22"/>
      <c r="D22" s="22"/>
      <c r="E22" s="22"/>
      <c r="F22" s="22"/>
      <c r="G22" s="22"/>
      <c r="H22" s="22"/>
      <c r="I22" s="9" t="s">
        <v>27</v>
      </c>
      <c r="J22" s="9"/>
      <c r="K22" s="9"/>
    </row>
    <row r="23" customFormat="false" ht="15" hidden="false" customHeight="false" outlineLevel="0" collapsed="false">
      <c r="A23" s="5" t="s">
        <v>28</v>
      </c>
      <c r="B23" s="5"/>
      <c r="C23" s="5"/>
      <c r="D23" s="5"/>
      <c r="E23" s="5"/>
      <c r="F23" s="5"/>
      <c r="G23" s="5"/>
      <c r="H23" s="5"/>
      <c r="I23" s="23" t="n">
        <f aca="false">H19</f>
        <v>4073.33333333333</v>
      </c>
      <c r="J23" s="23"/>
      <c r="K23" s="23"/>
    </row>
    <row r="24" customFormat="false" ht="15" hidden="false" customHeight="false" outlineLevel="0" collapsed="false">
      <c r="A24" s="5" t="s">
        <v>29</v>
      </c>
      <c r="B24" s="5"/>
      <c r="C24" s="5"/>
      <c r="D24" s="5"/>
      <c r="E24" s="5"/>
      <c r="F24" s="5"/>
      <c r="G24" s="5"/>
      <c r="H24" s="5"/>
      <c r="I24" s="24" t="n">
        <v>440</v>
      </c>
      <c r="J24" s="24"/>
      <c r="K24" s="24"/>
    </row>
    <row r="25" customFormat="false" ht="15" hidden="false" customHeight="false" outlineLevel="0" collapsed="false">
      <c r="A25" s="5" t="s">
        <v>30</v>
      </c>
      <c r="B25" s="5"/>
      <c r="C25" s="5"/>
      <c r="D25" s="5"/>
      <c r="E25" s="5"/>
      <c r="F25" s="5"/>
      <c r="G25" s="5"/>
      <c r="H25" s="5"/>
      <c r="I25" s="24" t="n">
        <v>594</v>
      </c>
      <c r="J25" s="24"/>
      <c r="K25" s="24"/>
    </row>
    <row r="26" customFormat="false" ht="15" hidden="false" customHeight="false" outlineLevel="0" collapsed="false">
      <c r="A26" s="5" t="s">
        <v>31</v>
      </c>
      <c r="B26" s="5"/>
      <c r="C26" s="5"/>
      <c r="D26" s="5"/>
      <c r="E26" s="5"/>
      <c r="F26" s="5"/>
      <c r="G26" s="5"/>
      <c r="H26" s="5"/>
      <c r="I26" s="24" t="n">
        <v>160</v>
      </c>
      <c r="J26" s="24"/>
      <c r="K26" s="24"/>
    </row>
    <row r="27" customFormat="false" ht="15" hidden="false" customHeight="false" outlineLevel="0" collapsed="false">
      <c r="A27" s="25" t="s">
        <v>32</v>
      </c>
      <c r="B27" s="25"/>
      <c r="C27" s="25"/>
      <c r="D27" s="25"/>
      <c r="E27" s="25"/>
      <c r="F27" s="25"/>
      <c r="G27" s="25"/>
      <c r="H27" s="25"/>
      <c r="I27" s="26" t="n">
        <f aca="false">I23+I24+I25+I26</f>
        <v>5267.33333333333</v>
      </c>
      <c r="J27" s="26"/>
      <c r="K27" s="26"/>
    </row>
    <row r="28" customFormat="false" ht="15" hidden="false" customHeight="false" outlineLevel="0" collapsed="false">
      <c r="A28" s="5" t="s">
        <v>33</v>
      </c>
      <c r="B28" s="5"/>
      <c r="C28" s="5"/>
      <c r="D28" s="5"/>
      <c r="E28" s="5"/>
      <c r="F28" s="5"/>
      <c r="G28" s="5"/>
      <c r="H28" s="5"/>
      <c r="I28" s="27" t="n">
        <f aca="false">F19/F8</f>
        <v>55</v>
      </c>
      <c r="J28" s="27"/>
      <c r="K28" s="27"/>
    </row>
    <row r="29" customFormat="false" ht="15" hidden="false" customHeight="false" outlineLevel="0" collapsed="false">
      <c r="A29" s="28" t="s">
        <v>34</v>
      </c>
      <c r="B29" s="28"/>
      <c r="C29" s="28"/>
      <c r="D29" s="28"/>
      <c r="E29" s="28"/>
      <c r="F29" s="28"/>
      <c r="G29" s="28"/>
      <c r="H29" s="28"/>
      <c r="I29" s="29" t="n">
        <f aca="false">I27/I28</f>
        <v>95.769696969697</v>
      </c>
      <c r="J29" s="29"/>
      <c r="K29" s="29"/>
    </row>
    <row r="31" customFormat="false" ht="15" hidden="false" customHeight="false" outlineLevel="0" collapsed="false">
      <c r="A31" s="3" t="s">
        <v>35</v>
      </c>
      <c r="B31" s="3"/>
      <c r="C31" s="3"/>
      <c r="D31" s="3"/>
      <c r="E31" s="3"/>
      <c r="F31" s="3"/>
      <c r="G31" s="3"/>
      <c r="H31" s="3"/>
      <c r="I31" s="3"/>
      <c r="J31" s="3"/>
      <c r="K31" s="3"/>
    </row>
    <row r="32" customFormat="false" ht="15" hidden="false" customHeight="false" outlineLevel="0" collapsed="false">
      <c r="A32" s="5" t="s">
        <v>36</v>
      </c>
      <c r="B32" s="5"/>
      <c r="C32" s="5"/>
      <c r="D32" s="5"/>
      <c r="E32" s="5"/>
      <c r="F32" s="5"/>
      <c r="G32" s="5"/>
      <c r="H32" s="5"/>
      <c r="I32" s="23" t="n">
        <f aca="false">I29</f>
        <v>95.769696969697</v>
      </c>
      <c r="J32" s="23"/>
      <c r="K32" s="23"/>
    </row>
    <row r="33" customFormat="false" ht="15" hidden="false" customHeight="false" outlineLevel="0" collapsed="false">
      <c r="A33" s="5" t="s">
        <v>37</v>
      </c>
      <c r="B33" s="5"/>
      <c r="C33" s="5"/>
      <c r="D33" s="5"/>
      <c r="E33" s="5"/>
      <c r="F33" s="5"/>
      <c r="G33" s="5"/>
      <c r="H33" s="5"/>
      <c r="I33" s="30" t="n">
        <f aca="false">F9</f>
        <v>0.4</v>
      </c>
      <c r="J33" s="30"/>
      <c r="K33" s="30"/>
    </row>
    <row r="34" customFormat="false" ht="15" hidden="false" customHeight="false" outlineLevel="0" collapsed="false">
      <c r="A34" s="5" t="s">
        <v>38</v>
      </c>
      <c r="B34" s="5"/>
      <c r="C34" s="5"/>
      <c r="D34" s="5"/>
      <c r="E34" s="5"/>
      <c r="F34" s="5"/>
      <c r="G34" s="5"/>
      <c r="H34" s="5"/>
      <c r="I34" s="23" t="n">
        <f aca="false">I29*F9</f>
        <v>38.3078787878788</v>
      </c>
      <c r="J34" s="23"/>
      <c r="K34" s="23"/>
    </row>
    <row r="35" customFormat="false" ht="15" hidden="false" customHeight="false" outlineLevel="0" collapsed="false">
      <c r="A35" s="25" t="s">
        <v>39</v>
      </c>
      <c r="B35" s="25"/>
      <c r="C35" s="25"/>
      <c r="D35" s="25"/>
      <c r="E35" s="25"/>
      <c r="F35" s="25"/>
      <c r="G35" s="25"/>
      <c r="H35" s="25"/>
      <c r="I35" s="26" t="n">
        <f aca="false">I29*(1+F9)</f>
        <v>134.077575757576</v>
      </c>
      <c r="J35" s="26"/>
      <c r="K35" s="26"/>
    </row>
    <row r="37" customFormat="false" ht="15" hidden="false" customHeight="false" outlineLevel="0" collapsed="false">
      <c r="A37" s="31" t="s">
        <v>40</v>
      </c>
      <c r="B37" s="31"/>
      <c r="C37" s="31"/>
      <c r="D37" s="31"/>
      <c r="E37" s="31"/>
      <c r="F37" s="31"/>
      <c r="G37" s="31"/>
      <c r="H37" s="31"/>
      <c r="I37" s="31"/>
      <c r="J37" s="31"/>
      <c r="K37" s="31"/>
    </row>
    <row r="38" customFormat="false" ht="15" hidden="false" customHeight="false" outlineLevel="0" collapsed="false">
      <c r="A38" s="5" t="s">
        <v>41</v>
      </c>
      <c r="B38" s="5"/>
      <c r="C38" s="5"/>
      <c r="D38" s="5"/>
      <c r="E38" s="5"/>
      <c r="F38" s="5"/>
      <c r="G38" s="5"/>
      <c r="H38" s="5"/>
      <c r="I38" s="32" t="n">
        <f aca="false">I35*I28</f>
        <v>7374.26666666667</v>
      </c>
      <c r="J38" s="32"/>
      <c r="K38" s="32"/>
    </row>
    <row r="39" customFormat="false" ht="15" hidden="false" customHeight="false" outlineLevel="0" collapsed="false">
      <c r="A39" s="5" t="s">
        <v>42</v>
      </c>
      <c r="B39" s="5"/>
      <c r="C39" s="5"/>
      <c r="D39" s="5"/>
      <c r="E39" s="5"/>
      <c r="F39" s="5"/>
      <c r="G39" s="5"/>
      <c r="H39" s="5"/>
      <c r="I39" s="32" t="n">
        <f aca="false">I27</f>
        <v>5267.33333333333</v>
      </c>
      <c r="J39" s="32"/>
      <c r="K39" s="32"/>
    </row>
    <row r="40" customFormat="false" ht="15" hidden="false" customHeight="false" outlineLevel="0" collapsed="false">
      <c r="A40" s="5" t="s">
        <v>43</v>
      </c>
      <c r="B40" s="5"/>
      <c r="C40" s="5"/>
      <c r="D40" s="5"/>
      <c r="E40" s="5"/>
      <c r="F40" s="5"/>
      <c r="G40" s="5"/>
      <c r="H40" s="5"/>
      <c r="I40" s="32" t="n">
        <f aca="false">I35*I28-I27</f>
        <v>2106.93333333333</v>
      </c>
      <c r="J40" s="32"/>
      <c r="K40" s="32"/>
    </row>
    <row r="42" customFormat="false" ht="15" hidden="false" customHeight="false" outlineLevel="0" collapsed="false">
      <c r="A42" s="31" t="s">
        <v>44</v>
      </c>
      <c r="B42" s="31"/>
      <c r="C42" s="31"/>
      <c r="D42" s="31"/>
      <c r="E42" s="31"/>
      <c r="F42" s="31"/>
      <c r="G42" s="31"/>
      <c r="H42" s="31"/>
      <c r="I42" s="31"/>
      <c r="J42" s="31"/>
      <c r="K42" s="31"/>
    </row>
    <row r="43" customFormat="false" ht="25.5" hidden="false" customHeight="true" outlineLevel="0" collapsed="false">
      <c r="A43" s="33" t="s">
        <v>45</v>
      </c>
      <c r="B43" s="33"/>
      <c r="C43" s="33"/>
      <c r="D43" s="33"/>
      <c r="E43" s="33"/>
      <c r="F43" s="33"/>
      <c r="G43" s="33"/>
      <c r="H43" s="33"/>
      <c r="I43" s="33"/>
      <c r="J43" s="33"/>
      <c r="K43" s="33"/>
    </row>
    <row r="44" customFormat="false" ht="25.5" hidden="false" customHeight="true" outlineLevel="0" collapsed="false">
      <c r="A44" s="33" t="s">
        <v>46</v>
      </c>
      <c r="B44" s="33"/>
      <c r="C44" s="33"/>
      <c r="D44" s="33"/>
      <c r="E44" s="33"/>
      <c r="F44" s="33"/>
      <c r="G44" s="33"/>
      <c r="H44" s="33"/>
      <c r="I44" s="33"/>
      <c r="J44" s="33"/>
      <c r="K44" s="33"/>
    </row>
    <row r="45" customFormat="false" ht="25.5" hidden="false" customHeight="true" outlineLevel="0" collapsed="false">
      <c r="A45" s="33" t="s">
        <v>47</v>
      </c>
      <c r="B45" s="33"/>
      <c r="C45" s="33"/>
      <c r="D45" s="33"/>
      <c r="E45" s="33"/>
      <c r="F45" s="33"/>
      <c r="G45" s="33"/>
      <c r="H45" s="33"/>
      <c r="I45" s="33"/>
      <c r="J45" s="33"/>
      <c r="K45" s="33"/>
    </row>
    <row r="46" customFormat="false" ht="25.5" hidden="false" customHeight="true" outlineLevel="0" collapsed="false">
      <c r="A46" s="33" t="s">
        <v>48</v>
      </c>
      <c r="B46" s="33"/>
      <c r="C46" s="33"/>
      <c r="D46" s="33"/>
      <c r="E46" s="33"/>
      <c r="F46" s="33"/>
      <c r="G46" s="33"/>
      <c r="H46" s="33"/>
      <c r="I46" s="33"/>
      <c r="J46" s="33"/>
      <c r="K46" s="33"/>
    </row>
    <row r="47" customFormat="false" ht="25.5" hidden="false" customHeight="true" outlineLevel="0" collapsed="false">
      <c r="A47" s="33" t="s">
        <v>49</v>
      </c>
      <c r="B47" s="33"/>
      <c r="C47" s="33"/>
      <c r="D47" s="33"/>
      <c r="E47" s="33"/>
      <c r="F47" s="33"/>
      <c r="G47" s="33"/>
      <c r="H47" s="33"/>
      <c r="I47" s="33"/>
      <c r="J47" s="33"/>
      <c r="K47" s="33"/>
    </row>
  </sheetData>
  <mergeCells count="53">
    <mergeCell ref="A1:K1"/>
    <mergeCell ref="A2:K2"/>
    <mergeCell ref="A4:K4"/>
    <mergeCell ref="A5:K5"/>
    <mergeCell ref="A7:K7"/>
    <mergeCell ref="A8:E8"/>
    <mergeCell ref="A9:E9"/>
    <mergeCell ref="A11:K11"/>
    <mergeCell ref="A12:A13"/>
    <mergeCell ref="B12:B13"/>
    <mergeCell ref="C12:E12"/>
    <mergeCell ref="F12:H12"/>
    <mergeCell ref="I12:K12"/>
    <mergeCell ref="A19:E19"/>
    <mergeCell ref="A21:K21"/>
    <mergeCell ref="A22:H22"/>
    <mergeCell ref="I22:K22"/>
    <mergeCell ref="A23:H23"/>
    <mergeCell ref="I23:K23"/>
    <mergeCell ref="A24:H24"/>
    <mergeCell ref="I24:K24"/>
    <mergeCell ref="A25:H25"/>
    <mergeCell ref="I25:K25"/>
    <mergeCell ref="A26:H26"/>
    <mergeCell ref="I26:K26"/>
    <mergeCell ref="A27:H27"/>
    <mergeCell ref="I27:K27"/>
    <mergeCell ref="A28:H28"/>
    <mergeCell ref="I28:K28"/>
    <mergeCell ref="A29:H29"/>
    <mergeCell ref="I29:K29"/>
    <mergeCell ref="A31:K31"/>
    <mergeCell ref="A32:H32"/>
    <mergeCell ref="I32:K32"/>
    <mergeCell ref="A33:H33"/>
    <mergeCell ref="I33:K33"/>
    <mergeCell ref="A34:H34"/>
    <mergeCell ref="I34:K34"/>
    <mergeCell ref="A35:H35"/>
    <mergeCell ref="I35:K35"/>
    <mergeCell ref="A37:K37"/>
    <mergeCell ref="A38:H38"/>
    <mergeCell ref="I38:K38"/>
    <mergeCell ref="A39:H39"/>
    <mergeCell ref="I39:K39"/>
    <mergeCell ref="A40:H40"/>
    <mergeCell ref="I40:K40"/>
    <mergeCell ref="A42:K42"/>
    <mergeCell ref="A43:K43"/>
    <mergeCell ref="A44:K44"/>
    <mergeCell ref="A45:K45"/>
    <mergeCell ref="A46:K46"/>
    <mergeCell ref="A47:K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12"/>
    <col collapsed="false" customWidth="true" hidden="false" outlineLevel="0" max="6" min="6" style="0" width="9"/>
    <col collapsed="false" customWidth="true" hidden="false" outlineLevel="0" max="7" min="7" style="0" width="11"/>
    <col collapsed="false" customWidth="true" hidden="false" outlineLevel="0" max="8" min="8" style="0" width="12"/>
    <col collapsed="false" customWidth="true" hidden="false" outlineLevel="0" max="9" min="9" style="0" width="9"/>
    <col collapsed="false" customWidth="true" hidden="false" outlineLevel="0" max="10" min="10" style="0" width="11"/>
    <col collapsed="false" customWidth="true" hidden="false" outlineLevel="0" max="11" min="11" style="0" width="12"/>
  </cols>
  <sheetData>
    <row r="1" customFormat="false" ht="25.5" hidden="false" customHeight="true" outlineLevel="0" collapsed="false">
      <c r="A1" s="1" t="s">
        <v>50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15" hidden="false" customHeight="false" outlineLevel="0" collapsed="false">
      <c r="A4" s="3" t="s">
        <v>2</v>
      </c>
      <c r="B4" s="3"/>
      <c r="C4" s="3"/>
      <c r="D4" s="3"/>
      <c r="E4" s="3"/>
      <c r="F4" s="3"/>
      <c r="G4" s="3"/>
      <c r="H4" s="3"/>
      <c r="I4" s="3"/>
      <c r="J4" s="3"/>
      <c r="K4" s="3"/>
    </row>
    <row r="5" customFormat="false" ht="57.75" hidden="false" customHeight="true" outlineLevel="0" collapsed="false">
      <c r="A5" s="4" t="s">
        <v>51</v>
      </c>
      <c r="B5" s="4"/>
      <c r="C5" s="4"/>
      <c r="D5" s="4"/>
      <c r="E5" s="4"/>
      <c r="F5" s="4"/>
      <c r="G5" s="4"/>
      <c r="H5" s="4"/>
      <c r="I5" s="4"/>
      <c r="J5" s="4"/>
      <c r="K5" s="4"/>
    </row>
    <row r="7" customFormat="false" ht="15" hidden="false" customHeight="false" outlineLevel="0" collapsed="false">
      <c r="A7" s="3" t="s">
        <v>4</v>
      </c>
      <c r="B7" s="3"/>
      <c r="C7" s="3"/>
      <c r="D7" s="3"/>
      <c r="E7" s="3"/>
      <c r="F7" s="3"/>
      <c r="G7" s="3"/>
      <c r="H7" s="3"/>
      <c r="I7" s="3"/>
      <c r="J7" s="3"/>
      <c r="K7" s="3"/>
    </row>
    <row r="8" customFormat="false" ht="15" hidden="false" customHeight="false" outlineLevel="0" collapsed="false">
      <c r="A8" s="5" t="s">
        <v>52</v>
      </c>
      <c r="B8" s="5"/>
      <c r="C8" s="5"/>
      <c r="D8" s="5"/>
      <c r="E8" s="5"/>
      <c r="F8" s="6" t="n">
        <v>3</v>
      </c>
    </row>
    <row r="9" customFormat="false" ht="15" hidden="false" customHeight="false" outlineLevel="0" collapsed="false">
      <c r="A9" s="5" t="s">
        <v>6</v>
      </c>
      <c r="B9" s="5"/>
      <c r="C9" s="5"/>
      <c r="D9" s="5"/>
      <c r="E9" s="5"/>
      <c r="F9" s="7" t="n">
        <v>0.45</v>
      </c>
    </row>
    <row r="11" customFormat="false" ht="15" hidden="false" customHeight="false" outlineLevel="0" collapsed="false">
      <c r="A11" s="3" t="s">
        <v>7</v>
      </c>
      <c r="B11" s="3"/>
      <c r="C11" s="3"/>
      <c r="D11" s="3"/>
      <c r="E11" s="3"/>
      <c r="F11" s="3"/>
      <c r="G11" s="3"/>
      <c r="H11" s="3"/>
      <c r="I11" s="3"/>
      <c r="J11" s="3"/>
      <c r="K11" s="3"/>
    </row>
    <row r="12" customFormat="false" ht="15" hidden="false" customHeight="false" outlineLevel="0" collapsed="false">
      <c r="A12" s="8" t="s">
        <v>8</v>
      </c>
      <c r="B12" s="8" t="s">
        <v>9</v>
      </c>
      <c r="C12" s="9" t="s">
        <v>10</v>
      </c>
      <c r="D12" s="9"/>
      <c r="E12" s="9"/>
      <c r="F12" s="9" t="s">
        <v>11</v>
      </c>
      <c r="G12" s="9"/>
      <c r="H12" s="9"/>
      <c r="I12" s="9" t="s">
        <v>12</v>
      </c>
      <c r="J12" s="9"/>
      <c r="K12" s="9"/>
    </row>
    <row r="13" customFormat="false" ht="15" hidden="false" customHeight="false" outlineLevel="0" collapsed="false">
      <c r="A13" s="8"/>
      <c r="B13" s="8"/>
      <c r="C13" s="10" t="s">
        <v>13</v>
      </c>
      <c r="D13" s="10" t="s">
        <v>14</v>
      </c>
      <c r="E13" s="10" t="s">
        <v>15</v>
      </c>
      <c r="F13" s="10" t="s">
        <v>13</v>
      </c>
      <c r="G13" s="10" t="s">
        <v>14</v>
      </c>
      <c r="H13" s="10" t="s">
        <v>15</v>
      </c>
      <c r="I13" s="10" t="s">
        <v>13</v>
      </c>
      <c r="J13" s="10" t="s">
        <v>14</v>
      </c>
      <c r="K13" s="10" t="s">
        <v>15</v>
      </c>
    </row>
    <row r="14" customFormat="false" ht="15" hidden="false" customHeight="false" outlineLevel="0" collapsed="false">
      <c r="A14" s="11" t="s">
        <v>16</v>
      </c>
      <c r="B14" s="12" t="s">
        <v>17</v>
      </c>
      <c r="C14" s="11"/>
      <c r="D14" s="11"/>
      <c r="E14" s="11"/>
      <c r="F14" s="11"/>
      <c r="G14" s="11"/>
      <c r="H14" s="11"/>
      <c r="I14" s="13" t="n">
        <v>150</v>
      </c>
      <c r="J14" s="14" t="n">
        <v>6</v>
      </c>
      <c r="K14" s="15" t="n">
        <f aca="false">I14*J14</f>
        <v>900</v>
      </c>
    </row>
    <row r="15" customFormat="false" ht="15" hidden="false" customHeight="false" outlineLevel="0" collapsed="false">
      <c r="A15" s="11" t="s">
        <v>53</v>
      </c>
      <c r="B15" s="12" t="s">
        <v>54</v>
      </c>
      <c r="C15" s="13" t="n">
        <v>400</v>
      </c>
      <c r="D15" s="14" t="n">
        <v>6.2</v>
      </c>
      <c r="E15" s="15" t="n">
        <f aca="false">C15*D15</f>
        <v>2480</v>
      </c>
      <c r="F15" s="11"/>
      <c r="G15" s="11"/>
      <c r="H15" s="11"/>
      <c r="I15" s="16" t="n">
        <f aca="false">I14+C15</f>
        <v>550</v>
      </c>
      <c r="J15" s="17" t="n">
        <f aca="false">K15/I15</f>
        <v>6.14545454545455</v>
      </c>
      <c r="K15" s="15" t="n">
        <f aca="false">K14+E15</f>
        <v>3380</v>
      </c>
    </row>
    <row r="16" customFormat="false" ht="15" hidden="false" customHeight="false" outlineLevel="0" collapsed="false">
      <c r="A16" s="11" t="s">
        <v>55</v>
      </c>
      <c r="B16" s="12" t="s">
        <v>56</v>
      </c>
      <c r="C16" s="11"/>
      <c r="D16" s="11"/>
      <c r="E16" s="11"/>
      <c r="F16" s="13" t="n">
        <v>300</v>
      </c>
      <c r="G16" s="17" t="n">
        <f aca="false">J15</f>
        <v>6.14545454545455</v>
      </c>
      <c r="H16" s="15" t="n">
        <f aca="false">F16*G16</f>
        <v>1843.63636363636</v>
      </c>
      <c r="I16" s="16" t="n">
        <f aca="false">I15-F16</f>
        <v>250</v>
      </c>
      <c r="J16" s="17" t="n">
        <f aca="false">K16/I16</f>
        <v>6.14545454545455</v>
      </c>
      <c r="K16" s="15" t="n">
        <f aca="false">K15-H16</f>
        <v>1536.36363636364</v>
      </c>
    </row>
    <row r="17" customFormat="false" ht="15" hidden="false" customHeight="false" outlineLevel="0" collapsed="false">
      <c r="A17" s="11" t="s">
        <v>57</v>
      </c>
      <c r="B17" s="12" t="s">
        <v>54</v>
      </c>
      <c r="C17" s="13" t="n">
        <v>350</v>
      </c>
      <c r="D17" s="14" t="n">
        <v>6.5</v>
      </c>
      <c r="E17" s="15" t="n">
        <f aca="false">C17*D17</f>
        <v>2275</v>
      </c>
      <c r="F17" s="11"/>
      <c r="G17" s="11"/>
      <c r="H17" s="11"/>
      <c r="I17" s="16" t="n">
        <f aca="false">I16+C17</f>
        <v>600</v>
      </c>
      <c r="J17" s="17" t="n">
        <f aca="false">K17/I17</f>
        <v>6.35227272727273</v>
      </c>
      <c r="K17" s="15" t="n">
        <f aca="false">K16+E17</f>
        <v>3811.36363636364</v>
      </c>
    </row>
    <row r="18" customFormat="false" ht="15" hidden="false" customHeight="false" outlineLevel="0" collapsed="false">
      <c r="A18" s="11" t="s">
        <v>58</v>
      </c>
      <c r="B18" s="12" t="s">
        <v>56</v>
      </c>
      <c r="C18" s="11"/>
      <c r="D18" s="11"/>
      <c r="E18" s="11"/>
      <c r="F18" s="13" t="n">
        <v>450</v>
      </c>
      <c r="G18" s="17" t="n">
        <f aca="false">J17</f>
        <v>6.35227272727273</v>
      </c>
      <c r="H18" s="15" t="n">
        <f aca="false">F18*G18</f>
        <v>2858.52272727273</v>
      </c>
      <c r="I18" s="16" t="n">
        <f aca="false">I17-F18</f>
        <v>150</v>
      </c>
      <c r="J18" s="17" t="n">
        <f aca="false">K18/I18</f>
        <v>6.35227272727273</v>
      </c>
      <c r="K18" s="15" t="n">
        <f aca="false">K17-H18</f>
        <v>952.840909090909</v>
      </c>
    </row>
    <row r="19" customFormat="false" ht="15" hidden="false" customHeight="false" outlineLevel="0" collapsed="false">
      <c r="A19" s="18" t="s">
        <v>24</v>
      </c>
      <c r="B19" s="18"/>
      <c r="C19" s="18"/>
      <c r="D19" s="18"/>
      <c r="E19" s="18"/>
      <c r="F19" s="19" t="n">
        <f aca="false">F16+F18</f>
        <v>750</v>
      </c>
      <c r="G19" s="20"/>
      <c r="H19" s="21" t="n">
        <f aca="false">H16+H18</f>
        <v>4702.15909090909</v>
      </c>
      <c r="I19" s="20"/>
      <c r="J19" s="20"/>
      <c r="K19" s="20"/>
    </row>
    <row r="21" customFormat="false" ht="15" hidden="false" customHeight="false" outlineLevel="0" collapsed="false">
      <c r="A21" s="3" t="s">
        <v>25</v>
      </c>
      <c r="B21" s="3"/>
      <c r="C21" s="3"/>
      <c r="D21" s="3"/>
      <c r="E21" s="3"/>
      <c r="F21" s="3"/>
      <c r="G21" s="3"/>
      <c r="H21" s="3"/>
      <c r="I21" s="3"/>
      <c r="J21" s="3"/>
      <c r="K21" s="3"/>
    </row>
    <row r="22" customFormat="false" ht="15" hidden="false" customHeight="false" outlineLevel="0" collapsed="false">
      <c r="A22" s="22" t="s">
        <v>26</v>
      </c>
      <c r="B22" s="22"/>
      <c r="C22" s="22"/>
      <c r="D22" s="22"/>
      <c r="E22" s="22"/>
      <c r="F22" s="22"/>
      <c r="G22" s="22"/>
      <c r="H22" s="22"/>
      <c r="I22" s="9" t="s">
        <v>27</v>
      </c>
      <c r="J22" s="9"/>
      <c r="K22" s="9"/>
    </row>
    <row r="23" customFormat="false" ht="15" hidden="false" customHeight="false" outlineLevel="0" collapsed="false">
      <c r="A23" s="5" t="s">
        <v>59</v>
      </c>
      <c r="B23" s="5"/>
      <c r="C23" s="5"/>
      <c r="D23" s="5"/>
      <c r="E23" s="5"/>
      <c r="F23" s="5"/>
      <c r="G23" s="5"/>
      <c r="H23" s="5"/>
      <c r="I23" s="23" t="n">
        <f aca="false">H19</f>
        <v>4702.15909090909</v>
      </c>
      <c r="J23" s="23"/>
      <c r="K23" s="23"/>
    </row>
    <row r="24" customFormat="false" ht="15" hidden="false" customHeight="false" outlineLevel="0" collapsed="false">
      <c r="A24" s="5" t="s">
        <v>60</v>
      </c>
      <c r="B24" s="5"/>
      <c r="C24" s="5"/>
      <c r="D24" s="5"/>
      <c r="E24" s="5"/>
      <c r="F24" s="5"/>
      <c r="G24" s="5"/>
      <c r="H24" s="5"/>
      <c r="I24" s="23" t="n">
        <f aca="false">F19*1.2</f>
        <v>900</v>
      </c>
      <c r="J24" s="23"/>
      <c r="K24" s="23"/>
    </row>
    <row r="25" customFormat="false" ht="15" hidden="false" customHeight="false" outlineLevel="0" collapsed="false">
      <c r="A25" s="5" t="s">
        <v>61</v>
      </c>
      <c r="B25" s="5"/>
      <c r="C25" s="5"/>
      <c r="D25" s="5"/>
      <c r="E25" s="5"/>
      <c r="F25" s="5"/>
      <c r="G25" s="5"/>
      <c r="H25" s="5"/>
      <c r="I25" s="24" t="n">
        <v>960</v>
      </c>
      <c r="J25" s="24"/>
      <c r="K25" s="24"/>
    </row>
    <row r="26" customFormat="false" ht="15" hidden="false" customHeight="false" outlineLevel="0" collapsed="false">
      <c r="A26" s="5" t="s">
        <v>62</v>
      </c>
      <c r="B26" s="5"/>
      <c r="C26" s="5"/>
      <c r="D26" s="5"/>
      <c r="E26" s="5"/>
      <c r="F26" s="5"/>
      <c r="G26" s="5"/>
      <c r="H26" s="5"/>
      <c r="I26" s="24" t="n">
        <v>500</v>
      </c>
      <c r="J26" s="24"/>
      <c r="K26" s="24"/>
    </row>
    <row r="27" customFormat="false" ht="15" hidden="false" customHeight="false" outlineLevel="0" collapsed="false">
      <c r="A27" s="25" t="s">
        <v>32</v>
      </c>
      <c r="B27" s="25"/>
      <c r="C27" s="25"/>
      <c r="D27" s="25"/>
      <c r="E27" s="25"/>
      <c r="F27" s="25"/>
      <c r="G27" s="25"/>
      <c r="H27" s="25"/>
      <c r="I27" s="26" t="n">
        <f aca="false">I23+I24+I25+I26</f>
        <v>7062.15909090909</v>
      </c>
      <c r="J27" s="26"/>
      <c r="K27" s="26"/>
    </row>
    <row r="28" customFormat="false" ht="15" hidden="false" customHeight="false" outlineLevel="0" collapsed="false">
      <c r="A28" s="5" t="s">
        <v>63</v>
      </c>
      <c r="B28" s="5"/>
      <c r="C28" s="5"/>
      <c r="D28" s="5"/>
      <c r="E28" s="5"/>
      <c r="F28" s="5"/>
      <c r="G28" s="5"/>
      <c r="H28" s="5"/>
      <c r="I28" s="27" t="n">
        <f aca="false">F19/F8</f>
        <v>250</v>
      </c>
      <c r="J28" s="27"/>
      <c r="K28" s="27"/>
    </row>
    <row r="29" customFormat="false" ht="15" hidden="false" customHeight="false" outlineLevel="0" collapsed="false">
      <c r="A29" s="28" t="s">
        <v>34</v>
      </c>
      <c r="B29" s="28"/>
      <c r="C29" s="28"/>
      <c r="D29" s="28"/>
      <c r="E29" s="28"/>
      <c r="F29" s="28"/>
      <c r="G29" s="28"/>
      <c r="H29" s="28"/>
      <c r="I29" s="29" t="n">
        <f aca="false">I27/I28</f>
        <v>28.2486363636364</v>
      </c>
      <c r="J29" s="29"/>
      <c r="K29" s="29"/>
    </row>
    <row r="31" customFormat="false" ht="15" hidden="false" customHeight="false" outlineLevel="0" collapsed="false">
      <c r="A31" s="3" t="s">
        <v>35</v>
      </c>
      <c r="B31" s="3"/>
      <c r="C31" s="3"/>
      <c r="D31" s="3"/>
      <c r="E31" s="3"/>
      <c r="F31" s="3"/>
      <c r="G31" s="3"/>
      <c r="H31" s="3"/>
      <c r="I31" s="3"/>
      <c r="J31" s="3"/>
      <c r="K31" s="3"/>
    </row>
    <row r="32" customFormat="false" ht="15" hidden="false" customHeight="false" outlineLevel="0" collapsed="false">
      <c r="A32" s="5" t="s">
        <v>36</v>
      </c>
      <c r="B32" s="5"/>
      <c r="C32" s="5"/>
      <c r="D32" s="5"/>
      <c r="E32" s="5"/>
      <c r="F32" s="5"/>
      <c r="G32" s="5"/>
      <c r="H32" s="5"/>
      <c r="I32" s="23" t="n">
        <f aca="false">I29</f>
        <v>28.2486363636364</v>
      </c>
      <c r="J32" s="23"/>
      <c r="K32" s="23"/>
    </row>
    <row r="33" customFormat="false" ht="15" hidden="false" customHeight="false" outlineLevel="0" collapsed="false">
      <c r="A33" s="5" t="s">
        <v>37</v>
      </c>
      <c r="B33" s="5"/>
      <c r="C33" s="5"/>
      <c r="D33" s="5"/>
      <c r="E33" s="5"/>
      <c r="F33" s="5"/>
      <c r="G33" s="5"/>
      <c r="H33" s="5"/>
      <c r="I33" s="30" t="n">
        <f aca="false">F9</f>
        <v>0.45</v>
      </c>
      <c r="J33" s="30"/>
      <c r="K33" s="30"/>
    </row>
    <row r="34" customFormat="false" ht="15" hidden="false" customHeight="false" outlineLevel="0" collapsed="false">
      <c r="A34" s="5" t="s">
        <v>38</v>
      </c>
      <c r="B34" s="5"/>
      <c r="C34" s="5"/>
      <c r="D34" s="5"/>
      <c r="E34" s="5"/>
      <c r="F34" s="5"/>
      <c r="G34" s="5"/>
      <c r="H34" s="5"/>
      <c r="I34" s="23" t="n">
        <f aca="false">I29*F9</f>
        <v>12.7118863636364</v>
      </c>
      <c r="J34" s="23"/>
      <c r="K34" s="23"/>
    </row>
    <row r="35" customFormat="false" ht="15" hidden="false" customHeight="false" outlineLevel="0" collapsed="false">
      <c r="A35" s="25" t="s">
        <v>39</v>
      </c>
      <c r="B35" s="25"/>
      <c r="C35" s="25"/>
      <c r="D35" s="25"/>
      <c r="E35" s="25"/>
      <c r="F35" s="25"/>
      <c r="G35" s="25"/>
      <c r="H35" s="25"/>
      <c r="I35" s="26" t="n">
        <f aca="false">I29*(1+F9)</f>
        <v>40.9605227272727</v>
      </c>
      <c r="J35" s="26"/>
      <c r="K35" s="26"/>
    </row>
    <row r="37" customFormat="false" ht="15" hidden="false" customHeight="false" outlineLevel="0" collapsed="false">
      <c r="A37" s="31" t="s">
        <v>40</v>
      </c>
      <c r="B37" s="31"/>
      <c r="C37" s="31"/>
      <c r="D37" s="31"/>
      <c r="E37" s="31"/>
      <c r="F37" s="31"/>
      <c r="G37" s="31"/>
      <c r="H37" s="31"/>
      <c r="I37" s="31"/>
      <c r="J37" s="31"/>
      <c r="K37" s="31"/>
    </row>
    <row r="38" customFormat="false" ht="15" hidden="false" customHeight="false" outlineLevel="0" collapsed="false">
      <c r="A38" s="5" t="s">
        <v>41</v>
      </c>
      <c r="B38" s="5"/>
      <c r="C38" s="5"/>
      <c r="D38" s="5"/>
      <c r="E38" s="5"/>
      <c r="F38" s="5"/>
      <c r="G38" s="5"/>
      <c r="H38" s="5"/>
      <c r="I38" s="32" t="n">
        <f aca="false">I35*I28</f>
        <v>10240.1306818182</v>
      </c>
      <c r="J38" s="32"/>
      <c r="K38" s="32"/>
    </row>
    <row r="39" customFormat="false" ht="15" hidden="false" customHeight="false" outlineLevel="0" collapsed="false">
      <c r="A39" s="5" t="s">
        <v>42</v>
      </c>
      <c r="B39" s="5"/>
      <c r="C39" s="5"/>
      <c r="D39" s="5"/>
      <c r="E39" s="5"/>
      <c r="F39" s="5"/>
      <c r="G39" s="5"/>
      <c r="H39" s="5"/>
      <c r="I39" s="32" t="n">
        <f aca="false">I27</f>
        <v>7062.15909090909</v>
      </c>
      <c r="J39" s="32"/>
      <c r="K39" s="32"/>
    </row>
    <row r="40" customFormat="false" ht="15" hidden="false" customHeight="false" outlineLevel="0" collapsed="false">
      <c r="A40" s="5" t="s">
        <v>43</v>
      </c>
      <c r="B40" s="5"/>
      <c r="C40" s="5"/>
      <c r="D40" s="5"/>
      <c r="E40" s="5"/>
      <c r="F40" s="5"/>
      <c r="G40" s="5"/>
      <c r="H40" s="5"/>
      <c r="I40" s="32" t="n">
        <f aca="false">I35*I28-I27</f>
        <v>3177.97159090909</v>
      </c>
      <c r="J40" s="32"/>
      <c r="K40" s="32"/>
    </row>
    <row r="42" customFormat="false" ht="15" hidden="false" customHeight="false" outlineLevel="0" collapsed="false">
      <c r="A42" s="31" t="s">
        <v>44</v>
      </c>
      <c r="B42" s="31"/>
      <c r="C42" s="31"/>
      <c r="D42" s="31"/>
      <c r="E42" s="31"/>
      <c r="F42" s="31"/>
      <c r="G42" s="31"/>
      <c r="H42" s="31"/>
      <c r="I42" s="31"/>
      <c r="J42" s="31"/>
      <c r="K42" s="31"/>
    </row>
    <row r="43" customFormat="false" ht="25.5" hidden="false" customHeight="true" outlineLevel="0" collapsed="false">
      <c r="A43" s="33" t="s">
        <v>45</v>
      </c>
      <c r="B43" s="33"/>
      <c r="C43" s="33"/>
      <c r="D43" s="33"/>
      <c r="E43" s="33"/>
      <c r="F43" s="33"/>
      <c r="G43" s="33"/>
      <c r="H43" s="33"/>
      <c r="I43" s="33"/>
      <c r="J43" s="33"/>
      <c r="K43" s="33"/>
    </row>
    <row r="44" customFormat="false" ht="25.5" hidden="false" customHeight="true" outlineLevel="0" collapsed="false">
      <c r="A44" s="33" t="s">
        <v>46</v>
      </c>
      <c r="B44" s="33"/>
      <c r="C44" s="33"/>
      <c r="D44" s="33"/>
      <c r="E44" s="33"/>
      <c r="F44" s="33"/>
      <c r="G44" s="33"/>
      <c r="H44" s="33"/>
      <c r="I44" s="33"/>
      <c r="J44" s="33"/>
      <c r="K44" s="33"/>
    </row>
    <row r="45" customFormat="false" ht="25.5" hidden="false" customHeight="true" outlineLevel="0" collapsed="false">
      <c r="A45" s="33" t="s">
        <v>47</v>
      </c>
      <c r="B45" s="33"/>
      <c r="C45" s="33"/>
      <c r="D45" s="33"/>
      <c r="E45" s="33"/>
      <c r="F45" s="33"/>
      <c r="G45" s="33"/>
      <c r="H45" s="33"/>
      <c r="I45" s="33"/>
      <c r="J45" s="33"/>
      <c r="K45" s="33"/>
    </row>
    <row r="46" customFormat="false" ht="25.5" hidden="false" customHeight="true" outlineLevel="0" collapsed="false">
      <c r="A46" s="33" t="s">
        <v>48</v>
      </c>
      <c r="B46" s="33"/>
      <c r="C46" s="33"/>
      <c r="D46" s="33"/>
      <c r="E46" s="33"/>
      <c r="F46" s="33"/>
      <c r="G46" s="33"/>
      <c r="H46" s="33"/>
      <c r="I46" s="33"/>
      <c r="J46" s="33"/>
      <c r="K46" s="33"/>
    </row>
    <row r="47" customFormat="false" ht="25.5" hidden="false" customHeight="true" outlineLevel="0" collapsed="false">
      <c r="A47" s="33" t="s">
        <v>49</v>
      </c>
      <c r="B47" s="33"/>
      <c r="C47" s="33"/>
      <c r="D47" s="33"/>
      <c r="E47" s="33"/>
      <c r="F47" s="33"/>
      <c r="G47" s="33"/>
      <c r="H47" s="33"/>
      <c r="I47" s="33"/>
      <c r="J47" s="33"/>
      <c r="K47" s="33"/>
    </row>
  </sheetData>
  <mergeCells count="53">
    <mergeCell ref="A1:K1"/>
    <mergeCell ref="A2:K2"/>
    <mergeCell ref="A4:K4"/>
    <mergeCell ref="A5:K5"/>
    <mergeCell ref="A7:K7"/>
    <mergeCell ref="A8:E8"/>
    <mergeCell ref="A9:E9"/>
    <mergeCell ref="A11:K11"/>
    <mergeCell ref="A12:A13"/>
    <mergeCell ref="B12:B13"/>
    <mergeCell ref="C12:E12"/>
    <mergeCell ref="F12:H12"/>
    <mergeCell ref="I12:K12"/>
    <mergeCell ref="A19:E19"/>
    <mergeCell ref="A21:K21"/>
    <mergeCell ref="A22:H22"/>
    <mergeCell ref="I22:K22"/>
    <mergeCell ref="A23:H23"/>
    <mergeCell ref="I23:K23"/>
    <mergeCell ref="A24:H24"/>
    <mergeCell ref="I24:K24"/>
    <mergeCell ref="A25:H25"/>
    <mergeCell ref="I25:K25"/>
    <mergeCell ref="A26:H26"/>
    <mergeCell ref="I26:K26"/>
    <mergeCell ref="A27:H27"/>
    <mergeCell ref="I27:K27"/>
    <mergeCell ref="A28:H28"/>
    <mergeCell ref="I28:K28"/>
    <mergeCell ref="A29:H29"/>
    <mergeCell ref="I29:K29"/>
    <mergeCell ref="A31:K31"/>
    <mergeCell ref="A32:H32"/>
    <mergeCell ref="I32:K32"/>
    <mergeCell ref="A33:H33"/>
    <mergeCell ref="I33:K33"/>
    <mergeCell ref="A34:H34"/>
    <mergeCell ref="I34:K34"/>
    <mergeCell ref="A35:H35"/>
    <mergeCell ref="I35:K35"/>
    <mergeCell ref="A37:K37"/>
    <mergeCell ref="A38:H38"/>
    <mergeCell ref="I38:K38"/>
    <mergeCell ref="A39:H39"/>
    <mergeCell ref="I39:K39"/>
    <mergeCell ref="A40:H40"/>
    <mergeCell ref="I40:K40"/>
    <mergeCell ref="A42:K42"/>
    <mergeCell ref="A43:K43"/>
    <mergeCell ref="A44:K44"/>
    <mergeCell ref="A45:K45"/>
    <mergeCell ref="A46:K46"/>
    <mergeCell ref="A47:K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2026-09-15T22:23:14Z</dcterms:created>
  <dc:creator>openpyxl</dc:creator>
  <dc:description/>
  <dc:language>en-US</dc:language>
  <cp:lastModifiedBy/>
  <dcterms:modified xsi:type="dcterms:W3CDTF">2026-09-15T22:23:14Z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