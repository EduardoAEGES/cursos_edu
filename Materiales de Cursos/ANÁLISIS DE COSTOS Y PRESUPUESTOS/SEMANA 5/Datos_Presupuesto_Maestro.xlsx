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SEMANA 5\"/>
    </mc:Choice>
  </mc:AlternateContent>
  <xr:revisionPtr revIDLastSave="0" documentId="13_ncr:1_{6B8E1A63-0032-4924-A975-52E47D7F6B5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Guía" sheetId="1" r:id="rId1"/>
    <sheet name="1. Revelado de Fotos" sheetId="2" r:id="rId2"/>
    <sheet name="2. Pijamas" sheetId="3" r:id="rId3"/>
    <sheet name="3. Curso de Guión" sheetId="4" r:id="rId4"/>
    <sheet name="4. Cerveza Artesanal" sheetId="5" r:id="rId5"/>
    <sheet name="5. Chocolate Blanco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2" l="1"/>
  <c r="B57" i="6"/>
  <c r="B59" i="6" s="1"/>
  <c r="F12" i="6" s="1"/>
  <c r="B52" i="6"/>
  <c r="F11" i="6" s="1"/>
  <c r="F34" i="6"/>
  <c r="G34" i="6" s="1"/>
  <c r="F29" i="6"/>
  <c r="G29" i="6" s="1"/>
  <c r="D29" i="6"/>
  <c r="D28" i="6"/>
  <c r="F28" i="6" s="1"/>
  <c r="G28" i="6" s="1"/>
  <c r="D27" i="6"/>
  <c r="F27" i="6" s="1"/>
  <c r="G27" i="6" s="1"/>
  <c r="D26" i="6"/>
  <c r="F26" i="6" s="1"/>
  <c r="E21" i="6"/>
  <c r="E20" i="6"/>
  <c r="E22" i="6" s="1"/>
  <c r="F6" i="6" s="1"/>
  <c r="E19" i="6"/>
  <c r="E18" i="6"/>
  <c r="E17" i="6"/>
  <c r="E16" i="6"/>
  <c r="B65" i="5"/>
  <c r="F12" i="5" s="1"/>
  <c r="B58" i="5"/>
  <c r="F39" i="5"/>
  <c r="G39" i="5" s="1"/>
  <c r="D34" i="5"/>
  <c r="F34" i="5" s="1"/>
  <c r="G34" i="5" s="1"/>
  <c r="D33" i="5"/>
  <c r="F33" i="5" s="1"/>
  <c r="G33" i="5" s="1"/>
  <c r="D32" i="5"/>
  <c r="F32" i="5" s="1"/>
  <c r="G32" i="5" s="1"/>
  <c r="D31" i="5"/>
  <c r="D35" i="5" s="1"/>
  <c r="F7" i="5" s="1"/>
  <c r="G30" i="5"/>
  <c r="D30" i="5"/>
  <c r="F30" i="5" s="1"/>
  <c r="D29" i="5"/>
  <c r="F29" i="5" s="1"/>
  <c r="G29" i="5" s="1"/>
  <c r="D28" i="5"/>
  <c r="F28" i="5" s="1"/>
  <c r="G28" i="5" s="1"/>
  <c r="E24" i="5"/>
  <c r="F6" i="5" s="1"/>
  <c r="E23" i="5"/>
  <c r="E22" i="5"/>
  <c r="E21" i="5"/>
  <c r="E20" i="5"/>
  <c r="E19" i="5"/>
  <c r="E18" i="5"/>
  <c r="E17" i="5"/>
  <c r="E16" i="5"/>
  <c r="F11" i="5"/>
  <c r="B53" i="4"/>
  <c r="B47" i="4"/>
  <c r="F32" i="4"/>
  <c r="G32" i="4" s="1"/>
  <c r="D28" i="4"/>
  <c r="F7" i="4" s="1"/>
  <c r="D27" i="4"/>
  <c r="F27" i="4" s="1"/>
  <c r="G27" i="4" s="1"/>
  <c r="D26" i="4"/>
  <c r="F26" i="4" s="1"/>
  <c r="G26" i="4" s="1"/>
  <c r="D25" i="4"/>
  <c r="F25" i="4" s="1"/>
  <c r="G25" i="4" s="1"/>
  <c r="F24" i="4"/>
  <c r="G24" i="4" s="1"/>
  <c r="G28" i="4" s="1"/>
  <c r="F8" i="4" s="1"/>
  <c r="D24" i="4"/>
  <c r="E19" i="4"/>
  <c r="E18" i="4"/>
  <c r="E17" i="4"/>
  <c r="E16" i="4"/>
  <c r="E20" i="4" s="1"/>
  <c r="F6" i="4" s="1"/>
  <c r="F12" i="4"/>
  <c r="F11" i="4"/>
  <c r="B62" i="3"/>
  <c r="B55" i="3"/>
  <c r="F36" i="3"/>
  <c r="G36" i="3" s="1"/>
  <c r="H36" i="3" s="1"/>
  <c r="F35" i="3"/>
  <c r="G35" i="3" s="1"/>
  <c r="D30" i="3"/>
  <c r="F30" i="3" s="1"/>
  <c r="G30" i="3" s="1"/>
  <c r="D29" i="3"/>
  <c r="F29" i="3" s="1"/>
  <c r="G29" i="3" s="1"/>
  <c r="F28" i="3"/>
  <c r="G28" i="3" s="1"/>
  <c r="D28" i="3"/>
  <c r="D27" i="3"/>
  <c r="F27" i="3" s="1"/>
  <c r="G27" i="3" s="1"/>
  <c r="D26" i="3"/>
  <c r="D31" i="3" s="1"/>
  <c r="F7" i="3" s="1"/>
  <c r="E21" i="3"/>
  <c r="E20" i="3"/>
  <c r="E19" i="3"/>
  <c r="E18" i="3"/>
  <c r="E17" i="3"/>
  <c r="E22" i="3" s="1"/>
  <c r="F6" i="3" s="1"/>
  <c r="E16" i="3"/>
  <c r="F12" i="3"/>
  <c r="F11" i="3"/>
  <c r="B57" i="2"/>
  <c r="F12" i="2" s="1"/>
  <c r="B48" i="2"/>
  <c r="B51" i="2" s="1"/>
  <c r="F11" i="2" s="1"/>
  <c r="F31" i="2"/>
  <c r="G31" i="2" s="1"/>
  <c r="D26" i="2"/>
  <c r="F26" i="2" s="1"/>
  <c r="D25" i="2"/>
  <c r="F25" i="2" s="1"/>
  <c r="G25" i="2" s="1"/>
  <c r="D24" i="2"/>
  <c r="F24" i="2" s="1"/>
  <c r="G24" i="2" s="1"/>
  <c r="E19" i="2"/>
  <c r="E17" i="2"/>
  <c r="E16" i="2"/>
  <c r="E20" i="2" l="1"/>
  <c r="F6" i="2" s="1"/>
  <c r="D27" i="2"/>
  <c r="F7" i="2" s="1"/>
  <c r="F27" i="2"/>
  <c r="G26" i="2"/>
  <c r="G37" i="3"/>
  <c r="F9" i="3" s="1"/>
  <c r="H35" i="3"/>
  <c r="H37" i="3" s="1"/>
  <c r="D30" i="6"/>
  <c r="F7" i="6" s="1"/>
  <c r="G26" i="6"/>
  <c r="G30" i="6" s="1"/>
  <c r="F30" i="6"/>
  <c r="F28" i="4"/>
  <c r="C40" i="4" s="1"/>
  <c r="C41" i="4" s="1"/>
  <c r="F10" i="4" s="1"/>
  <c r="F31" i="5"/>
  <c r="G31" i="5" s="1"/>
  <c r="G35" i="5" s="1"/>
  <c r="G32" i="2"/>
  <c r="F9" i="2" s="1"/>
  <c r="H31" i="2"/>
  <c r="H32" i="2" s="1"/>
  <c r="G33" i="4"/>
  <c r="F9" i="4" s="1"/>
  <c r="H32" i="4"/>
  <c r="H33" i="4" s="1"/>
  <c r="G35" i="6"/>
  <c r="F9" i="6" s="1"/>
  <c r="H34" i="6"/>
  <c r="H35" i="6" s="1"/>
  <c r="G27" i="2"/>
  <c r="G40" i="5"/>
  <c r="F9" i="5" s="1"/>
  <c r="H39" i="5"/>
  <c r="H40" i="5" s="1"/>
  <c r="F26" i="3"/>
  <c r="C50" i="5" l="1"/>
  <c r="C51" i="5" s="1"/>
  <c r="F10" i="5" s="1"/>
  <c r="F8" i="5"/>
  <c r="C44" i="6"/>
  <c r="C45" i="6" s="1"/>
  <c r="F10" i="6" s="1"/>
  <c r="F8" i="6"/>
  <c r="F31" i="3"/>
  <c r="G26" i="3"/>
  <c r="G31" i="3" s="1"/>
  <c r="C42" i="2"/>
  <c r="C43" i="2" s="1"/>
  <c r="F10" i="2" s="1"/>
  <c r="F8" i="2"/>
  <c r="F35" i="5"/>
  <c r="C47" i="3" l="1"/>
  <c r="C48" i="3" s="1"/>
  <c r="F10" i="3" s="1"/>
  <c r="F8" i="3"/>
</calcChain>
</file>

<file path=xl/sharedStrings.xml><?xml version="1.0" encoding="utf-8"?>
<sst xmlns="http://schemas.openxmlformats.org/spreadsheetml/2006/main" count="586" uniqueCount="252">
  <si>
    <t>Datos base para el presupuesto maestro</t>
  </si>
  <si>
    <t>Este libro reúne, por actividad, las seis tablas de datos que servirán de insumo para construir —paso a paso— el presupuesto maestro, la estructura de costos, el costeo unitario, el punto de equilibrio y los márgenes.</t>
  </si>
  <si>
    <t>Contenido de cada pestaña</t>
  </si>
  <si>
    <t>•</t>
  </si>
  <si>
    <t>Resumen de costos y parámetros (enlaza los totales de abajo)</t>
  </si>
  <si>
    <t>1) Insumos / materiales directos</t>
  </si>
  <si>
    <t>2) Lista de activos fijos</t>
  </si>
  <si>
    <t>3) Cantidad y características del personal</t>
  </si>
  <si>
    <t>4) Detalle de costos indirectos</t>
  </si>
  <si>
    <t>5) Detalle de gastos administrativos</t>
  </si>
  <si>
    <t>6) Detalle de gastos de ventas</t>
  </si>
  <si>
    <t>Código de colores</t>
  </si>
  <si>
    <t>Azul</t>
  </si>
  <si>
    <t>Dato de entrada / editable (cantidades, precios, sueldos, montos).</t>
  </si>
  <si>
    <t>Negro</t>
  </si>
  <si>
    <t>Resultado calculado por fórmula (no editar).</t>
  </si>
  <si>
    <t>Verde</t>
  </si>
  <si>
    <t>Enlace a otra tabla de la misma hoja (p. ej. depreciación).</t>
  </si>
  <si>
    <t>Relleno amarillo</t>
  </si>
  <si>
    <t>Supuesto a revisar o completar (cargas sociales, estimados).</t>
  </si>
  <si>
    <t>Notas importantes</t>
  </si>
  <si>
    <t>—</t>
  </si>
  <si>
    <t>Todas las cifras son referenciales (estudio de mercado, precios locales Perú) y deben validarse con cotizaciones reales antes de decidir.</t>
  </si>
  <si>
    <t>El IGV (18%) no está incluido en estas tablas; se aplicará en la etapa de análisis de precios y márgenes.</t>
  </si>
  <si>
    <t>Las cargas sociales usan un supuesto de 30% (ajustable). Verificar el régimen laboral que corresponda.</t>
  </si>
  <si>
    <t>El presupuesto maestro, el costeo unitario y el punto de equilibrio se construirán en una etapa posterior sobre esta misma data.</t>
  </si>
  <si>
    <t>Servicio de revelado de fotos a color</t>
  </si>
  <si>
    <t>Unidad de costeo: Por foto impresa (10×15 cm)   |   Periodo de costos operativos: Mensual</t>
  </si>
  <si>
    <t>RESUMEN DE COSTOS Y PARÁMETROS  (base para el presupuesto maestro)</t>
  </si>
  <si>
    <t>Precio de venta referencial (S/)</t>
  </si>
  <si>
    <t>Costo de insumos por unidad (S/)</t>
  </si>
  <si>
    <t>Inversión total en activos fijos (S/)</t>
  </si>
  <si>
    <t>Depreciación mensual de activos (S/)</t>
  </si>
  <si>
    <t>Costo total de personal (mensual) (S/)</t>
  </si>
  <si>
    <t>Total costos indirectos (mensual) (S/)</t>
  </si>
  <si>
    <t>Total gastos administrativos (S/)</t>
  </si>
  <si>
    <t>Total gastos de ventas (S/)</t>
  </si>
  <si>
    <t>1) INSUMOS / MATERIALES DIRECTOS  (por unidad de producto)</t>
  </si>
  <si>
    <t>Ítem</t>
  </si>
  <si>
    <t>Unidad</t>
  </si>
  <si>
    <t>Cantidad</t>
  </si>
  <si>
    <t>Costo unitario (S/)</t>
  </si>
  <si>
    <t>Costo por unidad (S/)</t>
  </si>
  <si>
    <t>Fuente / Nota</t>
  </si>
  <si>
    <t>Papel fotográfico 10×15 cm</t>
  </si>
  <si>
    <t>hoja</t>
  </si>
  <si>
    <t>Pack 100 hojas ≈ S/15</t>
  </si>
  <si>
    <t>Tinta especial para impresora</t>
  </si>
  <si>
    <t>foto</t>
  </si>
  <si>
    <t>Cartucho ≈ S/100 / ~1000 fotos</t>
  </si>
  <si>
    <t>Energía eléctrica (impresión)</t>
  </si>
  <si>
    <t>≈0.02 kWh × S/0.69</t>
  </si>
  <si>
    <t>Sobre / funda plástica</t>
  </si>
  <si>
    <t>Empaque de entrega</t>
  </si>
  <si>
    <t>TOTAL insumos por unidad</t>
  </si>
  <si>
    <t>2) LISTA DE ACTIVOS FIJOS</t>
  </si>
  <si>
    <t>Activo</t>
  </si>
  <si>
    <t>Inversión total (S/)</t>
  </si>
  <si>
    <t>Vida útil (años)</t>
  </si>
  <si>
    <t>Deprec. anual (S/)</t>
  </si>
  <si>
    <t>Deprec. mensual (S/)</t>
  </si>
  <si>
    <t>Nota</t>
  </si>
  <si>
    <t>Impresora fotográfica (Epson L8050/L8160)</t>
  </si>
  <si>
    <t>Rango S/1,399–2,099</t>
  </si>
  <si>
    <t>Computadora / laptop para edición</t>
  </si>
  <si>
    <t>Equipo de gama media</t>
  </si>
  <si>
    <t>Mesa de trabajo y mobiliario</t>
  </si>
  <si>
    <t>Estimado</t>
  </si>
  <si>
    <t>TOTAL activos fijos</t>
  </si>
  <si>
    <t>3) CANTIDAD Y CARACTERÍSTICAS DEL PERSONAL  (mensual)</t>
  </si>
  <si>
    <t>Cargo</t>
  </si>
  <si>
    <t>Perfil</t>
  </si>
  <si>
    <t>Sueldo (S/)</t>
  </si>
  <si>
    <t>Cargas soc. (%)</t>
  </si>
  <si>
    <t>Cargas soc. (S/)</t>
  </si>
  <si>
    <t>Costo laboral (S/)</t>
  </si>
  <si>
    <t>Costo anual (S/)</t>
  </si>
  <si>
    <t>Operador/a de laboratorio fotográfico</t>
  </si>
  <si>
    <t>Fotografía digital, manejo de PC e impresoras</t>
  </si>
  <si>
    <t>TOTAL personal</t>
  </si>
  <si>
    <t>Cargas sociales (%) es un supuesto editable (celda amarilla): EsSalud 9% + gratificaciones + CTS. Ajustar según régimen laboral (RUS / MYPE / General).</t>
  </si>
  <si>
    <t>4) DETALLE DE COSTOS INDIRECTOS  (mensual)</t>
  </si>
  <si>
    <t>Concepto</t>
  </si>
  <si>
    <t>Detalle / base</t>
  </si>
  <si>
    <t>Monto (S/)</t>
  </si>
  <si>
    <t>Alquiler del local de producción</t>
  </si>
  <si>
    <t>Local ~50 m²</t>
  </si>
  <si>
    <t>≈ S/30/m²</t>
  </si>
  <si>
    <t>Electricidad (operación)</t>
  </si>
  <si>
    <t>Mensual</t>
  </si>
  <si>
    <t>Impresora y PC</t>
  </si>
  <si>
    <t>Agua e internet</t>
  </si>
  <si>
    <t>Servicios básicos</t>
  </si>
  <si>
    <t>Mantenimiento de equipos</t>
  </si>
  <si>
    <t>S/200/año</t>
  </si>
  <si>
    <t>Limpieza impresora, piezas menores</t>
  </si>
  <si>
    <t>Transporte / flete de insumos</t>
  </si>
  <si>
    <t>Compra de papel y tinta</t>
  </si>
  <si>
    <t>Depreciación de activos fijos</t>
  </si>
  <si>
    <t>Enlace a tabla de activos</t>
  </si>
  <si>
    <t>TOTAL costos indirectos</t>
  </si>
  <si>
    <t>5) DETALLE DE GASTOS ADMINISTRATIVOS  (mensual)</t>
  </si>
  <si>
    <t>Asesoría contable y tributaria</t>
  </si>
  <si>
    <t>Estimado – completar</t>
  </si>
  <si>
    <t>Seguro comercial</t>
  </si>
  <si>
    <t>Útiles de oficina</t>
  </si>
  <si>
    <t>Licencias y trámites municipales</t>
  </si>
  <si>
    <t>TOTAL gastos administrativos</t>
  </si>
  <si>
    <t>6) DETALLE DE GASTOS DE VENTAS  (mensual)</t>
  </si>
  <si>
    <t>Publicidad / redes sociales</t>
  </si>
  <si>
    <t>Promoción mensual</t>
  </si>
  <si>
    <t>Diseño de marca (amortizado)</t>
  </si>
  <si>
    <t>TOTAL gastos de ventas</t>
  </si>
  <si>
    <t>Fabricación de pijamas</t>
  </si>
  <si>
    <t>Unidad de costeo: Por pijama   |   Periodo de costos operativos: Mensual</t>
  </si>
  <si>
    <t>Tela de algodón</t>
  </si>
  <si>
    <t>m</t>
  </si>
  <si>
    <t>Gamarra ≈ S/10/m</t>
  </si>
  <si>
    <t>Elástico de cintura</t>
  </si>
  <si>
    <t>Hilo de coser</t>
  </si>
  <si>
    <t>prenda</t>
  </si>
  <si>
    <t>~10 m, insignificante</t>
  </si>
  <si>
    <t>Botones / cierre (según diseño)</t>
  </si>
  <si>
    <t>Opcional – completar si aplica</t>
  </si>
  <si>
    <t>Etiqueta</t>
  </si>
  <si>
    <t>Empaque plástico</t>
  </si>
  <si>
    <t>Bolsa</t>
  </si>
  <si>
    <t>Máquina de coser (Singer M2505)</t>
  </si>
  <si>
    <t>Micro taller</t>
  </si>
  <si>
    <t>Remalladora / overlock</t>
  </si>
  <si>
    <t>Acabados</t>
  </si>
  <si>
    <t>Plancha de vapor</t>
  </si>
  <si>
    <t>Mesa de corte</t>
  </si>
  <si>
    <t>Maniquí</t>
  </si>
  <si>
    <t>Confeccionista / modista</t>
  </si>
  <si>
    <t>Costura, manejo de máquina industrial</t>
  </si>
  <si>
    <t>Asistente de costura</t>
  </si>
  <si>
    <t>Apoyo en corte y acabados</t>
  </si>
  <si>
    <t>Alquiler del taller</t>
  </si>
  <si>
    <t>Taller ~30 m²</t>
  </si>
  <si>
    <t>Electricidad (máquinas)</t>
  </si>
  <si>
    <t>~3 kWh/día × S/0.69</t>
  </si>
  <si>
    <t>Agua y otros servicios</t>
  </si>
  <si>
    <t>Mantenimiento de máquinas</t>
  </si>
  <si>
    <t>Aceite, agujas, ajustes</t>
  </si>
  <si>
    <t>Transporte / flete de compras</t>
  </si>
  <si>
    <t>Telas en Gamarra</t>
  </si>
  <si>
    <t>Publicidad / marca / carteles</t>
  </si>
  <si>
    <t>Perchas para exhibición</t>
  </si>
  <si>
    <t>Etiquetado / diseño de marca</t>
  </si>
  <si>
    <t>Curso de creación de guión (6 sesiones de 1.5 h)</t>
  </si>
  <si>
    <t>Unidad de costeo: Por curso (supuesto: 10 alumnos)   |   Periodo de costos operativos: Por curso</t>
  </si>
  <si>
    <t>Costo total de personal (por curso) (S/)</t>
  </si>
  <si>
    <t>Total costos indirectos (por curso) (S/)</t>
  </si>
  <si>
    <t>Impresiones de material</t>
  </si>
  <si>
    <t>60 hojas × 10 alumnos</t>
  </si>
  <si>
    <t>Marcadores y pizarra (consumo)</t>
  </si>
  <si>
    <t>curso</t>
  </si>
  <si>
    <t>Amortizado por curso</t>
  </si>
  <si>
    <t>Café / snacks (opcional)</t>
  </si>
  <si>
    <t>S/5 × alumno × sesión – completar si aplica</t>
  </si>
  <si>
    <t>Certificados / diplomas</t>
  </si>
  <si>
    <t>Proyector multimedia</t>
  </si>
  <si>
    <t>Laptop / equipo de cómputo</t>
  </si>
  <si>
    <t>Pizarra blanca</t>
  </si>
  <si>
    <t>Mesas y sillas (set)</t>
  </si>
  <si>
    <t>3) CANTIDAD Y CARACTERÍSTICAS DEL PERSONAL  (por curso)</t>
  </si>
  <si>
    <t>Instructor de guión</t>
  </si>
  <si>
    <t>Experiencia en cine/TV o literatura; didáctica</t>
  </si>
  <si>
    <t>4) DETALLE DE COSTOS INDIRECTOS  (por curso)</t>
  </si>
  <si>
    <t>Alquiler de aula</t>
  </si>
  <si>
    <t>9 h × S/20</t>
  </si>
  <si>
    <t>Sala en coworking / centro cultural</t>
  </si>
  <si>
    <t>Mantenimiento de proyector</t>
  </si>
  <si>
    <t>Por curso</t>
  </si>
  <si>
    <t>Enlace a activos (prorrateo por curso)</t>
  </si>
  <si>
    <t>Plataforma / gestión de inscripciones</t>
  </si>
  <si>
    <t>Promoción por curso</t>
  </si>
  <si>
    <t>Diseño de material promocional</t>
  </si>
  <si>
    <t>Elaboración de cerveza artesanal</t>
  </si>
  <si>
    <t>Unidad de costeo: Por lote de 30 L (60 botellas de 500 ml)   |   Periodo de costos operativos: Mensual</t>
  </si>
  <si>
    <t>Malta de cebada</t>
  </si>
  <si>
    <t>kg</t>
  </si>
  <si>
    <t>Maltas básicas ≈ S/9/kg</t>
  </si>
  <si>
    <t>Lúpulo</t>
  </si>
  <si>
    <t>g</t>
  </si>
  <si>
    <t>≈ S/30 total</t>
  </si>
  <si>
    <t>Levadura (Saflager S-23)</t>
  </si>
  <si>
    <t>sobre</t>
  </si>
  <si>
    <t>11 g</t>
  </si>
  <si>
    <t>Azúcar / dextrosa (priming)</t>
  </si>
  <si>
    <t>≈ S/0.50 total</t>
  </si>
  <si>
    <t>Botellas de vidrio 500 ml</t>
  </si>
  <si>
    <t>unidad</t>
  </si>
  <si>
    <t>≈ S/35 / 60 uds</t>
  </si>
  <si>
    <t>Tapas corona</t>
  </si>
  <si>
    <t>≈ S/2 / 60 uds</t>
  </si>
  <si>
    <t>Etiquetas impresas</t>
  </si>
  <si>
    <t>Agua y limpieza</t>
  </si>
  <si>
    <t>lote</t>
  </si>
  <si>
    <t>Olla de acero inox. 30 L (válvula/termómetro)</t>
  </si>
  <si>
    <t>Vida 5–10 años</t>
  </si>
  <si>
    <t>Quemador / cocina industrial</t>
  </si>
  <si>
    <t>Fermentadores 30–50 L</t>
  </si>
  <si>
    <t>Plástico alimentario</t>
  </si>
  <si>
    <t>Enfriador de mosto (serpentín)</t>
  </si>
  <si>
    <t>Bombas de trasiego y mangueras</t>
  </si>
  <si>
    <t>Equipos de medición (hidrómetro, densímetro)</t>
  </si>
  <si>
    <t>Equipos de embotellado (llenadora, tapadora)</t>
  </si>
  <si>
    <t>Cervecero artesanal</t>
  </si>
  <si>
    <t>Elaboración, enología o ingeniería</t>
  </si>
  <si>
    <t>Alquiler del local</t>
  </si>
  <si>
    <t>Bodega pequeña</t>
  </si>
  <si>
    <t>Electricidad (hervido)</t>
  </si>
  <si>
    <t>4 hornadas/mes</t>
  </si>
  <si>
    <t>≈ S/1.38 / lote</t>
  </si>
  <si>
    <t>Gas (quemador)</t>
  </si>
  <si>
    <t>≈ S/10 / hornada</t>
  </si>
  <si>
    <t>Agua (proceso)</t>
  </si>
  <si>
    <t>Empaque secundario (cajas / pack 6)</t>
  </si>
  <si>
    <t>Registro sanitario (DIGESA)</t>
  </si>
  <si>
    <t>Etiquetas / diseño de marca</t>
  </si>
  <si>
    <t>Transporte / delivery a clientes</t>
  </si>
  <si>
    <t>Fabricación de chocolate blanco con inclusiones</t>
  </si>
  <si>
    <t>Unidad de costeo: Por barra de 100 g   |   Periodo de costos operativos: Mensual</t>
  </si>
  <si>
    <t>Manteca de cacao</t>
  </si>
  <si>
    <t>S/85/kg</t>
  </si>
  <si>
    <t>Leche en polvo entera</t>
  </si>
  <si>
    <t>S/15/kg (Gloria/Bonlé)</t>
  </si>
  <si>
    <t>Azúcar granulada</t>
  </si>
  <si>
    <t>S/3.50/kg</t>
  </si>
  <si>
    <t>Lecitina y vainilla</t>
  </si>
  <si>
    <t>barra</t>
  </si>
  <si>
    <t>Insignificante</t>
  </si>
  <si>
    <t>Crisps (barquillo / arroz inflado)</t>
  </si>
  <si>
    <t>S/15/kg</t>
  </si>
  <si>
    <t>Empaque (aluminio + papel impreso)</t>
  </si>
  <si>
    <t>Temperadora de chocolate (5 kg)</t>
  </si>
  <si>
    <t>Semi-automática</t>
  </si>
  <si>
    <t>Moldes de silicona / aluminio (set)</t>
  </si>
  <si>
    <t>Mesón de trabajo e instalación de enfriamiento</t>
  </si>
  <si>
    <t>Termómetro digital</t>
  </si>
  <si>
    <t>Chocolatero/a</t>
  </si>
  <si>
    <t>Formación en chocolatería / pastelería</t>
  </si>
  <si>
    <t>Alquiler del local / cocina</t>
  </si>
  <si>
    <t>Cocina industrial</t>
  </si>
  <si>
    <t>Electricidad (fusión / temperado)</t>
  </si>
  <si>
    <t>≈ S/3.45 / batch</t>
  </si>
  <si>
    <t>Cajas de envío</t>
  </si>
  <si>
    <t>Publicidad / muestras</t>
  </si>
  <si>
    <t>Diseño gráfico de empaque (amortizado)</t>
  </si>
  <si>
    <t>S/300 / 12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</si>
</sst>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 &quot;#,##0.00"/>
    <numFmt numFmtId="165" formatCode="&quot;S/ &quot;#,##0"/>
    <numFmt numFmtId="166" formatCode="0.0%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666666"/>
      <name val="Arial"/>
      <family val="2"/>
    </font>
    <font>
      <i/>
      <sz val="8"/>
      <color rgb="FF666666"/>
      <name val="Arial"/>
      <family val="2"/>
    </font>
    <font>
      <sz val="10"/>
      <color rgb="FF008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2E6E8E"/>
        <bgColor rgb="FF008080"/>
      </patternFill>
    </fill>
    <fill>
      <patternFill patternType="solid">
        <fgColor rgb="FFFFF2CC"/>
        <bgColor rgb="FFEAEFF2"/>
      </patternFill>
    </fill>
    <fill>
      <patternFill patternType="solid">
        <fgColor rgb="FFD9E1E8"/>
        <bgColor rgb="FFEAEFF2"/>
      </patternFill>
    </fill>
    <fill>
      <patternFill patternType="solid">
        <fgColor rgb="FFEAEFF2"/>
        <bgColor rgb="FFD9E1E8"/>
      </patternFill>
    </fill>
  </fills>
  <borders count="4">
    <border>
      <left/>
      <right/>
      <top/>
      <bottom/>
      <diagonal/>
    </border>
    <border>
      <left style="thin">
        <color rgb="FFB0B8BF"/>
      </left>
      <right style="thin">
        <color rgb="FFB0B8BF"/>
      </right>
      <top style="thin">
        <color rgb="FFB0B8BF"/>
      </top>
      <bottom style="thin">
        <color rgb="FFB0B8BF"/>
      </bottom>
      <diagonal/>
    </border>
    <border>
      <left style="thin">
        <color rgb="FFB0B8BF"/>
      </left>
      <right/>
      <top style="thin">
        <color rgb="FFB0B8BF"/>
      </top>
      <bottom style="thin">
        <color rgb="FFB0B8BF"/>
      </bottom>
      <diagonal/>
    </border>
    <border>
      <left/>
      <right/>
      <top style="thin">
        <color rgb="FFB0B8BF"/>
      </top>
      <bottom style="thin">
        <color rgb="FFB0B8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3" fillId="0" borderId="0" xfId="0" applyFont="1" applyBorder="1" applyAlignment="1">
      <alignment horizontal="left" vertical="center"/>
    </xf>
    <xf numFmtId="0" fontId="2" fillId="6" borderId="2" xfId="0" applyFont="1" applyFill="1" applyBorder="1" applyAlignment="1">
      <alignment vertical="center"/>
    </xf>
    <xf numFmtId="0" fontId="12" fillId="0" borderId="2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0" fillId="0" borderId="0" xfId="0" applyBorder="1"/>
    <xf numFmtId="0" fontId="1" fillId="2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vertical="center"/>
    </xf>
    <xf numFmtId="164" fontId="5" fillId="6" borderId="1" xfId="0" applyNumberFormat="1" applyFont="1" applyFill="1" applyBorder="1" applyAlignment="1">
      <alignment horizontal="right" vertical="center"/>
    </xf>
    <xf numFmtId="3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 wrapText="1"/>
    </xf>
    <xf numFmtId="165" fontId="5" fillId="6" borderId="1" xfId="0" applyNumberFormat="1" applyFont="1" applyFill="1" applyBorder="1" applyAlignment="1">
      <alignment horizontal="right" vertical="center"/>
    </xf>
    <xf numFmtId="166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4" fontId="14" fillId="0" borderId="1" xfId="0" applyNumberFormat="1" applyFont="1" applyBorder="1" applyAlignment="1">
      <alignment horizontal="right" vertical="center"/>
    </xf>
    <xf numFmtId="164" fontId="11" fillId="4" borderId="1" xfId="0" applyNumberFormat="1" applyFont="1" applyFill="1" applyBorder="1" applyAlignment="1">
      <alignment horizontal="right" vertical="center"/>
    </xf>
    <xf numFmtId="0" fontId="1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8E"/>
      <rgbColor rgb="FFB0B8BF"/>
      <rgbColor rgb="FF808080"/>
      <rgbColor rgb="FF9999FF"/>
      <rgbColor rgb="FF993366"/>
      <rgbColor rgb="FFFFF2CC"/>
      <rgbColor rgb="FFEAEFF2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5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30" customWidth="1"/>
    <col min="3" max="3" width="70" customWidth="1"/>
  </cols>
  <sheetData>
    <row r="2" spans="2:3" ht="27.75" customHeight="1" x14ac:dyDescent="0.3">
      <c r="B2" s="14" t="s">
        <v>0</v>
      </c>
      <c r="C2" s="14"/>
    </row>
    <row r="3" spans="2:3" x14ac:dyDescent="0.3">
      <c r="B3" s="13"/>
      <c r="C3" s="13"/>
    </row>
    <row r="4" spans="2:3" ht="42" customHeight="1" x14ac:dyDescent="0.3">
      <c r="B4" s="12" t="s">
        <v>1</v>
      </c>
      <c r="C4" s="12"/>
    </row>
    <row r="6" spans="2:3" ht="15.6" x14ac:dyDescent="0.3">
      <c r="B6" s="15" t="s">
        <v>2</v>
      </c>
      <c r="C6" s="16"/>
    </row>
    <row r="7" spans="2:3" x14ac:dyDescent="0.3">
      <c r="B7" s="17" t="s">
        <v>3</v>
      </c>
      <c r="C7" s="18" t="s">
        <v>4</v>
      </c>
    </row>
    <row r="8" spans="2:3" x14ac:dyDescent="0.3">
      <c r="B8" s="17" t="s">
        <v>3</v>
      </c>
      <c r="C8" s="18" t="s">
        <v>5</v>
      </c>
    </row>
    <row r="9" spans="2:3" x14ac:dyDescent="0.3">
      <c r="B9" s="17" t="s">
        <v>3</v>
      </c>
      <c r="C9" s="18" t="s">
        <v>6</v>
      </c>
    </row>
    <row r="10" spans="2:3" x14ac:dyDescent="0.3">
      <c r="B10" s="17" t="s">
        <v>3</v>
      </c>
      <c r="C10" s="18" t="s">
        <v>7</v>
      </c>
    </row>
    <row r="11" spans="2:3" x14ac:dyDescent="0.3">
      <c r="B11" s="17" t="s">
        <v>3</v>
      </c>
      <c r="C11" s="18" t="s">
        <v>8</v>
      </c>
    </row>
    <row r="12" spans="2:3" x14ac:dyDescent="0.3">
      <c r="B12" s="17" t="s">
        <v>3</v>
      </c>
      <c r="C12" s="18" t="s">
        <v>9</v>
      </c>
    </row>
    <row r="13" spans="2:3" x14ac:dyDescent="0.3">
      <c r="B13" s="17" t="s">
        <v>3</v>
      </c>
      <c r="C13" s="18" t="s">
        <v>10</v>
      </c>
    </row>
    <row r="15" spans="2:3" ht="15.6" x14ac:dyDescent="0.3">
      <c r="B15" s="15" t="s">
        <v>11</v>
      </c>
      <c r="C15" s="16"/>
    </row>
    <row r="16" spans="2:3" x14ac:dyDescent="0.3">
      <c r="B16" s="19" t="s">
        <v>12</v>
      </c>
      <c r="C16" s="20" t="s">
        <v>13</v>
      </c>
    </row>
    <row r="17" spans="2:3" x14ac:dyDescent="0.3">
      <c r="B17" s="21" t="s">
        <v>14</v>
      </c>
      <c r="C17" s="20" t="s">
        <v>15</v>
      </c>
    </row>
    <row r="18" spans="2:3" x14ac:dyDescent="0.3">
      <c r="B18" s="22" t="s">
        <v>16</v>
      </c>
      <c r="C18" s="20" t="s">
        <v>17</v>
      </c>
    </row>
    <row r="19" spans="2:3" x14ac:dyDescent="0.3">
      <c r="B19" s="23" t="s">
        <v>18</v>
      </c>
      <c r="C19" s="20" t="s">
        <v>19</v>
      </c>
    </row>
    <row r="21" spans="2:3" ht="15.6" x14ac:dyDescent="0.3">
      <c r="B21" s="15" t="s">
        <v>20</v>
      </c>
      <c r="C21" s="16"/>
    </row>
    <row r="22" spans="2:3" ht="30" customHeight="1" x14ac:dyDescent="0.3">
      <c r="B22" s="17" t="s">
        <v>21</v>
      </c>
      <c r="C22" s="20" t="s">
        <v>22</v>
      </c>
    </row>
    <row r="23" spans="2:3" ht="30" customHeight="1" x14ac:dyDescent="0.3">
      <c r="B23" s="17" t="s">
        <v>21</v>
      </c>
      <c r="C23" s="20" t="s">
        <v>23</v>
      </c>
    </row>
    <row r="24" spans="2:3" ht="30" customHeight="1" x14ac:dyDescent="0.3">
      <c r="B24" s="17" t="s">
        <v>21</v>
      </c>
      <c r="C24" s="20" t="s">
        <v>24</v>
      </c>
    </row>
    <row r="25" spans="2:3" ht="30" customHeight="1" x14ac:dyDescent="0.3">
      <c r="B25" s="17" t="s">
        <v>21</v>
      </c>
      <c r="C25" s="20" t="s">
        <v>25</v>
      </c>
    </row>
  </sheetData>
  <mergeCells count="3">
    <mergeCell ref="B2:C2"/>
    <mergeCell ref="B3:C3"/>
    <mergeCell ref="B4:C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showGridLines="0" tabSelected="1" zoomScaleNormal="100" workbookViewId="0">
      <pane ySplit="3" topLeftCell="A28" activePane="bottomLeft" state="frozen"/>
      <selection pane="bottomLeft" activeCell="A12" sqref="A12:E12"/>
    </sheetView>
  </sheetViews>
  <sheetFormatPr baseColWidth="10" defaultColWidth="8.6640625" defaultRowHeight="14.4" x14ac:dyDescent="0.3"/>
  <cols>
    <col min="1" max="1" width="38" customWidth="1"/>
    <col min="2" max="3" width="16" customWidth="1"/>
    <col min="4" max="4" width="20" customWidth="1"/>
    <col min="5" max="5" width="16" customWidth="1"/>
    <col min="6" max="7" width="20" customWidth="1"/>
    <col min="8" max="8" width="30" customWidth="1"/>
  </cols>
  <sheetData>
    <row r="1" spans="1:8" ht="25.5" customHeight="1" x14ac:dyDescent="0.3">
      <c r="A1" s="11" t="s">
        <v>26</v>
      </c>
      <c r="B1" s="11"/>
      <c r="C1" s="11"/>
      <c r="D1" s="11"/>
      <c r="E1" s="11"/>
      <c r="F1" s="11"/>
      <c r="G1" s="11"/>
      <c r="H1" s="11"/>
    </row>
    <row r="2" spans="1:8" x14ac:dyDescent="0.3">
      <c r="A2" s="10" t="s">
        <v>27</v>
      </c>
      <c r="B2" s="10"/>
      <c r="C2" s="10"/>
      <c r="D2" s="10"/>
      <c r="E2" s="10"/>
      <c r="F2" s="10"/>
      <c r="G2" s="10"/>
      <c r="H2" s="10"/>
    </row>
    <row r="4" spans="1:8" x14ac:dyDescent="0.3">
      <c r="A4" s="9" t="s">
        <v>28</v>
      </c>
      <c r="B4" s="9"/>
      <c r="C4" s="9"/>
      <c r="D4" s="9"/>
      <c r="E4" s="9"/>
      <c r="F4" s="9"/>
      <c r="G4" s="9"/>
      <c r="H4" s="9"/>
    </row>
    <row r="5" spans="1:8" x14ac:dyDescent="0.3">
      <c r="A5" s="8" t="s">
        <v>29</v>
      </c>
      <c r="B5" s="8"/>
      <c r="C5" s="8"/>
      <c r="D5" s="8"/>
      <c r="E5" s="8"/>
      <c r="F5" s="7">
        <v>1</v>
      </c>
      <c r="G5" s="7"/>
      <c r="H5" s="7"/>
    </row>
    <row r="6" spans="1:8" x14ac:dyDescent="0.3">
      <c r="A6" s="8" t="s">
        <v>30</v>
      </c>
      <c r="B6" s="8"/>
      <c r="C6" s="8"/>
      <c r="D6" s="8"/>
      <c r="E6" s="8"/>
      <c r="F6" s="6">
        <f>E20</f>
        <v>0.36</v>
      </c>
      <c r="G6" s="6"/>
      <c r="H6" s="6"/>
    </row>
    <row r="7" spans="1:8" x14ac:dyDescent="0.3">
      <c r="A7" s="8" t="s">
        <v>31</v>
      </c>
      <c r="B7" s="8"/>
      <c r="C7" s="8"/>
      <c r="D7" s="8"/>
      <c r="E7" s="8"/>
      <c r="F7" s="5">
        <f>D27</f>
        <v>3798</v>
      </c>
      <c r="G7" s="5"/>
      <c r="H7" s="5"/>
    </row>
    <row r="8" spans="1:8" x14ac:dyDescent="0.3">
      <c r="A8" s="8" t="s">
        <v>32</v>
      </c>
      <c r="B8" s="8"/>
      <c r="C8" s="8"/>
      <c r="D8" s="8"/>
      <c r="E8" s="8"/>
      <c r="F8" s="6">
        <f>G27</f>
        <v>69.545833333333334</v>
      </c>
      <c r="G8" s="6"/>
      <c r="H8" s="6"/>
    </row>
    <row r="9" spans="1:8" x14ac:dyDescent="0.3">
      <c r="A9" s="8" t="s">
        <v>33</v>
      </c>
      <c r="B9" s="8"/>
      <c r="C9" s="8"/>
      <c r="D9" s="8"/>
      <c r="E9" s="8"/>
      <c r="F9" s="5">
        <f>G32</f>
        <v>1690</v>
      </c>
      <c r="G9" s="5"/>
      <c r="H9" s="5"/>
    </row>
    <row r="10" spans="1:8" x14ac:dyDescent="0.3">
      <c r="A10" s="8" t="s">
        <v>34</v>
      </c>
      <c r="B10" s="8"/>
      <c r="C10" s="8"/>
      <c r="D10" s="8"/>
      <c r="E10" s="8"/>
      <c r="F10" s="6">
        <f>C43</f>
        <v>1705.5458333333333</v>
      </c>
      <c r="G10" s="6"/>
      <c r="H10" s="6"/>
    </row>
    <row r="11" spans="1:8" x14ac:dyDescent="0.3">
      <c r="A11" s="8" t="s">
        <v>35</v>
      </c>
      <c r="B11" s="8"/>
      <c r="C11" s="8"/>
      <c r="D11" s="8"/>
      <c r="E11" s="8"/>
      <c r="F11" s="6">
        <f>B51</f>
        <v>16.666666666666668</v>
      </c>
      <c r="G11" s="6"/>
      <c r="H11" s="6"/>
    </row>
    <row r="12" spans="1:8" x14ac:dyDescent="0.3">
      <c r="A12" s="8" t="s">
        <v>36</v>
      </c>
      <c r="B12" s="8"/>
      <c r="C12" s="8"/>
      <c r="D12" s="8"/>
      <c r="E12" s="8"/>
      <c r="F12" s="6">
        <f>B57</f>
        <v>100</v>
      </c>
      <c r="G12" s="6"/>
      <c r="H12" s="6"/>
    </row>
    <row r="14" spans="1:8" x14ac:dyDescent="0.3">
      <c r="A14" s="9" t="s">
        <v>37</v>
      </c>
      <c r="B14" s="9"/>
      <c r="C14" s="9"/>
      <c r="D14" s="9"/>
      <c r="E14" s="9"/>
      <c r="F14" s="9"/>
      <c r="G14" s="9"/>
      <c r="H14" s="9"/>
    </row>
    <row r="15" spans="1:8" ht="22.35" customHeight="1" x14ac:dyDescent="0.3">
      <c r="A15" s="24" t="s">
        <v>38</v>
      </c>
      <c r="B15" s="24" t="s">
        <v>39</v>
      </c>
      <c r="C15" s="24" t="s">
        <v>40</v>
      </c>
      <c r="D15" s="24" t="s">
        <v>41</v>
      </c>
      <c r="E15" s="24" t="s">
        <v>42</v>
      </c>
      <c r="F15" s="4" t="s">
        <v>43</v>
      </c>
      <c r="G15" s="4"/>
      <c r="H15" s="4"/>
    </row>
    <row r="16" spans="1:8" ht="15" customHeight="1" x14ac:dyDescent="0.3">
      <c r="A16" s="18" t="s">
        <v>44</v>
      </c>
      <c r="B16" s="17" t="s">
        <v>45</v>
      </c>
      <c r="C16" s="25">
        <v>1</v>
      </c>
      <c r="D16" s="26">
        <v>0.15</v>
      </c>
      <c r="E16" s="27">
        <f>C16*D16</f>
        <v>0.15</v>
      </c>
      <c r="F16" s="3" t="s">
        <v>46</v>
      </c>
      <c r="G16" s="3"/>
      <c r="H16" s="3"/>
    </row>
    <row r="17" spans="1:8" ht="15" customHeight="1" x14ac:dyDescent="0.3">
      <c r="A17" s="18" t="s">
        <v>47</v>
      </c>
      <c r="B17" s="17" t="s">
        <v>48</v>
      </c>
      <c r="C17" s="25">
        <v>1</v>
      </c>
      <c r="D17" s="26">
        <v>0.1</v>
      </c>
      <c r="E17" s="27">
        <f>C17*D17</f>
        <v>0.1</v>
      </c>
      <c r="F17" s="3" t="s">
        <v>49</v>
      </c>
      <c r="G17" s="3"/>
      <c r="H17" s="3"/>
    </row>
    <row r="18" spans="1:8" ht="15" customHeight="1" x14ac:dyDescent="0.3">
      <c r="A18" s="18" t="s">
        <v>50</v>
      </c>
      <c r="B18" s="17" t="s">
        <v>48</v>
      </c>
      <c r="C18" s="25">
        <v>1</v>
      </c>
      <c r="D18" s="26">
        <v>0.01</v>
      </c>
      <c r="E18" s="27">
        <f>C18*D18</f>
        <v>0.01</v>
      </c>
      <c r="F18" s="3" t="s">
        <v>51</v>
      </c>
      <c r="G18" s="40"/>
      <c r="H18" s="40"/>
    </row>
    <row r="19" spans="1:8" ht="15" customHeight="1" x14ac:dyDescent="0.3">
      <c r="A19" s="18" t="s">
        <v>52</v>
      </c>
      <c r="B19" s="17" t="s">
        <v>48</v>
      </c>
      <c r="C19" s="25">
        <v>1</v>
      </c>
      <c r="D19" s="26">
        <v>0.1</v>
      </c>
      <c r="E19" s="27">
        <f>C19*D19</f>
        <v>0.1</v>
      </c>
      <c r="F19" s="3" t="s">
        <v>53</v>
      </c>
      <c r="G19" s="3"/>
      <c r="H19" s="3"/>
    </row>
    <row r="20" spans="1:8" x14ac:dyDescent="0.3">
      <c r="A20" s="28" t="s">
        <v>54</v>
      </c>
      <c r="B20" s="29"/>
      <c r="C20" s="29"/>
      <c r="D20" s="29"/>
      <c r="E20" s="30">
        <f>SUM(E16:E19)</f>
        <v>0.36</v>
      </c>
      <c r="F20" s="2"/>
      <c r="G20" s="2"/>
      <c r="H20" s="2"/>
    </row>
    <row r="22" spans="1:8" x14ac:dyDescent="0.3">
      <c r="A22" s="9" t="s">
        <v>55</v>
      </c>
      <c r="B22" s="9"/>
      <c r="C22" s="9"/>
      <c r="D22" s="9"/>
      <c r="E22" s="9"/>
      <c r="F22" s="9"/>
      <c r="G22" s="9"/>
      <c r="H22" s="9"/>
    </row>
    <row r="23" spans="1:8" x14ac:dyDescent="0.3">
      <c r="A23" s="24" t="s">
        <v>56</v>
      </c>
      <c r="B23" s="24" t="s">
        <v>40</v>
      </c>
      <c r="C23" s="24" t="s">
        <v>41</v>
      </c>
      <c r="D23" s="24" t="s">
        <v>57</v>
      </c>
      <c r="E23" s="24" t="s">
        <v>58</v>
      </c>
      <c r="F23" s="24" t="s">
        <v>59</v>
      </c>
      <c r="G23" s="24" t="s">
        <v>60</v>
      </c>
      <c r="H23" s="24" t="s">
        <v>61</v>
      </c>
    </row>
    <row r="24" spans="1:8" x14ac:dyDescent="0.3">
      <c r="A24" s="18" t="s">
        <v>62</v>
      </c>
      <c r="B24" s="31">
        <v>1</v>
      </c>
      <c r="C24" s="32">
        <v>1399</v>
      </c>
      <c r="D24" s="33">
        <f>B24*C24</f>
        <v>1399</v>
      </c>
      <c r="E24" s="31">
        <v>5</v>
      </c>
      <c r="F24" s="33">
        <f>IFERROR(D24/E24,0)</f>
        <v>279.8</v>
      </c>
      <c r="G24" s="27">
        <f>F24/12</f>
        <v>23.316666666666666</v>
      </c>
      <c r="H24" s="34" t="s">
        <v>63</v>
      </c>
    </row>
    <row r="25" spans="1:8" x14ac:dyDescent="0.3">
      <c r="A25" s="18" t="s">
        <v>64</v>
      </c>
      <c r="B25" s="31">
        <v>1</v>
      </c>
      <c r="C25" s="32">
        <v>2099</v>
      </c>
      <c r="D25" s="33">
        <f>B25*C25</f>
        <v>2099</v>
      </c>
      <c r="E25" s="31">
        <v>4</v>
      </c>
      <c r="F25" s="33">
        <f>IFERROR(D25/E25,0)</f>
        <v>524.75</v>
      </c>
      <c r="G25" s="27">
        <f>F25/12</f>
        <v>43.729166666666664</v>
      </c>
      <c r="H25" s="34" t="s">
        <v>65</v>
      </c>
    </row>
    <row r="26" spans="1:8" x14ac:dyDescent="0.3">
      <c r="A26" s="18" t="s">
        <v>66</v>
      </c>
      <c r="B26" s="31">
        <v>1</v>
      </c>
      <c r="C26" s="32">
        <v>300</v>
      </c>
      <c r="D26" s="33">
        <f>B26*C26</f>
        <v>300</v>
      </c>
      <c r="E26" s="31">
        <v>10</v>
      </c>
      <c r="F26" s="33">
        <f>IFERROR(D26/E26,0)</f>
        <v>30</v>
      </c>
      <c r="G26" s="27">
        <f>F26/12</f>
        <v>2.5</v>
      </c>
      <c r="H26" s="34" t="s">
        <v>67</v>
      </c>
    </row>
    <row r="27" spans="1:8" x14ac:dyDescent="0.3">
      <c r="A27" s="28" t="s">
        <v>68</v>
      </c>
      <c r="B27" s="29"/>
      <c r="C27" s="29"/>
      <c r="D27" s="35">
        <f>SUM(D24:D26)</f>
        <v>3798</v>
      </c>
      <c r="E27" s="29"/>
      <c r="F27" s="35">
        <f>SUM(F24:F26)</f>
        <v>834.55</v>
      </c>
      <c r="G27" s="30">
        <f>SUM(G24:G26)</f>
        <v>69.545833333333334</v>
      </c>
      <c r="H27" s="29"/>
    </row>
    <row r="29" spans="1:8" x14ac:dyDescent="0.3">
      <c r="A29" s="9" t="s">
        <v>69</v>
      </c>
      <c r="B29" s="9"/>
      <c r="C29" s="9"/>
      <c r="D29" s="9"/>
      <c r="E29" s="9"/>
      <c r="F29" s="9"/>
      <c r="G29" s="9"/>
      <c r="H29" s="9"/>
    </row>
    <row r="30" spans="1:8" x14ac:dyDescent="0.3">
      <c r="A30" s="24" t="s">
        <v>70</v>
      </c>
      <c r="B30" s="24" t="s">
        <v>40</v>
      </c>
      <c r="C30" s="24" t="s">
        <v>71</v>
      </c>
      <c r="D30" s="24" t="s">
        <v>72</v>
      </c>
      <c r="E30" s="24" t="s">
        <v>73</v>
      </c>
      <c r="F30" s="24" t="s">
        <v>74</v>
      </c>
      <c r="G30" s="24" t="s">
        <v>75</v>
      </c>
      <c r="H30" s="24" t="s">
        <v>76</v>
      </c>
    </row>
    <row r="31" spans="1:8" ht="34.200000000000003" x14ac:dyDescent="0.3">
      <c r="A31" s="18" t="s">
        <v>77</v>
      </c>
      <c r="B31" s="31">
        <v>1</v>
      </c>
      <c r="C31" s="34" t="s">
        <v>78</v>
      </c>
      <c r="D31" s="32">
        <v>1300</v>
      </c>
      <c r="E31" s="36">
        <v>0.3</v>
      </c>
      <c r="F31" s="33">
        <f>D31*E31</f>
        <v>390</v>
      </c>
      <c r="G31" s="33">
        <f>(D31+F31)*B31</f>
        <v>1690</v>
      </c>
      <c r="H31" s="33">
        <f>G31*12</f>
        <v>20280</v>
      </c>
    </row>
    <row r="32" spans="1:8" x14ac:dyDescent="0.3">
      <c r="A32" s="28" t="s">
        <v>79</v>
      </c>
      <c r="B32" s="29"/>
      <c r="C32" s="29"/>
      <c r="D32" s="29"/>
      <c r="E32" s="29"/>
      <c r="F32" s="29"/>
      <c r="G32" s="35">
        <f>SUM(G31:G31)</f>
        <v>1690</v>
      </c>
      <c r="H32" s="35">
        <f>SUM(H31:H31)</f>
        <v>20280</v>
      </c>
    </row>
    <row r="33" spans="1:8" x14ac:dyDescent="0.3">
      <c r="A33" s="1" t="s">
        <v>80</v>
      </c>
      <c r="B33" s="1"/>
      <c r="C33" s="1"/>
      <c r="D33" s="1"/>
      <c r="E33" s="1"/>
      <c r="F33" s="1"/>
      <c r="G33" s="1"/>
      <c r="H33" s="1"/>
    </row>
    <row r="35" spans="1:8" x14ac:dyDescent="0.3">
      <c r="A35" s="9" t="s">
        <v>81</v>
      </c>
      <c r="B35" s="9"/>
      <c r="C35" s="9"/>
      <c r="D35" s="9"/>
      <c r="E35" s="9"/>
      <c r="F35" s="9"/>
      <c r="G35" s="9"/>
      <c r="H35" s="9"/>
    </row>
    <row r="36" spans="1:8" ht="15" customHeight="1" x14ac:dyDescent="0.3">
      <c r="A36" s="24" t="s">
        <v>82</v>
      </c>
      <c r="B36" s="24" t="s">
        <v>83</v>
      </c>
      <c r="C36" s="24" t="s">
        <v>84</v>
      </c>
      <c r="D36" s="4" t="s">
        <v>61</v>
      </c>
      <c r="E36" s="4"/>
      <c r="F36" s="4"/>
      <c r="G36" s="4"/>
      <c r="H36" s="4"/>
    </row>
    <row r="37" spans="1:8" ht="15" customHeight="1" x14ac:dyDescent="0.3">
      <c r="A37" s="18" t="s">
        <v>85</v>
      </c>
      <c r="B37" s="37" t="s">
        <v>86</v>
      </c>
      <c r="C37" s="26">
        <v>1500</v>
      </c>
      <c r="D37" s="3" t="s">
        <v>87</v>
      </c>
      <c r="E37" s="3"/>
      <c r="F37" s="3"/>
      <c r="G37" s="3"/>
      <c r="H37" s="3"/>
    </row>
    <row r="38" spans="1:8" ht="15" customHeight="1" x14ac:dyDescent="0.3">
      <c r="A38" s="18" t="s">
        <v>88</v>
      </c>
      <c r="B38" s="37" t="s">
        <v>89</v>
      </c>
      <c r="C38" s="26">
        <v>20</v>
      </c>
      <c r="D38" s="3" t="s">
        <v>90</v>
      </c>
      <c r="E38" s="3"/>
      <c r="F38" s="3"/>
      <c r="G38" s="3"/>
      <c r="H38" s="3"/>
    </row>
    <row r="39" spans="1:8" ht="15" customHeight="1" x14ac:dyDescent="0.3">
      <c r="A39" s="18" t="s">
        <v>91</v>
      </c>
      <c r="B39" s="37" t="s">
        <v>89</v>
      </c>
      <c r="C39" s="26">
        <v>50</v>
      </c>
      <c r="D39" s="3" t="s">
        <v>92</v>
      </c>
      <c r="E39" s="3"/>
      <c r="F39" s="3"/>
      <c r="G39" s="3"/>
      <c r="H39" s="3"/>
    </row>
    <row r="40" spans="1:8" ht="15" customHeight="1" x14ac:dyDescent="0.3">
      <c r="A40" s="18" t="s">
        <v>93</v>
      </c>
      <c r="B40" s="37" t="s">
        <v>94</v>
      </c>
      <c r="C40" s="26">
        <v>16</v>
      </c>
      <c r="D40" s="3" t="s">
        <v>95</v>
      </c>
      <c r="E40" s="3"/>
      <c r="F40" s="3"/>
      <c r="G40" s="3"/>
      <c r="H40" s="3"/>
    </row>
    <row r="41" spans="1:8" ht="15" customHeight="1" x14ac:dyDescent="0.3">
      <c r="A41" s="18" t="s">
        <v>96</v>
      </c>
      <c r="B41" s="37" t="s">
        <v>89</v>
      </c>
      <c r="C41" s="26">
        <v>50</v>
      </c>
      <c r="D41" s="3" t="s">
        <v>97</v>
      </c>
      <c r="E41" s="3"/>
      <c r="F41" s="3"/>
      <c r="G41" s="3"/>
      <c r="H41" s="3"/>
    </row>
    <row r="42" spans="1:8" ht="15" customHeight="1" x14ac:dyDescent="0.3">
      <c r="A42" s="18" t="s">
        <v>98</v>
      </c>
      <c r="B42" s="37"/>
      <c r="C42" s="38">
        <f>G27</f>
        <v>69.545833333333334</v>
      </c>
      <c r="D42" s="3" t="s">
        <v>99</v>
      </c>
      <c r="E42" s="3"/>
      <c r="F42" s="3"/>
      <c r="G42" s="3"/>
      <c r="H42" s="3"/>
    </row>
    <row r="43" spans="1:8" x14ac:dyDescent="0.3">
      <c r="A43" s="28" t="s">
        <v>100</v>
      </c>
      <c r="B43" s="29"/>
      <c r="C43" s="30">
        <f>SUM(C37:C42)</f>
        <v>1705.5458333333333</v>
      </c>
      <c r="D43" s="2"/>
      <c r="E43" s="2"/>
      <c r="F43" s="2"/>
      <c r="G43" s="2"/>
      <c r="H43" s="2"/>
    </row>
    <row r="45" spans="1:8" x14ac:dyDescent="0.3">
      <c r="A45" s="9" t="s">
        <v>101</v>
      </c>
      <c r="B45" s="9"/>
      <c r="C45" s="9"/>
      <c r="D45" s="9"/>
      <c r="E45" s="9"/>
      <c r="F45" s="9"/>
      <c r="G45" s="9"/>
      <c r="H45" s="9"/>
    </row>
    <row r="46" spans="1:8" ht="15" customHeight="1" x14ac:dyDescent="0.3">
      <c r="A46" s="24" t="s">
        <v>82</v>
      </c>
      <c r="B46" s="24" t="s">
        <v>84</v>
      </c>
      <c r="C46" s="4" t="s">
        <v>61</v>
      </c>
      <c r="D46" s="4"/>
      <c r="E46" s="4"/>
      <c r="F46" s="4"/>
      <c r="G46" s="4"/>
      <c r="H46" s="4"/>
    </row>
    <row r="47" spans="1:8" ht="15" customHeight="1" x14ac:dyDescent="0.3">
      <c r="A47" s="18" t="s">
        <v>102</v>
      </c>
      <c r="B47" s="39">
        <v>0</v>
      </c>
      <c r="C47" s="3" t="s">
        <v>103</v>
      </c>
      <c r="D47" s="3"/>
      <c r="E47" s="3"/>
      <c r="F47" s="3"/>
      <c r="G47" s="3"/>
      <c r="H47" s="3"/>
    </row>
    <row r="48" spans="1:8" ht="15" customHeight="1" x14ac:dyDescent="0.3">
      <c r="A48" s="18" t="s">
        <v>104</v>
      </c>
      <c r="B48" s="26">
        <f>200/12</f>
        <v>16.666666666666668</v>
      </c>
      <c r="C48" s="3" t="s">
        <v>94</v>
      </c>
      <c r="D48" s="3"/>
      <c r="E48" s="3"/>
      <c r="F48" s="3"/>
      <c r="G48" s="3"/>
      <c r="H48" s="3"/>
    </row>
    <row r="49" spans="1:8" ht="15" customHeight="1" x14ac:dyDescent="0.3">
      <c r="A49" s="18" t="s">
        <v>105</v>
      </c>
      <c r="B49" s="39">
        <v>0</v>
      </c>
      <c r="C49" s="3" t="s">
        <v>103</v>
      </c>
      <c r="D49" s="3"/>
      <c r="E49" s="3"/>
      <c r="F49" s="3"/>
      <c r="G49" s="3"/>
      <c r="H49" s="3"/>
    </row>
    <row r="50" spans="1:8" ht="15" customHeight="1" x14ac:dyDescent="0.3">
      <c r="A50" s="18" t="s">
        <v>106</v>
      </c>
      <c r="B50" s="39">
        <v>0</v>
      </c>
      <c r="C50" s="3" t="s">
        <v>103</v>
      </c>
      <c r="D50" s="3"/>
      <c r="E50" s="3"/>
      <c r="F50" s="3"/>
      <c r="G50" s="3"/>
      <c r="H50" s="3"/>
    </row>
    <row r="51" spans="1:8" x14ac:dyDescent="0.3">
      <c r="A51" s="28" t="s">
        <v>107</v>
      </c>
      <c r="B51" s="30">
        <f>SUM(B47:B50)</f>
        <v>16.666666666666668</v>
      </c>
      <c r="C51" s="2"/>
      <c r="D51" s="2"/>
      <c r="E51" s="2"/>
      <c r="F51" s="2"/>
      <c r="G51" s="2"/>
      <c r="H51" s="2"/>
    </row>
    <row r="53" spans="1:8" x14ac:dyDescent="0.3">
      <c r="A53" s="9" t="s">
        <v>108</v>
      </c>
      <c r="B53" s="9"/>
      <c r="C53" s="9"/>
      <c r="D53" s="9"/>
      <c r="E53" s="9"/>
      <c r="F53" s="9"/>
      <c r="G53" s="9"/>
      <c r="H53" s="9"/>
    </row>
    <row r="54" spans="1:8" ht="15" customHeight="1" x14ac:dyDescent="0.3">
      <c r="A54" s="24" t="s">
        <v>82</v>
      </c>
      <c r="B54" s="24" t="s">
        <v>84</v>
      </c>
      <c r="C54" s="4" t="s">
        <v>61</v>
      </c>
      <c r="D54" s="4"/>
      <c r="E54" s="4"/>
      <c r="F54" s="4"/>
      <c r="G54" s="4"/>
      <c r="H54" s="4"/>
    </row>
    <row r="55" spans="1:8" ht="15" customHeight="1" x14ac:dyDescent="0.3">
      <c r="A55" s="18" t="s">
        <v>109</v>
      </c>
      <c r="B55" s="26">
        <v>100</v>
      </c>
      <c r="C55" s="3" t="s">
        <v>110</v>
      </c>
      <c r="D55" s="3"/>
      <c r="E55" s="3"/>
      <c r="F55" s="3"/>
      <c r="G55" s="3"/>
      <c r="H55" s="3"/>
    </row>
    <row r="56" spans="1:8" ht="15" customHeight="1" x14ac:dyDescent="0.3">
      <c r="A56" s="18" t="s">
        <v>111</v>
      </c>
      <c r="B56" s="39">
        <v>0</v>
      </c>
      <c r="C56" s="3" t="s">
        <v>103</v>
      </c>
      <c r="D56" s="3"/>
      <c r="E56" s="3"/>
      <c r="F56" s="3"/>
      <c r="G56" s="3"/>
      <c r="H56" s="3"/>
    </row>
    <row r="57" spans="1:8" x14ac:dyDescent="0.3">
      <c r="A57" s="28" t="s">
        <v>112</v>
      </c>
      <c r="B57" s="30">
        <f>SUM(B55:B56)</f>
        <v>100</v>
      </c>
      <c r="C57" s="2"/>
      <c r="D57" s="2"/>
      <c r="E57" s="2"/>
      <c r="F57" s="2"/>
      <c r="G57" s="2"/>
      <c r="H57" s="2"/>
    </row>
  </sheetData>
  <mergeCells count="50">
    <mergeCell ref="C55:H55"/>
    <mergeCell ref="C56:H56"/>
    <mergeCell ref="C57:H57"/>
    <mergeCell ref="C49:H49"/>
    <mergeCell ref="C50:H50"/>
    <mergeCell ref="C51:H51"/>
    <mergeCell ref="A53:H53"/>
    <mergeCell ref="C54:H54"/>
    <mergeCell ref="D43:H43"/>
    <mergeCell ref="A45:H45"/>
    <mergeCell ref="C46:H46"/>
    <mergeCell ref="C47:H47"/>
    <mergeCell ref="C48:H48"/>
    <mergeCell ref="D38:H38"/>
    <mergeCell ref="D39:H39"/>
    <mergeCell ref="D40:H40"/>
    <mergeCell ref="D41:H41"/>
    <mergeCell ref="D42:H42"/>
    <mergeCell ref="A29:H29"/>
    <mergeCell ref="A33:H33"/>
    <mergeCell ref="A35:H35"/>
    <mergeCell ref="D36:H36"/>
    <mergeCell ref="D37:H37"/>
    <mergeCell ref="F17:H17"/>
    <mergeCell ref="F18:H18"/>
    <mergeCell ref="F19:H19"/>
    <mergeCell ref="F20:H20"/>
    <mergeCell ref="A22:H22"/>
    <mergeCell ref="A12:E12"/>
    <mergeCell ref="F12:H12"/>
    <mergeCell ref="A14:H14"/>
    <mergeCell ref="F15:H15"/>
    <mergeCell ref="F16:H16"/>
    <mergeCell ref="A9:E9"/>
    <mergeCell ref="F9:H9"/>
    <mergeCell ref="A10:E10"/>
    <mergeCell ref="F10:H10"/>
    <mergeCell ref="A11:E11"/>
    <mergeCell ref="F11:H11"/>
    <mergeCell ref="A6:E6"/>
    <mergeCell ref="F6:H6"/>
    <mergeCell ref="A7:E7"/>
    <mergeCell ref="F7:H7"/>
    <mergeCell ref="A8:E8"/>
    <mergeCell ref="F8:H8"/>
    <mergeCell ref="A1:H1"/>
    <mergeCell ref="A2:H2"/>
    <mergeCell ref="A4:H4"/>
    <mergeCell ref="A5:E5"/>
    <mergeCell ref="F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showGridLines="0" zoomScaleNormal="100" workbookViewId="0">
      <pane ySplit="3" topLeftCell="A4" activePane="bottomLeft" state="frozen"/>
      <selection pane="bottomLeft" sqref="A1:H1"/>
    </sheetView>
  </sheetViews>
  <sheetFormatPr baseColWidth="10" defaultColWidth="8.6640625" defaultRowHeight="14.4" x14ac:dyDescent="0.3"/>
  <cols>
    <col min="1" max="1" width="38" customWidth="1"/>
    <col min="2" max="3" width="16" customWidth="1"/>
    <col min="4" max="4" width="20" customWidth="1"/>
    <col min="5" max="5" width="16" customWidth="1"/>
    <col min="6" max="7" width="20" customWidth="1"/>
    <col min="8" max="8" width="30" customWidth="1"/>
  </cols>
  <sheetData>
    <row r="1" spans="1:8" ht="25.5" customHeight="1" x14ac:dyDescent="0.3">
      <c r="A1" s="11" t="s">
        <v>113</v>
      </c>
      <c r="B1" s="11"/>
      <c r="C1" s="11"/>
      <c r="D1" s="11"/>
      <c r="E1" s="11"/>
      <c r="F1" s="11"/>
      <c r="G1" s="11"/>
      <c r="H1" s="11"/>
    </row>
    <row r="2" spans="1:8" x14ac:dyDescent="0.3">
      <c r="A2" s="10" t="s">
        <v>114</v>
      </c>
      <c r="B2" s="10"/>
      <c r="C2" s="10"/>
      <c r="D2" s="10"/>
      <c r="E2" s="10"/>
      <c r="F2" s="10"/>
      <c r="G2" s="10"/>
      <c r="H2" s="10"/>
    </row>
    <row r="4" spans="1:8" x14ac:dyDescent="0.3">
      <c r="A4" s="9" t="s">
        <v>28</v>
      </c>
      <c r="B4" s="9"/>
      <c r="C4" s="9"/>
      <c r="D4" s="9"/>
      <c r="E4" s="9"/>
      <c r="F4" s="9"/>
      <c r="G4" s="9"/>
      <c r="H4" s="9"/>
    </row>
    <row r="5" spans="1:8" x14ac:dyDescent="0.3">
      <c r="A5" s="8" t="s">
        <v>29</v>
      </c>
      <c r="B5" s="8"/>
      <c r="C5" s="8"/>
      <c r="D5" s="8"/>
      <c r="E5" s="8"/>
      <c r="F5" s="7">
        <v>70</v>
      </c>
      <c r="G5" s="7"/>
      <c r="H5" s="7"/>
    </row>
    <row r="6" spans="1:8" x14ac:dyDescent="0.3">
      <c r="A6" s="8" t="s">
        <v>30</v>
      </c>
      <c r="B6" s="8"/>
      <c r="C6" s="8"/>
      <c r="D6" s="8"/>
      <c r="E6" s="8"/>
      <c r="F6" s="6">
        <f>E22</f>
        <v>27.700000000000003</v>
      </c>
      <c r="G6" s="6"/>
      <c r="H6" s="6"/>
    </row>
    <row r="7" spans="1:8" x14ac:dyDescent="0.3">
      <c r="A7" s="8" t="s">
        <v>31</v>
      </c>
      <c r="B7" s="8"/>
      <c r="C7" s="8"/>
      <c r="D7" s="8"/>
      <c r="E7" s="8"/>
      <c r="F7" s="5">
        <f>D31</f>
        <v>2289</v>
      </c>
      <c r="G7" s="5"/>
      <c r="H7" s="5"/>
    </row>
    <row r="8" spans="1:8" x14ac:dyDescent="0.3">
      <c r="A8" s="8" t="s">
        <v>32</v>
      </c>
      <c r="B8" s="8"/>
      <c r="C8" s="8"/>
      <c r="D8" s="8"/>
      <c r="E8" s="8"/>
      <c r="F8" s="6">
        <f>G31</f>
        <v>33.983333333333341</v>
      </c>
      <c r="G8" s="6"/>
      <c r="H8" s="6"/>
    </row>
    <row r="9" spans="1:8" x14ac:dyDescent="0.3">
      <c r="A9" s="8" t="s">
        <v>33</v>
      </c>
      <c r="B9" s="8"/>
      <c r="C9" s="8"/>
      <c r="D9" s="8"/>
      <c r="E9" s="8"/>
      <c r="F9" s="5">
        <f>G37</f>
        <v>3380</v>
      </c>
      <c r="G9" s="5"/>
      <c r="H9" s="5"/>
    </row>
    <row r="10" spans="1:8" x14ac:dyDescent="0.3">
      <c r="A10" s="8" t="s">
        <v>34</v>
      </c>
      <c r="B10" s="8"/>
      <c r="C10" s="8"/>
      <c r="D10" s="8"/>
      <c r="E10" s="8"/>
      <c r="F10" s="6">
        <f>C48</f>
        <v>1158.9833333333333</v>
      </c>
      <c r="G10" s="6"/>
      <c r="H10" s="6"/>
    </row>
    <row r="11" spans="1:8" x14ac:dyDescent="0.3">
      <c r="A11" s="8" t="s">
        <v>35</v>
      </c>
      <c r="B11" s="8"/>
      <c r="C11" s="8"/>
      <c r="D11" s="8"/>
      <c r="E11" s="8"/>
      <c r="F11" s="6">
        <f>B55</f>
        <v>0</v>
      </c>
      <c r="G11" s="6"/>
      <c r="H11" s="6"/>
    </row>
    <row r="12" spans="1:8" x14ac:dyDescent="0.3">
      <c r="A12" s="8" t="s">
        <v>36</v>
      </c>
      <c r="B12" s="8"/>
      <c r="C12" s="8"/>
      <c r="D12" s="8"/>
      <c r="E12" s="8"/>
      <c r="F12" s="6">
        <f>B62</f>
        <v>100</v>
      </c>
      <c r="G12" s="6"/>
      <c r="H12" s="6"/>
    </row>
    <row r="14" spans="1:8" x14ac:dyDescent="0.3">
      <c r="A14" s="9" t="s">
        <v>37</v>
      </c>
      <c r="B14" s="9"/>
      <c r="C14" s="9"/>
      <c r="D14" s="9"/>
      <c r="E14" s="9"/>
      <c r="F14" s="9"/>
      <c r="G14" s="9"/>
      <c r="H14" s="9"/>
    </row>
    <row r="15" spans="1:8" ht="22.35" customHeight="1" x14ac:dyDescent="0.3">
      <c r="A15" s="24" t="s">
        <v>38</v>
      </c>
      <c r="B15" s="24" t="s">
        <v>39</v>
      </c>
      <c r="C15" s="24" t="s">
        <v>40</v>
      </c>
      <c r="D15" s="24" t="s">
        <v>41</v>
      </c>
      <c r="E15" s="24" t="s">
        <v>42</v>
      </c>
      <c r="F15" s="4" t="s">
        <v>43</v>
      </c>
      <c r="G15" s="4"/>
      <c r="H15" s="4"/>
    </row>
    <row r="16" spans="1:8" ht="15" customHeight="1" x14ac:dyDescent="0.3">
      <c r="A16" s="18" t="s">
        <v>115</v>
      </c>
      <c r="B16" s="17" t="s">
        <v>116</v>
      </c>
      <c r="C16" s="25">
        <v>2.5</v>
      </c>
      <c r="D16" s="26">
        <v>10</v>
      </c>
      <c r="E16" s="27">
        <f t="shared" ref="E16:E21" si="0">C16*D16</f>
        <v>25</v>
      </c>
      <c r="F16" s="3" t="s">
        <v>117</v>
      </c>
      <c r="G16" s="3"/>
      <c r="H16" s="3"/>
    </row>
    <row r="17" spans="1:8" ht="15" customHeight="1" x14ac:dyDescent="0.3">
      <c r="A17" s="18" t="s">
        <v>118</v>
      </c>
      <c r="B17" s="17" t="s">
        <v>116</v>
      </c>
      <c r="C17" s="25">
        <v>1</v>
      </c>
      <c r="D17" s="26">
        <v>1.5</v>
      </c>
      <c r="E17" s="27">
        <f t="shared" si="0"/>
        <v>1.5</v>
      </c>
      <c r="F17" s="3" t="s">
        <v>67</v>
      </c>
      <c r="G17" s="3"/>
      <c r="H17" s="3"/>
    </row>
    <row r="18" spans="1:8" ht="15" customHeight="1" x14ac:dyDescent="0.3">
      <c r="A18" s="18" t="s">
        <v>119</v>
      </c>
      <c r="B18" s="17" t="s">
        <v>120</v>
      </c>
      <c r="C18" s="25">
        <v>1</v>
      </c>
      <c r="D18" s="26">
        <v>0.1</v>
      </c>
      <c r="E18" s="27">
        <f t="shared" si="0"/>
        <v>0.1</v>
      </c>
      <c r="F18" s="3" t="s">
        <v>121</v>
      </c>
      <c r="G18" s="3"/>
      <c r="H18" s="3"/>
    </row>
    <row r="19" spans="1:8" ht="15" customHeight="1" x14ac:dyDescent="0.3">
      <c r="A19" s="18" t="s">
        <v>122</v>
      </c>
      <c r="B19" s="17" t="s">
        <v>120</v>
      </c>
      <c r="C19" s="25">
        <v>0</v>
      </c>
      <c r="D19" s="26">
        <v>5</v>
      </c>
      <c r="E19" s="27">
        <f t="shared" si="0"/>
        <v>0</v>
      </c>
      <c r="F19" s="3" t="s">
        <v>123</v>
      </c>
      <c r="G19" s="3"/>
      <c r="H19" s="3"/>
    </row>
    <row r="20" spans="1:8" ht="15" customHeight="1" x14ac:dyDescent="0.3">
      <c r="A20" s="18" t="s">
        <v>124</v>
      </c>
      <c r="B20" s="17" t="s">
        <v>120</v>
      </c>
      <c r="C20" s="25">
        <v>1</v>
      </c>
      <c r="D20" s="26">
        <v>1</v>
      </c>
      <c r="E20" s="27">
        <f t="shared" si="0"/>
        <v>1</v>
      </c>
      <c r="F20" s="3" t="s">
        <v>67</v>
      </c>
      <c r="G20" s="3"/>
      <c r="H20" s="3"/>
    </row>
    <row r="21" spans="1:8" ht="15" customHeight="1" x14ac:dyDescent="0.3">
      <c r="A21" s="18" t="s">
        <v>125</v>
      </c>
      <c r="B21" s="17" t="s">
        <v>120</v>
      </c>
      <c r="C21" s="25">
        <v>1</v>
      </c>
      <c r="D21" s="26">
        <v>0.1</v>
      </c>
      <c r="E21" s="27">
        <f t="shared" si="0"/>
        <v>0.1</v>
      </c>
      <c r="F21" s="3" t="s">
        <v>126</v>
      </c>
      <c r="G21" s="3"/>
      <c r="H21" s="3"/>
    </row>
    <row r="22" spans="1:8" x14ac:dyDescent="0.3">
      <c r="A22" s="28" t="s">
        <v>54</v>
      </c>
      <c r="B22" s="29"/>
      <c r="C22" s="29"/>
      <c r="D22" s="29"/>
      <c r="E22" s="30">
        <f>SUM(E16:E21)</f>
        <v>27.700000000000003</v>
      </c>
      <c r="F22" s="2"/>
      <c r="G22" s="2"/>
      <c r="H22" s="2"/>
    </row>
    <row r="24" spans="1:8" x14ac:dyDescent="0.3">
      <c r="A24" s="9" t="s">
        <v>55</v>
      </c>
      <c r="B24" s="9"/>
      <c r="C24" s="9"/>
      <c r="D24" s="9"/>
      <c r="E24" s="9"/>
      <c r="F24" s="9"/>
      <c r="G24" s="9"/>
      <c r="H24" s="9"/>
    </row>
    <row r="25" spans="1:8" x14ac:dyDescent="0.3">
      <c r="A25" s="24" t="s">
        <v>56</v>
      </c>
      <c r="B25" s="24" t="s">
        <v>40</v>
      </c>
      <c r="C25" s="24" t="s">
        <v>41</v>
      </c>
      <c r="D25" s="24" t="s">
        <v>57</v>
      </c>
      <c r="E25" s="24" t="s">
        <v>58</v>
      </c>
      <c r="F25" s="24" t="s">
        <v>59</v>
      </c>
      <c r="G25" s="24" t="s">
        <v>60</v>
      </c>
      <c r="H25" s="24" t="s">
        <v>61</v>
      </c>
    </row>
    <row r="26" spans="1:8" x14ac:dyDescent="0.3">
      <c r="A26" s="18" t="s">
        <v>127</v>
      </c>
      <c r="B26" s="31">
        <v>1</v>
      </c>
      <c r="C26" s="32">
        <v>789</v>
      </c>
      <c r="D26" s="33">
        <f>B26*C26</f>
        <v>789</v>
      </c>
      <c r="E26" s="31">
        <v>5</v>
      </c>
      <c r="F26" s="33">
        <f>IFERROR(D26/E26,0)</f>
        <v>157.80000000000001</v>
      </c>
      <c r="G26" s="27">
        <f>F26/12</f>
        <v>13.15</v>
      </c>
      <c r="H26" s="34" t="s">
        <v>128</v>
      </c>
    </row>
    <row r="27" spans="1:8" x14ac:dyDescent="0.3">
      <c r="A27" s="18" t="s">
        <v>129</v>
      </c>
      <c r="B27" s="31">
        <v>1</v>
      </c>
      <c r="C27" s="32">
        <v>1000</v>
      </c>
      <c r="D27" s="33">
        <f>B27*C27</f>
        <v>1000</v>
      </c>
      <c r="E27" s="31">
        <v>5</v>
      </c>
      <c r="F27" s="33">
        <f>IFERROR(D27/E27,0)</f>
        <v>200</v>
      </c>
      <c r="G27" s="27">
        <f>F27/12</f>
        <v>16.666666666666668</v>
      </c>
      <c r="H27" s="34" t="s">
        <v>130</v>
      </c>
    </row>
    <row r="28" spans="1:8" x14ac:dyDescent="0.3">
      <c r="A28" s="18" t="s">
        <v>131</v>
      </c>
      <c r="B28" s="31">
        <v>1</v>
      </c>
      <c r="C28" s="32">
        <v>200</v>
      </c>
      <c r="D28" s="33">
        <f>B28*C28</f>
        <v>200</v>
      </c>
      <c r="E28" s="31">
        <v>10</v>
      </c>
      <c r="F28" s="33">
        <f>IFERROR(D28/E28,0)</f>
        <v>20</v>
      </c>
      <c r="G28" s="27">
        <f>F28/12</f>
        <v>1.6666666666666667</v>
      </c>
      <c r="H28" s="34" t="s">
        <v>67</v>
      </c>
    </row>
    <row r="29" spans="1:8" x14ac:dyDescent="0.3">
      <c r="A29" s="18" t="s">
        <v>132</v>
      </c>
      <c r="B29" s="31">
        <v>1</v>
      </c>
      <c r="C29" s="32">
        <v>200</v>
      </c>
      <c r="D29" s="33">
        <f>B29*C29</f>
        <v>200</v>
      </c>
      <c r="E29" s="31">
        <v>10</v>
      </c>
      <c r="F29" s="33">
        <f>IFERROR(D29/E29,0)</f>
        <v>20</v>
      </c>
      <c r="G29" s="27">
        <f>F29/12</f>
        <v>1.6666666666666667</v>
      </c>
      <c r="H29" s="34" t="s">
        <v>67</v>
      </c>
    </row>
    <row r="30" spans="1:8" x14ac:dyDescent="0.3">
      <c r="A30" s="18" t="s">
        <v>133</v>
      </c>
      <c r="B30" s="31">
        <v>1</v>
      </c>
      <c r="C30" s="32">
        <v>100</v>
      </c>
      <c r="D30" s="33">
        <f>B30*C30</f>
        <v>100</v>
      </c>
      <c r="E30" s="31">
        <v>10</v>
      </c>
      <c r="F30" s="33">
        <f>IFERROR(D30/E30,0)</f>
        <v>10</v>
      </c>
      <c r="G30" s="27">
        <f>F30/12</f>
        <v>0.83333333333333337</v>
      </c>
      <c r="H30" s="34" t="s">
        <v>67</v>
      </c>
    </row>
    <row r="31" spans="1:8" x14ac:dyDescent="0.3">
      <c r="A31" s="28" t="s">
        <v>68</v>
      </c>
      <c r="B31" s="29"/>
      <c r="C31" s="29"/>
      <c r="D31" s="35">
        <f>SUM(D26:D30)</f>
        <v>2289</v>
      </c>
      <c r="E31" s="29"/>
      <c r="F31" s="35">
        <f>SUM(F26:F30)</f>
        <v>407.8</v>
      </c>
      <c r="G31" s="30">
        <f>SUM(G26:G30)</f>
        <v>33.983333333333341</v>
      </c>
      <c r="H31" s="29"/>
    </row>
    <row r="33" spans="1:8" x14ac:dyDescent="0.3">
      <c r="A33" s="9" t="s">
        <v>69</v>
      </c>
      <c r="B33" s="9"/>
      <c r="C33" s="9"/>
      <c r="D33" s="9"/>
      <c r="E33" s="9"/>
      <c r="F33" s="9"/>
      <c r="G33" s="9"/>
      <c r="H33" s="9"/>
    </row>
    <row r="34" spans="1:8" x14ac:dyDescent="0.3">
      <c r="A34" s="24" t="s">
        <v>70</v>
      </c>
      <c r="B34" s="24" t="s">
        <v>40</v>
      </c>
      <c r="C34" s="24" t="s">
        <v>71</v>
      </c>
      <c r="D34" s="24" t="s">
        <v>72</v>
      </c>
      <c r="E34" s="24" t="s">
        <v>73</v>
      </c>
      <c r="F34" s="24" t="s">
        <v>74</v>
      </c>
      <c r="G34" s="24" t="s">
        <v>75</v>
      </c>
      <c r="H34" s="24" t="s">
        <v>76</v>
      </c>
    </row>
    <row r="35" spans="1:8" ht="22.8" x14ac:dyDescent="0.3">
      <c r="A35" s="18" t="s">
        <v>134</v>
      </c>
      <c r="B35" s="31">
        <v>1</v>
      </c>
      <c r="C35" s="34" t="s">
        <v>135</v>
      </c>
      <c r="D35" s="32">
        <v>1300</v>
      </c>
      <c r="E35" s="36">
        <v>0.3</v>
      </c>
      <c r="F35" s="33">
        <f>D35*E35</f>
        <v>390</v>
      </c>
      <c r="G35" s="33">
        <f>(D35+F35)*B35</f>
        <v>1690</v>
      </c>
      <c r="H35" s="33">
        <f>G35*12</f>
        <v>20280</v>
      </c>
    </row>
    <row r="36" spans="1:8" ht="22.8" x14ac:dyDescent="0.3">
      <c r="A36" s="18" t="s">
        <v>136</v>
      </c>
      <c r="B36" s="31">
        <v>1</v>
      </c>
      <c r="C36" s="34" t="s">
        <v>137</v>
      </c>
      <c r="D36" s="32">
        <v>1300</v>
      </c>
      <c r="E36" s="36">
        <v>0.3</v>
      </c>
      <c r="F36" s="33">
        <f>D36*E36</f>
        <v>390</v>
      </c>
      <c r="G36" s="33">
        <f>(D36+F36)*B36</f>
        <v>1690</v>
      </c>
      <c r="H36" s="33">
        <f>G36*12</f>
        <v>20280</v>
      </c>
    </row>
    <row r="37" spans="1:8" x14ac:dyDescent="0.3">
      <c r="A37" s="28" t="s">
        <v>79</v>
      </c>
      <c r="B37" s="29"/>
      <c r="C37" s="29"/>
      <c r="D37" s="29"/>
      <c r="E37" s="29"/>
      <c r="F37" s="29"/>
      <c r="G37" s="35">
        <f>SUM(G35:G36)</f>
        <v>3380</v>
      </c>
      <c r="H37" s="35">
        <f>SUM(H35:H36)</f>
        <v>40560</v>
      </c>
    </row>
    <row r="38" spans="1:8" x14ac:dyDescent="0.3">
      <c r="A38" s="1" t="s">
        <v>80</v>
      </c>
      <c r="B38" s="1"/>
      <c r="C38" s="1"/>
      <c r="D38" s="1"/>
      <c r="E38" s="1"/>
      <c r="F38" s="1"/>
      <c r="G38" s="1"/>
      <c r="H38" s="1"/>
    </row>
    <row r="40" spans="1:8" x14ac:dyDescent="0.3">
      <c r="A40" s="9" t="s">
        <v>81</v>
      </c>
      <c r="B40" s="9"/>
      <c r="C40" s="9"/>
      <c r="D40" s="9"/>
      <c r="E40" s="9"/>
      <c r="F40" s="9"/>
      <c r="G40" s="9"/>
      <c r="H40" s="9"/>
    </row>
    <row r="41" spans="1:8" ht="15" customHeight="1" x14ac:dyDescent="0.3">
      <c r="A41" s="24" t="s">
        <v>82</v>
      </c>
      <c r="B41" s="24" t="s">
        <v>83</v>
      </c>
      <c r="C41" s="24" t="s">
        <v>84</v>
      </c>
      <c r="D41" s="4" t="s">
        <v>61</v>
      </c>
      <c r="E41" s="4"/>
      <c r="F41" s="4"/>
      <c r="G41" s="4"/>
      <c r="H41" s="4"/>
    </row>
    <row r="42" spans="1:8" ht="15" customHeight="1" x14ac:dyDescent="0.3">
      <c r="A42" s="18" t="s">
        <v>138</v>
      </c>
      <c r="B42" s="37" t="s">
        <v>139</v>
      </c>
      <c r="C42" s="26">
        <v>900</v>
      </c>
      <c r="D42" s="3" t="s">
        <v>87</v>
      </c>
      <c r="E42" s="3"/>
      <c r="F42" s="3"/>
      <c r="G42" s="3"/>
      <c r="H42" s="3"/>
    </row>
    <row r="43" spans="1:8" ht="15" customHeight="1" x14ac:dyDescent="0.3">
      <c r="A43" s="18" t="s">
        <v>140</v>
      </c>
      <c r="B43" s="37" t="s">
        <v>89</v>
      </c>
      <c r="C43" s="26">
        <v>45</v>
      </c>
      <c r="D43" s="3" t="s">
        <v>141</v>
      </c>
      <c r="E43" s="3"/>
      <c r="F43" s="3"/>
      <c r="G43" s="3"/>
      <c r="H43" s="3"/>
    </row>
    <row r="44" spans="1:8" ht="15" customHeight="1" x14ac:dyDescent="0.3">
      <c r="A44" s="18" t="s">
        <v>142</v>
      </c>
      <c r="B44" s="37" t="s">
        <v>89</v>
      </c>
      <c r="C44" s="26">
        <v>30</v>
      </c>
      <c r="D44" s="3" t="s">
        <v>67</v>
      </c>
      <c r="E44" s="3"/>
      <c r="F44" s="3"/>
      <c r="G44" s="3"/>
      <c r="H44" s="3"/>
    </row>
    <row r="45" spans="1:8" ht="15" customHeight="1" x14ac:dyDescent="0.3">
      <c r="A45" s="18" t="s">
        <v>143</v>
      </c>
      <c r="B45" s="37" t="s">
        <v>89</v>
      </c>
      <c r="C45" s="26">
        <v>100</v>
      </c>
      <c r="D45" s="3" t="s">
        <v>144</v>
      </c>
      <c r="E45" s="3"/>
      <c r="F45" s="3"/>
      <c r="G45" s="3"/>
      <c r="H45" s="3"/>
    </row>
    <row r="46" spans="1:8" ht="15" customHeight="1" x14ac:dyDescent="0.3">
      <c r="A46" s="18" t="s">
        <v>145</v>
      </c>
      <c r="B46" s="37" t="s">
        <v>89</v>
      </c>
      <c r="C46" s="26">
        <v>50</v>
      </c>
      <c r="D46" s="3" t="s">
        <v>146</v>
      </c>
      <c r="E46" s="3"/>
      <c r="F46" s="3"/>
      <c r="G46" s="3"/>
      <c r="H46" s="3"/>
    </row>
    <row r="47" spans="1:8" ht="15" customHeight="1" x14ac:dyDescent="0.3">
      <c r="A47" s="18" t="s">
        <v>98</v>
      </c>
      <c r="B47" s="37"/>
      <c r="C47" s="38">
        <f>G31</f>
        <v>33.983333333333341</v>
      </c>
      <c r="D47" s="3" t="s">
        <v>99</v>
      </c>
      <c r="E47" s="3"/>
      <c r="F47" s="3"/>
      <c r="G47" s="3"/>
      <c r="H47" s="3"/>
    </row>
    <row r="48" spans="1:8" x14ac:dyDescent="0.3">
      <c r="A48" s="28" t="s">
        <v>100</v>
      </c>
      <c r="B48" s="29"/>
      <c r="C48" s="30">
        <f>SUM(C42:C47)</f>
        <v>1158.9833333333333</v>
      </c>
      <c r="D48" s="2"/>
      <c r="E48" s="2"/>
      <c r="F48" s="2"/>
      <c r="G48" s="2"/>
      <c r="H48" s="2"/>
    </row>
    <row r="50" spans="1:8" x14ac:dyDescent="0.3">
      <c r="A50" s="9" t="s">
        <v>101</v>
      </c>
      <c r="B50" s="9"/>
      <c r="C50" s="9"/>
      <c r="D50" s="9"/>
      <c r="E50" s="9"/>
      <c r="F50" s="9"/>
      <c r="G50" s="9"/>
      <c r="H50" s="9"/>
    </row>
    <row r="51" spans="1:8" ht="15" customHeight="1" x14ac:dyDescent="0.3">
      <c r="A51" s="24" t="s">
        <v>82</v>
      </c>
      <c r="B51" s="24" t="s">
        <v>84</v>
      </c>
      <c r="C51" s="4" t="s">
        <v>61</v>
      </c>
      <c r="D51" s="4"/>
      <c r="E51" s="4"/>
      <c r="F51" s="4"/>
      <c r="G51" s="4"/>
      <c r="H51" s="4"/>
    </row>
    <row r="52" spans="1:8" ht="15" customHeight="1" x14ac:dyDescent="0.3">
      <c r="A52" s="18" t="s">
        <v>102</v>
      </c>
      <c r="B52" s="39">
        <v>0</v>
      </c>
      <c r="C52" s="3" t="s">
        <v>103</v>
      </c>
      <c r="D52" s="3"/>
      <c r="E52" s="3"/>
      <c r="F52" s="3"/>
      <c r="G52" s="3"/>
      <c r="H52" s="3"/>
    </row>
    <row r="53" spans="1:8" ht="15" customHeight="1" x14ac:dyDescent="0.3">
      <c r="A53" s="18" t="s">
        <v>105</v>
      </c>
      <c r="B53" s="39">
        <v>0</v>
      </c>
      <c r="C53" s="3" t="s">
        <v>103</v>
      </c>
      <c r="D53" s="3"/>
      <c r="E53" s="3"/>
      <c r="F53" s="3"/>
      <c r="G53" s="3"/>
      <c r="H53" s="3"/>
    </row>
    <row r="54" spans="1:8" ht="15" customHeight="1" x14ac:dyDescent="0.3">
      <c r="A54" s="18" t="s">
        <v>106</v>
      </c>
      <c r="B54" s="39">
        <v>0</v>
      </c>
      <c r="C54" s="3" t="s">
        <v>103</v>
      </c>
      <c r="D54" s="3"/>
      <c r="E54" s="3"/>
      <c r="F54" s="3"/>
      <c r="G54" s="3"/>
      <c r="H54" s="3"/>
    </row>
    <row r="55" spans="1:8" x14ac:dyDescent="0.3">
      <c r="A55" s="28" t="s">
        <v>107</v>
      </c>
      <c r="B55" s="30">
        <f>SUM(B52:B54)</f>
        <v>0</v>
      </c>
      <c r="C55" s="2"/>
      <c r="D55" s="2"/>
      <c r="E55" s="2"/>
      <c r="F55" s="2"/>
      <c r="G55" s="2"/>
      <c r="H55" s="2"/>
    </row>
    <row r="57" spans="1:8" x14ac:dyDescent="0.3">
      <c r="A57" s="9" t="s">
        <v>108</v>
      </c>
      <c r="B57" s="9"/>
      <c r="C57" s="9"/>
      <c r="D57" s="9"/>
      <c r="E57" s="9"/>
      <c r="F57" s="9"/>
      <c r="G57" s="9"/>
      <c r="H57" s="9"/>
    </row>
    <row r="58" spans="1:8" ht="15" customHeight="1" x14ac:dyDescent="0.3">
      <c r="A58" s="24" t="s">
        <v>82</v>
      </c>
      <c r="B58" s="24" t="s">
        <v>84</v>
      </c>
      <c r="C58" s="4" t="s">
        <v>61</v>
      </c>
      <c r="D58" s="4"/>
      <c r="E58" s="4"/>
      <c r="F58" s="4"/>
      <c r="G58" s="4"/>
      <c r="H58" s="4"/>
    </row>
    <row r="59" spans="1:8" ht="15" customHeight="1" x14ac:dyDescent="0.3">
      <c r="A59" s="18" t="s">
        <v>147</v>
      </c>
      <c r="B59" s="26">
        <v>100</v>
      </c>
      <c r="C59" s="3" t="s">
        <v>110</v>
      </c>
      <c r="D59" s="3"/>
      <c r="E59" s="3"/>
      <c r="F59" s="3"/>
      <c r="G59" s="3"/>
      <c r="H59" s="3"/>
    </row>
    <row r="60" spans="1:8" ht="15" customHeight="1" x14ac:dyDescent="0.3">
      <c r="A60" s="18" t="s">
        <v>148</v>
      </c>
      <c r="B60" s="39">
        <v>0</v>
      </c>
      <c r="C60" s="3" t="s">
        <v>103</v>
      </c>
      <c r="D60" s="3"/>
      <c r="E60" s="3"/>
      <c r="F60" s="3"/>
      <c r="G60" s="3"/>
      <c r="H60" s="3"/>
    </row>
    <row r="61" spans="1:8" ht="15" customHeight="1" x14ac:dyDescent="0.3">
      <c r="A61" s="18" t="s">
        <v>149</v>
      </c>
      <c r="B61" s="39">
        <v>0</v>
      </c>
      <c r="C61" s="3" t="s">
        <v>103</v>
      </c>
      <c r="D61" s="3"/>
      <c r="E61" s="3"/>
      <c r="F61" s="3"/>
      <c r="G61" s="3"/>
      <c r="H61" s="3"/>
    </row>
    <row r="62" spans="1:8" x14ac:dyDescent="0.3">
      <c r="A62" s="28" t="s">
        <v>112</v>
      </c>
      <c r="B62" s="30">
        <f>SUM(B59:B61)</f>
        <v>100</v>
      </c>
      <c r="C62" s="2"/>
      <c r="D62" s="2"/>
      <c r="E62" s="2"/>
      <c r="F62" s="2"/>
      <c r="G62" s="2"/>
      <c r="H62" s="2"/>
    </row>
  </sheetData>
  <mergeCells count="52">
    <mergeCell ref="C58:H58"/>
    <mergeCell ref="C59:H59"/>
    <mergeCell ref="C60:H60"/>
    <mergeCell ref="C61:H61"/>
    <mergeCell ref="C62:H62"/>
    <mergeCell ref="C52:H52"/>
    <mergeCell ref="C53:H53"/>
    <mergeCell ref="C54:H54"/>
    <mergeCell ref="C55:H55"/>
    <mergeCell ref="A57:H57"/>
    <mergeCell ref="D46:H46"/>
    <mergeCell ref="D47:H47"/>
    <mergeCell ref="D48:H48"/>
    <mergeCell ref="A50:H50"/>
    <mergeCell ref="C51:H51"/>
    <mergeCell ref="D41:H41"/>
    <mergeCell ref="D42:H42"/>
    <mergeCell ref="D43:H43"/>
    <mergeCell ref="D44:H44"/>
    <mergeCell ref="D45:H45"/>
    <mergeCell ref="F22:H22"/>
    <mergeCell ref="A24:H24"/>
    <mergeCell ref="A33:H33"/>
    <mergeCell ref="A38:H38"/>
    <mergeCell ref="A40:H40"/>
    <mergeCell ref="F17:H17"/>
    <mergeCell ref="F18:H18"/>
    <mergeCell ref="F19:H19"/>
    <mergeCell ref="F20:H20"/>
    <mergeCell ref="F21:H21"/>
    <mergeCell ref="A12:E12"/>
    <mergeCell ref="F12:H12"/>
    <mergeCell ref="A14:H14"/>
    <mergeCell ref="F15:H15"/>
    <mergeCell ref="F16:H16"/>
    <mergeCell ref="A9:E9"/>
    <mergeCell ref="F9:H9"/>
    <mergeCell ref="A10:E10"/>
    <mergeCell ref="F10:H10"/>
    <mergeCell ref="A11:E11"/>
    <mergeCell ref="F11:H11"/>
    <mergeCell ref="A6:E6"/>
    <mergeCell ref="F6:H6"/>
    <mergeCell ref="A7:E7"/>
    <mergeCell ref="F7:H7"/>
    <mergeCell ref="A8:E8"/>
    <mergeCell ref="F8:H8"/>
    <mergeCell ref="A1:H1"/>
    <mergeCell ref="A2:H2"/>
    <mergeCell ref="A4:H4"/>
    <mergeCell ref="A5:E5"/>
    <mergeCell ref="F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showGridLines="0" zoomScaleNormal="100" workbookViewId="0">
      <pane ySplit="3" topLeftCell="A4" activePane="bottomLeft" state="frozen"/>
      <selection pane="bottomLeft" activeCell="A18" sqref="A18"/>
    </sheetView>
  </sheetViews>
  <sheetFormatPr baseColWidth="10" defaultColWidth="8.6640625" defaultRowHeight="14.4" x14ac:dyDescent="0.3"/>
  <cols>
    <col min="1" max="1" width="38" customWidth="1"/>
    <col min="2" max="3" width="16" customWidth="1"/>
    <col min="4" max="4" width="20" customWidth="1"/>
    <col min="5" max="5" width="16" customWidth="1"/>
    <col min="6" max="7" width="20" customWidth="1"/>
    <col min="8" max="8" width="30" customWidth="1"/>
  </cols>
  <sheetData>
    <row r="1" spans="1:8" ht="25.5" customHeight="1" x14ac:dyDescent="0.3">
      <c r="A1" s="11" t="s">
        <v>150</v>
      </c>
      <c r="B1" s="11"/>
      <c r="C1" s="11"/>
      <c r="D1" s="11"/>
      <c r="E1" s="11"/>
      <c r="F1" s="11"/>
      <c r="G1" s="11"/>
      <c r="H1" s="11"/>
    </row>
    <row r="2" spans="1:8" x14ac:dyDescent="0.3">
      <c r="A2" s="10" t="s">
        <v>151</v>
      </c>
      <c r="B2" s="10"/>
      <c r="C2" s="10"/>
      <c r="D2" s="10"/>
      <c r="E2" s="10"/>
      <c r="F2" s="10"/>
      <c r="G2" s="10"/>
      <c r="H2" s="10"/>
    </row>
    <row r="4" spans="1:8" x14ac:dyDescent="0.3">
      <c r="A4" s="9" t="s">
        <v>28</v>
      </c>
      <c r="B4" s="9"/>
      <c r="C4" s="9"/>
      <c r="D4" s="9"/>
      <c r="E4" s="9"/>
      <c r="F4" s="9"/>
      <c r="G4" s="9"/>
      <c r="H4" s="9"/>
    </row>
    <row r="5" spans="1:8" x14ac:dyDescent="0.3">
      <c r="A5" s="8" t="s">
        <v>29</v>
      </c>
      <c r="B5" s="8"/>
      <c r="C5" s="8"/>
      <c r="D5" s="8"/>
      <c r="E5" s="8"/>
      <c r="F5" s="7">
        <v>300</v>
      </c>
      <c r="G5" s="7"/>
      <c r="H5" s="7"/>
    </row>
    <row r="6" spans="1:8" x14ac:dyDescent="0.3">
      <c r="A6" s="8" t="s">
        <v>30</v>
      </c>
      <c r="B6" s="8"/>
      <c r="C6" s="8"/>
      <c r="D6" s="8"/>
      <c r="E6" s="8"/>
      <c r="F6" s="6">
        <f>E20</f>
        <v>130</v>
      </c>
      <c r="G6" s="6"/>
      <c r="H6" s="6"/>
    </row>
    <row r="7" spans="1:8" x14ac:dyDescent="0.3">
      <c r="A7" s="8" t="s">
        <v>31</v>
      </c>
      <c r="B7" s="8"/>
      <c r="C7" s="8"/>
      <c r="D7" s="8"/>
      <c r="E7" s="8"/>
      <c r="F7" s="5">
        <f>D28</f>
        <v>8200</v>
      </c>
      <c r="G7" s="5"/>
      <c r="H7" s="5"/>
    </row>
    <row r="8" spans="1:8" x14ac:dyDescent="0.3">
      <c r="A8" s="8" t="s">
        <v>32</v>
      </c>
      <c r="B8" s="8"/>
      <c r="C8" s="8"/>
      <c r="D8" s="8"/>
      <c r="E8" s="8"/>
      <c r="F8" s="6">
        <f>G28</f>
        <v>101.66666666666666</v>
      </c>
      <c r="G8" s="6"/>
      <c r="H8" s="6"/>
    </row>
    <row r="9" spans="1:8" x14ac:dyDescent="0.3">
      <c r="A9" s="8" t="s">
        <v>152</v>
      </c>
      <c r="B9" s="8"/>
      <c r="C9" s="8"/>
      <c r="D9" s="8"/>
      <c r="E9" s="8"/>
      <c r="F9" s="5">
        <f>G33</f>
        <v>400</v>
      </c>
      <c r="G9" s="5"/>
      <c r="H9" s="5"/>
    </row>
    <row r="10" spans="1:8" x14ac:dyDescent="0.3">
      <c r="A10" s="8" t="s">
        <v>153</v>
      </c>
      <c r="B10" s="8"/>
      <c r="C10" s="8"/>
      <c r="D10" s="8"/>
      <c r="E10" s="8"/>
      <c r="F10" s="6">
        <f>C41</f>
        <v>291.66666666666669</v>
      </c>
      <c r="G10" s="6"/>
      <c r="H10" s="6"/>
    </row>
    <row r="11" spans="1:8" x14ac:dyDescent="0.3">
      <c r="A11" s="8" t="s">
        <v>35</v>
      </c>
      <c r="B11" s="8"/>
      <c r="C11" s="8"/>
      <c r="D11" s="8"/>
      <c r="E11" s="8"/>
      <c r="F11" s="6">
        <f>B47</f>
        <v>0</v>
      </c>
      <c r="G11" s="6"/>
      <c r="H11" s="6"/>
    </row>
    <row r="12" spans="1:8" x14ac:dyDescent="0.3">
      <c r="A12" s="8" t="s">
        <v>36</v>
      </c>
      <c r="B12" s="8"/>
      <c r="C12" s="8"/>
      <c r="D12" s="8"/>
      <c r="E12" s="8"/>
      <c r="F12" s="6">
        <f>B53</f>
        <v>100</v>
      </c>
      <c r="G12" s="6"/>
      <c r="H12" s="6"/>
    </row>
    <row r="14" spans="1:8" x14ac:dyDescent="0.3">
      <c r="A14" s="9" t="s">
        <v>37</v>
      </c>
      <c r="B14" s="9"/>
      <c r="C14" s="9"/>
      <c r="D14" s="9"/>
      <c r="E14" s="9"/>
      <c r="F14" s="9"/>
      <c r="G14" s="9"/>
      <c r="H14" s="9"/>
    </row>
    <row r="15" spans="1:8" ht="22.35" customHeight="1" x14ac:dyDescent="0.3">
      <c r="A15" s="24" t="s">
        <v>38</v>
      </c>
      <c r="B15" s="24" t="s">
        <v>39</v>
      </c>
      <c r="C15" s="24" t="s">
        <v>40</v>
      </c>
      <c r="D15" s="24" t="s">
        <v>41</v>
      </c>
      <c r="E15" s="24" t="s">
        <v>42</v>
      </c>
      <c r="F15" s="4" t="s">
        <v>43</v>
      </c>
      <c r="G15" s="4"/>
      <c r="H15" s="4"/>
    </row>
    <row r="16" spans="1:8" ht="15" customHeight="1" x14ac:dyDescent="0.3">
      <c r="A16" s="18" t="s">
        <v>154</v>
      </c>
      <c r="B16" s="17" t="s">
        <v>45</v>
      </c>
      <c r="C16" s="25">
        <v>600</v>
      </c>
      <c r="D16" s="26">
        <v>0.05</v>
      </c>
      <c r="E16" s="27">
        <f>C16*D16</f>
        <v>30</v>
      </c>
      <c r="F16" s="3" t="s">
        <v>155</v>
      </c>
      <c r="G16" s="3"/>
      <c r="H16" s="3"/>
    </row>
    <row r="17" spans="1:8" ht="15" customHeight="1" x14ac:dyDescent="0.3">
      <c r="A17" s="18" t="s">
        <v>156</v>
      </c>
      <c r="B17" s="17" t="s">
        <v>157</v>
      </c>
      <c r="C17" s="25">
        <v>1</v>
      </c>
      <c r="D17" s="26">
        <v>50</v>
      </c>
      <c r="E17" s="27">
        <f>C17*D17</f>
        <v>50</v>
      </c>
      <c r="F17" s="3" t="s">
        <v>158</v>
      </c>
      <c r="G17" s="3"/>
      <c r="H17" s="3"/>
    </row>
    <row r="18" spans="1:8" ht="15" customHeight="1" x14ac:dyDescent="0.3">
      <c r="A18" s="18" t="s">
        <v>159</v>
      </c>
      <c r="B18" s="17" t="s">
        <v>157</v>
      </c>
      <c r="C18" s="25">
        <v>1</v>
      </c>
      <c r="D18" s="26">
        <v>0</v>
      </c>
      <c r="E18" s="27">
        <f>C18*D18</f>
        <v>0</v>
      </c>
      <c r="F18" s="3" t="s">
        <v>160</v>
      </c>
      <c r="G18" s="3"/>
      <c r="H18" s="3"/>
    </row>
    <row r="19" spans="1:8" ht="15" customHeight="1" x14ac:dyDescent="0.3">
      <c r="A19" s="18" t="s">
        <v>161</v>
      </c>
      <c r="B19" s="17" t="s">
        <v>157</v>
      </c>
      <c r="C19" s="25">
        <v>1</v>
      </c>
      <c r="D19" s="26">
        <v>50</v>
      </c>
      <c r="E19" s="27">
        <f>C19*D19</f>
        <v>50</v>
      </c>
      <c r="F19" s="3" t="s">
        <v>103</v>
      </c>
      <c r="G19" s="3"/>
      <c r="H19" s="3"/>
    </row>
    <row r="20" spans="1:8" x14ac:dyDescent="0.3">
      <c r="A20" s="28" t="s">
        <v>54</v>
      </c>
      <c r="B20" s="29"/>
      <c r="C20" s="29"/>
      <c r="D20" s="29"/>
      <c r="E20" s="30">
        <f>SUM(E16:E19)</f>
        <v>130</v>
      </c>
      <c r="F20" s="2"/>
      <c r="G20" s="2"/>
      <c r="H20" s="2"/>
    </row>
    <row r="22" spans="1:8" x14ac:dyDescent="0.3">
      <c r="A22" s="9" t="s">
        <v>55</v>
      </c>
      <c r="B22" s="9"/>
      <c r="C22" s="9"/>
      <c r="D22" s="9"/>
      <c r="E22" s="9"/>
      <c r="F22" s="9"/>
      <c r="G22" s="9"/>
      <c r="H22" s="9"/>
    </row>
    <row r="23" spans="1:8" x14ac:dyDescent="0.3">
      <c r="A23" s="24" t="s">
        <v>56</v>
      </c>
      <c r="B23" s="24" t="s">
        <v>40</v>
      </c>
      <c r="C23" s="24" t="s">
        <v>41</v>
      </c>
      <c r="D23" s="24" t="s">
        <v>57</v>
      </c>
      <c r="E23" s="24" t="s">
        <v>58</v>
      </c>
      <c r="F23" s="24" t="s">
        <v>59</v>
      </c>
      <c r="G23" s="24" t="s">
        <v>60</v>
      </c>
      <c r="H23" s="24" t="s">
        <v>61</v>
      </c>
    </row>
    <row r="24" spans="1:8" x14ac:dyDescent="0.3">
      <c r="A24" s="18" t="s">
        <v>162</v>
      </c>
      <c r="B24" s="31">
        <v>1</v>
      </c>
      <c r="C24" s="32">
        <v>1000</v>
      </c>
      <c r="D24" s="33">
        <f>B24*C24</f>
        <v>1000</v>
      </c>
      <c r="E24" s="31">
        <v>5</v>
      </c>
      <c r="F24" s="33">
        <f>IFERROR(D24/E24,0)</f>
        <v>200</v>
      </c>
      <c r="G24" s="27">
        <f>F24/12</f>
        <v>16.666666666666668</v>
      </c>
      <c r="H24" s="34" t="s">
        <v>67</v>
      </c>
    </row>
    <row r="25" spans="1:8" x14ac:dyDescent="0.3">
      <c r="A25" s="18" t="s">
        <v>163</v>
      </c>
      <c r="B25" s="31">
        <v>1</v>
      </c>
      <c r="C25" s="32">
        <v>2000</v>
      </c>
      <c r="D25" s="33">
        <f>B25*C25</f>
        <v>2000</v>
      </c>
      <c r="E25" s="31">
        <v>4</v>
      </c>
      <c r="F25" s="33">
        <f>IFERROR(D25/E25,0)</f>
        <v>500</v>
      </c>
      <c r="G25" s="27">
        <f>F25/12</f>
        <v>41.666666666666664</v>
      </c>
      <c r="H25" s="34" t="s">
        <v>67</v>
      </c>
    </row>
    <row r="26" spans="1:8" x14ac:dyDescent="0.3">
      <c r="A26" s="18" t="s">
        <v>164</v>
      </c>
      <c r="B26" s="31">
        <v>1</v>
      </c>
      <c r="C26" s="32">
        <v>200</v>
      </c>
      <c r="D26" s="33">
        <f>B26*C26</f>
        <v>200</v>
      </c>
      <c r="E26" s="31">
        <v>10</v>
      </c>
      <c r="F26" s="33">
        <f>IFERROR(D26/E26,0)</f>
        <v>20</v>
      </c>
      <c r="G26" s="27">
        <f>F26/12</f>
        <v>1.6666666666666667</v>
      </c>
      <c r="H26" s="34" t="s">
        <v>67</v>
      </c>
    </row>
    <row r="27" spans="1:8" x14ac:dyDescent="0.3">
      <c r="A27" s="18" t="s">
        <v>165</v>
      </c>
      <c r="B27" s="31">
        <v>1</v>
      </c>
      <c r="C27" s="32">
        <v>5000</v>
      </c>
      <c r="D27" s="33">
        <f>B27*C27</f>
        <v>5000</v>
      </c>
      <c r="E27" s="31">
        <v>10</v>
      </c>
      <c r="F27" s="33">
        <f>IFERROR(D27/E27,0)</f>
        <v>500</v>
      </c>
      <c r="G27" s="27">
        <f>F27/12</f>
        <v>41.666666666666664</v>
      </c>
      <c r="H27" s="34" t="s">
        <v>67</v>
      </c>
    </row>
    <row r="28" spans="1:8" x14ac:dyDescent="0.3">
      <c r="A28" s="28" t="s">
        <v>68</v>
      </c>
      <c r="B28" s="29"/>
      <c r="C28" s="29"/>
      <c r="D28" s="35">
        <f>SUM(D24:D27)</f>
        <v>8200</v>
      </c>
      <c r="E28" s="29"/>
      <c r="F28" s="35">
        <f>SUM(F24:F27)</f>
        <v>1220</v>
      </c>
      <c r="G28" s="30">
        <f>SUM(G24:G27)</f>
        <v>101.66666666666666</v>
      </c>
      <c r="H28" s="29"/>
    </row>
    <row r="30" spans="1:8" x14ac:dyDescent="0.3">
      <c r="A30" s="9" t="s">
        <v>166</v>
      </c>
      <c r="B30" s="9"/>
      <c r="C30" s="9"/>
      <c r="D30" s="9"/>
      <c r="E30" s="9"/>
      <c r="F30" s="9"/>
      <c r="G30" s="9"/>
      <c r="H30" s="9"/>
    </row>
    <row r="31" spans="1:8" x14ac:dyDescent="0.3">
      <c r="A31" s="24" t="s">
        <v>70</v>
      </c>
      <c r="B31" s="24" t="s">
        <v>40</v>
      </c>
      <c r="C31" s="24" t="s">
        <v>71</v>
      </c>
      <c r="D31" s="24" t="s">
        <v>72</v>
      </c>
      <c r="E31" s="24" t="s">
        <v>73</v>
      </c>
      <c r="F31" s="24" t="s">
        <v>74</v>
      </c>
      <c r="G31" s="24" t="s">
        <v>75</v>
      </c>
      <c r="H31" s="24" t="s">
        <v>76</v>
      </c>
    </row>
    <row r="32" spans="1:8" ht="34.200000000000003" x14ac:dyDescent="0.3">
      <c r="A32" s="18" t="s">
        <v>167</v>
      </c>
      <c r="B32" s="31">
        <v>1</v>
      </c>
      <c r="C32" s="34" t="s">
        <v>168</v>
      </c>
      <c r="D32" s="32">
        <v>400</v>
      </c>
      <c r="E32" s="36">
        <v>0</v>
      </c>
      <c r="F32" s="33">
        <f>D32*E32</f>
        <v>0</v>
      </c>
      <c r="G32" s="33">
        <f>(D32+F32)*B32</f>
        <v>400</v>
      </c>
      <c r="H32" s="33">
        <f>G32*12</f>
        <v>4800</v>
      </c>
    </row>
    <row r="33" spans="1:8" x14ac:dyDescent="0.3">
      <c r="A33" s="28" t="s">
        <v>79</v>
      </c>
      <c r="B33" s="29"/>
      <c r="C33" s="29"/>
      <c r="D33" s="29"/>
      <c r="E33" s="29"/>
      <c r="F33" s="29"/>
      <c r="G33" s="35">
        <f>SUM(G32:G32)</f>
        <v>400</v>
      </c>
      <c r="H33" s="35">
        <f>SUM(H32:H32)</f>
        <v>4800</v>
      </c>
    </row>
    <row r="34" spans="1:8" x14ac:dyDescent="0.3">
      <c r="A34" s="1" t="s">
        <v>80</v>
      </c>
      <c r="B34" s="1"/>
      <c r="C34" s="1"/>
      <c r="D34" s="1"/>
      <c r="E34" s="1"/>
      <c r="F34" s="1"/>
      <c r="G34" s="1"/>
      <c r="H34" s="1"/>
    </row>
    <row r="36" spans="1:8" x14ac:dyDescent="0.3">
      <c r="A36" s="9" t="s">
        <v>169</v>
      </c>
      <c r="B36" s="9"/>
      <c r="C36" s="9"/>
      <c r="D36" s="9"/>
      <c r="E36" s="9"/>
      <c r="F36" s="9"/>
      <c r="G36" s="9"/>
      <c r="H36" s="9"/>
    </row>
    <row r="37" spans="1:8" ht="15" customHeight="1" x14ac:dyDescent="0.3">
      <c r="A37" s="24" t="s">
        <v>82</v>
      </c>
      <c r="B37" s="24" t="s">
        <v>83</v>
      </c>
      <c r="C37" s="24" t="s">
        <v>84</v>
      </c>
      <c r="D37" s="4" t="s">
        <v>61</v>
      </c>
      <c r="E37" s="4"/>
      <c r="F37" s="4"/>
      <c r="G37" s="4"/>
      <c r="H37" s="4"/>
    </row>
    <row r="38" spans="1:8" ht="15" customHeight="1" x14ac:dyDescent="0.3">
      <c r="A38" s="18" t="s">
        <v>170</v>
      </c>
      <c r="B38" s="37" t="s">
        <v>171</v>
      </c>
      <c r="C38" s="26">
        <v>180</v>
      </c>
      <c r="D38" s="3" t="s">
        <v>172</v>
      </c>
      <c r="E38" s="3"/>
      <c r="F38" s="3"/>
      <c r="G38" s="3"/>
      <c r="H38" s="3"/>
    </row>
    <row r="39" spans="1:8" ht="15" customHeight="1" x14ac:dyDescent="0.3">
      <c r="A39" s="18" t="s">
        <v>173</v>
      </c>
      <c r="B39" s="37" t="s">
        <v>174</v>
      </c>
      <c r="C39" s="26">
        <v>10</v>
      </c>
      <c r="D39" s="3" t="s">
        <v>67</v>
      </c>
      <c r="E39" s="3"/>
      <c r="F39" s="3"/>
      <c r="G39" s="3"/>
      <c r="H39" s="3"/>
    </row>
    <row r="40" spans="1:8" ht="15" customHeight="1" x14ac:dyDescent="0.3">
      <c r="A40" s="18" t="s">
        <v>98</v>
      </c>
      <c r="B40" s="37"/>
      <c r="C40" s="38">
        <f>F28/12</f>
        <v>101.66666666666667</v>
      </c>
      <c r="D40" s="3" t="s">
        <v>175</v>
      </c>
      <c r="E40" s="3"/>
      <c r="F40" s="3"/>
      <c r="G40" s="3"/>
      <c r="H40" s="3"/>
    </row>
    <row r="41" spans="1:8" x14ac:dyDescent="0.3">
      <c r="A41" s="28" t="s">
        <v>100</v>
      </c>
      <c r="B41" s="29"/>
      <c r="C41" s="30">
        <f>SUM(C38:C40)</f>
        <v>291.66666666666669</v>
      </c>
      <c r="D41" s="2"/>
      <c r="E41" s="2"/>
      <c r="F41" s="2"/>
      <c r="G41" s="2"/>
      <c r="H41" s="2"/>
    </row>
    <row r="43" spans="1:8" x14ac:dyDescent="0.3">
      <c r="A43" s="9" t="s">
        <v>101</v>
      </c>
      <c r="B43" s="9"/>
      <c r="C43" s="9"/>
      <c r="D43" s="9"/>
      <c r="E43" s="9"/>
      <c r="F43" s="9"/>
      <c r="G43" s="9"/>
      <c r="H43" s="9"/>
    </row>
    <row r="44" spans="1:8" ht="15" customHeight="1" x14ac:dyDescent="0.3">
      <c r="A44" s="24" t="s">
        <v>82</v>
      </c>
      <c r="B44" s="24" t="s">
        <v>84</v>
      </c>
      <c r="C44" s="4" t="s">
        <v>61</v>
      </c>
      <c r="D44" s="4"/>
      <c r="E44" s="4"/>
      <c r="F44" s="4"/>
      <c r="G44" s="4"/>
      <c r="H44" s="4"/>
    </row>
    <row r="45" spans="1:8" ht="15" customHeight="1" x14ac:dyDescent="0.3">
      <c r="A45" s="18" t="s">
        <v>102</v>
      </c>
      <c r="B45" s="39">
        <v>0</v>
      </c>
      <c r="C45" s="3" t="s">
        <v>103</v>
      </c>
      <c r="D45" s="3"/>
      <c r="E45" s="3"/>
      <c r="F45" s="3"/>
      <c r="G45" s="3"/>
      <c r="H45" s="3"/>
    </row>
    <row r="46" spans="1:8" ht="15" customHeight="1" x14ac:dyDescent="0.3">
      <c r="A46" s="18" t="s">
        <v>176</v>
      </c>
      <c r="B46" s="39">
        <v>0</v>
      </c>
      <c r="C46" s="3" t="s">
        <v>103</v>
      </c>
      <c r="D46" s="3"/>
      <c r="E46" s="3"/>
      <c r="F46" s="3"/>
      <c r="G46" s="3"/>
      <c r="H46" s="3"/>
    </row>
    <row r="47" spans="1:8" x14ac:dyDescent="0.3">
      <c r="A47" s="28" t="s">
        <v>107</v>
      </c>
      <c r="B47" s="30">
        <f>SUM(B45:B46)</f>
        <v>0</v>
      </c>
      <c r="C47" s="2"/>
      <c r="D47" s="2"/>
      <c r="E47" s="2"/>
      <c r="F47" s="2"/>
      <c r="G47" s="2"/>
      <c r="H47" s="2"/>
    </row>
    <row r="49" spans="1:8" x14ac:dyDescent="0.3">
      <c r="A49" s="9" t="s">
        <v>108</v>
      </c>
      <c r="B49" s="9"/>
      <c r="C49" s="9"/>
      <c r="D49" s="9"/>
      <c r="E49" s="9"/>
      <c r="F49" s="9"/>
      <c r="G49" s="9"/>
      <c r="H49" s="9"/>
    </row>
    <row r="50" spans="1:8" ht="15" customHeight="1" x14ac:dyDescent="0.3">
      <c r="A50" s="24" t="s">
        <v>82</v>
      </c>
      <c r="B50" s="24" t="s">
        <v>84</v>
      </c>
      <c r="C50" s="4" t="s">
        <v>61</v>
      </c>
      <c r="D50" s="4"/>
      <c r="E50" s="4"/>
      <c r="F50" s="4"/>
      <c r="G50" s="4"/>
      <c r="H50" s="4"/>
    </row>
    <row r="51" spans="1:8" ht="15" customHeight="1" x14ac:dyDescent="0.3">
      <c r="A51" s="18" t="s">
        <v>109</v>
      </c>
      <c r="B51" s="26">
        <v>100</v>
      </c>
      <c r="C51" s="3" t="s">
        <v>177</v>
      </c>
      <c r="D51" s="3"/>
      <c r="E51" s="3"/>
      <c r="F51" s="3"/>
      <c r="G51" s="3"/>
      <c r="H51" s="3"/>
    </row>
    <row r="52" spans="1:8" ht="15" customHeight="1" x14ac:dyDescent="0.3">
      <c r="A52" s="18" t="s">
        <v>178</v>
      </c>
      <c r="B52" s="39">
        <v>0</v>
      </c>
      <c r="C52" s="3" t="s">
        <v>103</v>
      </c>
      <c r="D52" s="3"/>
      <c r="E52" s="3"/>
      <c r="F52" s="3"/>
      <c r="G52" s="3"/>
      <c r="H52" s="3"/>
    </row>
    <row r="53" spans="1:8" x14ac:dyDescent="0.3">
      <c r="A53" s="28" t="s">
        <v>112</v>
      </c>
      <c r="B53" s="30">
        <f>SUM(B51:B52)</f>
        <v>100</v>
      </c>
      <c r="C53" s="2"/>
      <c r="D53" s="2"/>
      <c r="E53" s="2"/>
      <c r="F53" s="2"/>
      <c r="G53" s="2"/>
      <c r="H53" s="2"/>
    </row>
  </sheetData>
  <mergeCells count="45">
    <mergeCell ref="C51:H51"/>
    <mergeCell ref="C52:H52"/>
    <mergeCell ref="C53:H53"/>
    <mergeCell ref="C45:H45"/>
    <mergeCell ref="C46:H46"/>
    <mergeCell ref="C47:H47"/>
    <mergeCell ref="A49:H49"/>
    <mergeCell ref="C50:H50"/>
    <mergeCell ref="D39:H39"/>
    <mergeCell ref="D40:H40"/>
    <mergeCell ref="D41:H41"/>
    <mergeCell ref="A43:H43"/>
    <mergeCell ref="C44:H44"/>
    <mergeCell ref="A30:H30"/>
    <mergeCell ref="A34:H34"/>
    <mergeCell ref="A36:H36"/>
    <mergeCell ref="D37:H37"/>
    <mergeCell ref="D38:H38"/>
    <mergeCell ref="F17:H17"/>
    <mergeCell ref="F18:H18"/>
    <mergeCell ref="F19:H19"/>
    <mergeCell ref="F20:H20"/>
    <mergeCell ref="A22:H22"/>
    <mergeCell ref="A12:E12"/>
    <mergeCell ref="F12:H12"/>
    <mergeCell ref="A14:H14"/>
    <mergeCell ref="F15:H15"/>
    <mergeCell ref="F16:H16"/>
    <mergeCell ref="A9:E9"/>
    <mergeCell ref="F9:H9"/>
    <mergeCell ref="A10:E10"/>
    <mergeCell ref="F10:H10"/>
    <mergeCell ref="A11:E11"/>
    <mergeCell ref="F11:H11"/>
    <mergeCell ref="A6:E6"/>
    <mergeCell ref="F6:H6"/>
    <mergeCell ref="A7:E7"/>
    <mergeCell ref="F7:H7"/>
    <mergeCell ref="A8:E8"/>
    <mergeCell ref="F8:H8"/>
    <mergeCell ref="A1:H1"/>
    <mergeCell ref="A2:H2"/>
    <mergeCell ref="A4:H4"/>
    <mergeCell ref="A5:E5"/>
    <mergeCell ref="F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5"/>
  <sheetViews>
    <sheetView showGridLines="0" zoomScaleNormal="100" workbookViewId="0">
      <pane ySplit="3" topLeftCell="A4" activePane="bottomLeft" state="frozen"/>
      <selection pane="bottomLeft" sqref="A1:H1"/>
    </sheetView>
  </sheetViews>
  <sheetFormatPr baseColWidth="10" defaultColWidth="8.6640625" defaultRowHeight="14.4" x14ac:dyDescent="0.3"/>
  <cols>
    <col min="1" max="1" width="38" customWidth="1"/>
    <col min="2" max="3" width="16" customWidth="1"/>
    <col min="4" max="4" width="20" customWidth="1"/>
    <col min="5" max="5" width="16" customWidth="1"/>
    <col min="6" max="7" width="20" customWidth="1"/>
    <col min="8" max="8" width="30" customWidth="1"/>
  </cols>
  <sheetData>
    <row r="1" spans="1:8" ht="25.5" customHeight="1" x14ac:dyDescent="0.3">
      <c r="A1" s="11" t="s">
        <v>179</v>
      </c>
      <c r="B1" s="11"/>
      <c r="C1" s="11"/>
      <c r="D1" s="11"/>
      <c r="E1" s="11"/>
      <c r="F1" s="11"/>
      <c r="G1" s="11"/>
      <c r="H1" s="11"/>
    </row>
    <row r="2" spans="1:8" x14ac:dyDescent="0.3">
      <c r="A2" s="10" t="s">
        <v>180</v>
      </c>
      <c r="B2" s="10"/>
      <c r="C2" s="10"/>
      <c r="D2" s="10"/>
      <c r="E2" s="10"/>
      <c r="F2" s="10"/>
      <c r="G2" s="10"/>
      <c r="H2" s="10"/>
    </row>
    <row r="4" spans="1:8" x14ac:dyDescent="0.3">
      <c r="A4" s="9" t="s">
        <v>28</v>
      </c>
      <c r="B4" s="9"/>
      <c r="C4" s="9"/>
      <c r="D4" s="9"/>
      <c r="E4" s="9"/>
      <c r="F4" s="9"/>
      <c r="G4" s="9"/>
      <c r="H4" s="9"/>
    </row>
    <row r="5" spans="1:8" x14ac:dyDescent="0.3">
      <c r="A5" s="8" t="s">
        <v>29</v>
      </c>
      <c r="B5" s="8"/>
      <c r="C5" s="8"/>
      <c r="D5" s="8"/>
      <c r="E5" s="8"/>
      <c r="F5" s="7">
        <v>7</v>
      </c>
      <c r="G5" s="7"/>
      <c r="H5" s="7"/>
    </row>
    <row r="6" spans="1:8" x14ac:dyDescent="0.3">
      <c r="A6" s="8" t="s">
        <v>30</v>
      </c>
      <c r="B6" s="8"/>
      <c r="C6" s="8"/>
      <c r="D6" s="8"/>
      <c r="E6" s="8"/>
      <c r="F6" s="6">
        <f>E24</f>
        <v>158.45999999999998</v>
      </c>
      <c r="G6" s="6"/>
      <c r="H6" s="6"/>
    </row>
    <row r="7" spans="1:8" x14ac:dyDescent="0.3">
      <c r="A7" s="8" t="s">
        <v>31</v>
      </c>
      <c r="B7" s="8"/>
      <c r="C7" s="8"/>
      <c r="D7" s="8"/>
      <c r="E7" s="8"/>
      <c r="F7" s="5">
        <f>D35</f>
        <v>2315</v>
      </c>
      <c r="G7" s="5"/>
      <c r="H7" s="5"/>
    </row>
    <row r="8" spans="1:8" x14ac:dyDescent="0.3">
      <c r="A8" s="8" t="s">
        <v>32</v>
      </c>
      <c r="B8" s="8"/>
      <c r="C8" s="8"/>
      <c r="D8" s="8"/>
      <c r="E8" s="8"/>
      <c r="F8" s="6">
        <f>G35</f>
        <v>38.583333333333329</v>
      </c>
      <c r="G8" s="6"/>
      <c r="H8" s="6"/>
    </row>
    <row r="9" spans="1:8" x14ac:dyDescent="0.3">
      <c r="A9" s="8" t="s">
        <v>33</v>
      </c>
      <c r="B9" s="8"/>
      <c r="C9" s="8"/>
      <c r="D9" s="8"/>
      <c r="E9" s="8"/>
      <c r="F9" s="5">
        <f>G40</f>
        <v>1690</v>
      </c>
      <c r="G9" s="5"/>
      <c r="H9" s="5"/>
    </row>
    <row r="10" spans="1:8" x14ac:dyDescent="0.3">
      <c r="A10" s="8" t="s">
        <v>34</v>
      </c>
      <c r="B10" s="8"/>
      <c r="C10" s="8"/>
      <c r="D10" s="8"/>
      <c r="E10" s="8"/>
      <c r="F10" s="6">
        <f>C51</f>
        <v>1034.5833333333333</v>
      </c>
      <c r="G10" s="6"/>
      <c r="H10" s="6"/>
    </row>
    <row r="11" spans="1:8" x14ac:dyDescent="0.3">
      <c r="A11" s="8" t="s">
        <v>35</v>
      </c>
      <c r="B11" s="8"/>
      <c r="C11" s="8"/>
      <c r="D11" s="8"/>
      <c r="E11" s="8"/>
      <c r="F11" s="6">
        <f>B58</f>
        <v>0</v>
      </c>
      <c r="G11" s="6"/>
      <c r="H11" s="6"/>
    </row>
    <row r="12" spans="1:8" x14ac:dyDescent="0.3">
      <c r="A12" s="8" t="s">
        <v>36</v>
      </c>
      <c r="B12" s="8"/>
      <c r="C12" s="8"/>
      <c r="D12" s="8"/>
      <c r="E12" s="8"/>
      <c r="F12" s="6">
        <f>B65</f>
        <v>100</v>
      </c>
      <c r="G12" s="6"/>
      <c r="H12" s="6"/>
    </row>
    <row r="14" spans="1:8" x14ac:dyDescent="0.3">
      <c r="A14" s="9" t="s">
        <v>37</v>
      </c>
      <c r="B14" s="9"/>
      <c r="C14" s="9"/>
      <c r="D14" s="9"/>
      <c r="E14" s="9"/>
      <c r="F14" s="9"/>
      <c r="G14" s="9"/>
      <c r="H14" s="9"/>
    </row>
    <row r="15" spans="1:8" ht="22.35" customHeight="1" x14ac:dyDescent="0.3">
      <c r="A15" s="24" t="s">
        <v>38</v>
      </c>
      <c r="B15" s="24" t="s">
        <v>39</v>
      </c>
      <c r="C15" s="24" t="s">
        <v>40</v>
      </c>
      <c r="D15" s="24" t="s">
        <v>41</v>
      </c>
      <c r="E15" s="24" t="s">
        <v>42</v>
      </c>
      <c r="F15" s="4" t="s">
        <v>43</v>
      </c>
      <c r="G15" s="4"/>
      <c r="H15" s="4"/>
    </row>
    <row r="16" spans="1:8" ht="15" customHeight="1" x14ac:dyDescent="0.3">
      <c r="A16" s="18" t="s">
        <v>181</v>
      </c>
      <c r="B16" s="17" t="s">
        <v>182</v>
      </c>
      <c r="C16" s="25">
        <v>6</v>
      </c>
      <c r="D16" s="26">
        <v>9</v>
      </c>
      <c r="E16" s="27">
        <f t="shared" ref="E16:E23" si="0">C16*D16</f>
        <v>54</v>
      </c>
      <c r="F16" s="3" t="s">
        <v>183</v>
      </c>
      <c r="G16" s="3"/>
      <c r="H16" s="3"/>
    </row>
    <row r="17" spans="1:8" ht="15" customHeight="1" x14ac:dyDescent="0.3">
      <c r="A17" s="18" t="s">
        <v>184</v>
      </c>
      <c r="B17" s="17" t="s">
        <v>185</v>
      </c>
      <c r="C17" s="25">
        <v>50</v>
      </c>
      <c r="D17" s="26">
        <v>0.6</v>
      </c>
      <c r="E17" s="27">
        <f t="shared" si="0"/>
        <v>30</v>
      </c>
      <c r="F17" s="3" t="s">
        <v>186</v>
      </c>
      <c r="G17" s="3"/>
      <c r="H17" s="3"/>
    </row>
    <row r="18" spans="1:8" ht="15" customHeight="1" x14ac:dyDescent="0.3">
      <c r="A18" s="18" t="s">
        <v>187</v>
      </c>
      <c r="B18" s="17" t="s">
        <v>188</v>
      </c>
      <c r="C18" s="25">
        <v>1</v>
      </c>
      <c r="D18" s="26">
        <v>21</v>
      </c>
      <c r="E18" s="27">
        <f t="shared" si="0"/>
        <v>21</v>
      </c>
      <c r="F18" s="3" t="s">
        <v>189</v>
      </c>
      <c r="G18" s="3"/>
      <c r="H18" s="3"/>
    </row>
    <row r="19" spans="1:8" ht="15" customHeight="1" x14ac:dyDescent="0.3">
      <c r="A19" s="18" t="s">
        <v>190</v>
      </c>
      <c r="B19" s="17" t="s">
        <v>185</v>
      </c>
      <c r="C19" s="25">
        <v>100</v>
      </c>
      <c r="D19" s="26">
        <v>5.0000000000000001E-3</v>
      </c>
      <c r="E19" s="27">
        <f t="shared" si="0"/>
        <v>0.5</v>
      </c>
      <c r="F19" s="3" t="s">
        <v>191</v>
      </c>
      <c r="G19" s="3"/>
      <c r="H19" s="3"/>
    </row>
    <row r="20" spans="1:8" ht="15" customHeight="1" x14ac:dyDescent="0.3">
      <c r="A20" s="18" t="s">
        <v>192</v>
      </c>
      <c r="B20" s="17" t="s">
        <v>193</v>
      </c>
      <c r="C20" s="25">
        <v>60</v>
      </c>
      <c r="D20" s="26">
        <v>0.58299999999999996</v>
      </c>
      <c r="E20" s="27">
        <f t="shared" si="0"/>
        <v>34.979999999999997</v>
      </c>
      <c r="F20" s="3" t="s">
        <v>194</v>
      </c>
      <c r="G20" s="3"/>
      <c r="H20" s="3"/>
    </row>
    <row r="21" spans="1:8" ht="15" customHeight="1" x14ac:dyDescent="0.3">
      <c r="A21" s="18" t="s">
        <v>195</v>
      </c>
      <c r="B21" s="17" t="s">
        <v>193</v>
      </c>
      <c r="C21" s="25">
        <v>60</v>
      </c>
      <c r="D21" s="26">
        <v>3.3000000000000002E-2</v>
      </c>
      <c r="E21" s="27">
        <f t="shared" si="0"/>
        <v>1.98</v>
      </c>
      <c r="F21" s="3" t="s">
        <v>196</v>
      </c>
      <c r="G21" s="3"/>
      <c r="H21" s="3"/>
    </row>
    <row r="22" spans="1:8" ht="15" customHeight="1" x14ac:dyDescent="0.3">
      <c r="A22" s="18" t="s">
        <v>197</v>
      </c>
      <c r="B22" s="17" t="s">
        <v>193</v>
      </c>
      <c r="C22" s="25">
        <v>60</v>
      </c>
      <c r="D22" s="26">
        <v>0.1</v>
      </c>
      <c r="E22" s="27">
        <f t="shared" si="0"/>
        <v>6</v>
      </c>
      <c r="F22" s="3" t="s">
        <v>67</v>
      </c>
      <c r="G22" s="3"/>
      <c r="H22" s="3"/>
    </row>
    <row r="23" spans="1:8" ht="15" customHeight="1" x14ac:dyDescent="0.3">
      <c r="A23" s="18" t="s">
        <v>198</v>
      </c>
      <c r="B23" s="17" t="s">
        <v>199</v>
      </c>
      <c r="C23" s="25">
        <v>1</v>
      </c>
      <c r="D23" s="26">
        <v>10</v>
      </c>
      <c r="E23" s="27">
        <f t="shared" si="0"/>
        <v>10</v>
      </c>
      <c r="F23" s="3" t="s">
        <v>67</v>
      </c>
      <c r="G23" s="3"/>
      <c r="H23" s="3"/>
    </row>
    <row r="24" spans="1:8" x14ac:dyDescent="0.3">
      <c r="A24" s="28" t="s">
        <v>54</v>
      </c>
      <c r="B24" s="29"/>
      <c r="C24" s="29"/>
      <c r="D24" s="29"/>
      <c r="E24" s="30">
        <f>SUM(E16:E23)</f>
        <v>158.45999999999998</v>
      </c>
      <c r="F24" s="2"/>
      <c r="G24" s="2"/>
      <c r="H24" s="2"/>
    </row>
    <row r="26" spans="1:8" x14ac:dyDescent="0.3">
      <c r="A26" s="9" t="s">
        <v>55</v>
      </c>
      <c r="B26" s="9"/>
      <c r="C26" s="9"/>
      <c r="D26" s="9"/>
      <c r="E26" s="9"/>
      <c r="F26" s="9"/>
      <c r="G26" s="9"/>
      <c r="H26" s="9"/>
    </row>
    <row r="27" spans="1:8" x14ac:dyDescent="0.3">
      <c r="A27" s="24" t="s">
        <v>56</v>
      </c>
      <c r="B27" s="24" t="s">
        <v>40</v>
      </c>
      <c r="C27" s="24" t="s">
        <v>41</v>
      </c>
      <c r="D27" s="24" t="s">
        <v>57</v>
      </c>
      <c r="E27" s="24" t="s">
        <v>58</v>
      </c>
      <c r="F27" s="24" t="s">
        <v>59</v>
      </c>
      <c r="G27" s="24" t="s">
        <v>60</v>
      </c>
      <c r="H27" s="24" t="s">
        <v>61</v>
      </c>
    </row>
    <row r="28" spans="1:8" x14ac:dyDescent="0.3">
      <c r="A28" s="18" t="s">
        <v>200</v>
      </c>
      <c r="B28" s="31">
        <v>1</v>
      </c>
      <c r="C28" s="32">
        <v>715</v>
      </c>
      <c r="D28" s="33">
        <f t="shared" ref="D28:D34" si="1">B28*C28</f>
        <v>715</v>
      </c>
      <c r="E28" s="31">
        <v>5</v>
      </c>
      <c r="F28" s="33">
        <f t="shared" ref="F28:F34" si="2">IFERROR(D28/E28,0)</f>
        <v>143</v>
      </c>
      <c r="G28" s="27">
        <f t="shared" ref="G28:G34" si="3">F28/12</f>
        <v>11.916666666666666</v>
      </c>
      <c r="H28" s="34" t="s">
        <v>201</v>
      </c>
    </row>
    <row r="29" spans="1:8" x14ac:dyDescent="0.3">
      <c r="A29" s="18" t="s">
        <v>202</v>
      </c>
      <c r="B29" s="31">
        <v>1</v>
      </c>
      <c r="C29" s="32">
        <v>300</v>
      </c>
      <c r="D29" s="33">
        <f t="shared" si="1"/>
        <v>300</v>
      </c>
      <c r="E29" s="31">
        <v>5</v>
      </c>
      <c r="F29" s="33">
        <f t="shared" si="2"/>
        <v>60</v>
      </c>
      <c r="G29" s="27">
        <f t="shared" si="3"/>
        <v>5</v>
      </c>
      <c r="H29" s="34" t="s">
        <v>67</v>
      </c>
    </row>
    <row r="30" spans="1:8" x14ac:dyDescent="0.3">
      <c r="A30" s="18" t="s">
        <v>203</v>
      </c>
      <c r="B30" s="31">
        <v>1</v>
      </c>
      <c r="C30" s="32">
        <v>500</v>
      </c>
      <c r="D30" s="33">
        <f t="shared" si="1"/>
        <v>500</v>
      </c>
      <c r="E30" s="31">
        <v>5</v>
      </c>
      <c r="F30" s="33">
        <f t="shared" si="2"/>
        <v>100</v>
      </c>
      <c r="G30" s="27">
        <f t="shared" si="3"/>
        <v>8.3333333333333339</v>
      </c>
      <c r="H30" s="34" t="s">
        <v>204</v>
      </c>
    </row>
    <row r="31" spans="1:8" x14ac:dyDescent="0.3">
      <c r="A31" s="18" t="s">
        <v>205</v>
      </c>
      <c r="B31" s="31">
        <v>1</v>
      </c>
      <c r="C31" s="32">
        <v>200</v>
      </c>
      <c r="D31" s="33">
        <f t="shared" si="1"/>
        <v>200</v>
      </c>
      <c r="E31" s="31">
        <v>5</v>
      </c>
      <c r="F31" s="33">
        <f t="shared" si="2"/>
        <v>40</v>
      </c>
      <c r="G31" s="27">
        <f t="shared" si="3"/>
        <v>3.3333333333333335</v>
      </c>
      <c r="H31" s="34" t="s">
        <v>67</v>
      </c>
    </row>
    <row r="32" spans="1:8" x14ac:dyDescent="0.3">
      <c r="A32" s="18" t="s">
        <v>206</v>
      </c>
      <c r="B32" s="31">
        <v>1</v>
      </c>
      <c r="C32" s="32">
        <v>200</v>
      </c>
      <c r="D32" s="33">
        <f t="shared" si="1"/>
        <v>200</v>
      </c>
      <c r="E32" s="31">
        <v>5</v>
      </c>
      <c r="F32" s="33">
        <f t="shared" si="2"/>
        <v>40</v>
      </c>
      <c r="G32" s="27">
        <f t="shared" si="3"/>
        <v>3.3333333333333335</v>
      </c>
      <c r="H32" s="34" t="s">
        <v>67</v>
      </c>
    </row>
    <row r="33" spans="1:8" x14ac:dyDescent="0.3">
      <c r="A33" s="18" t="s">
        <v>207</v>
      </c>
      <c r="B33" s="31">
        <v>1</v>
      </c>
      <c r="C33" s="32">
        <v>100</v>
      </c>
      <c r="D33" s="33">
        <f t="shared" si="1"/>
        <v>100</v>
      </c>
      <c r="E33" s="31">
        <v>5</v>
      </c>
      <c r="F33" s="33">
        <f t="shared" si="2"/>
        <v>20</v>
      </c>
      <c r="G33" s="27">
        <f t="shared" si="3"/>
        <v>1.6666666666666667</v>
      </c>
      <c r="H33" s="34" t="s">
        <v>67</v>
      </c>
    </row>
    <row r="34" spans="1:8" x14ac:dyDescent="0.3">
      <c r="A34" s="18" t="s">
        <v>208</v>
      </c>
      <c r="B34" s="31">
        <v>1</v>
      </c>
      <c r="C34" s="32">
        <v>300</v>
      </c>
      <c r="D34" s="33">
        <f t="shared" si="1"/>
        <v>300</v>
      </c>
      <c r="E34" s="31">
        <v>5</v>
      </c>
      <c r="F34" s="33">
        <f t="shared" si="2"/>
        <v>60</v>
      </c>
      <c r="G34" s="27">
        <f t="shared" si="3"/>
        <v>5</v>
      </c>
      <c r="H34" s="34" t="s">
        <v>67</v>
      </c>
    </row>
    <row r="35" spans="1:8" x14ac:dyDescent="0.3">
      <c r="A35" s="28" t="s">
        <v>68</v>
      </c>
      <c r="B35" s="29"/>
      <c r="C35" s="29"/>
      <c r="D35" s="35">
        <f>SUM(D28:D34)</f>
        <v>2315</v>
      </c>
      <c r="E35" s="29"/>
      <c r="F35" s="35">
        <f>SUM(F28:F34)</f>
        <v>463</v>
      </c>
      <c r="G35" s="30">
        <f>SUM(G28:G34)</f>
        <v>38.583333333333329</v>
      </c>
      <c r="H35" s="29"/>
    </row>
    <row r="37" spans="1:8" x14ac:dyDescent="0.3">
      <c r="A37" s="9" t="s">
        <v>69</v>
      </c>
      <c r="B37" s="9"/>
      <c r="C37" s="9"/>
      <c r="D37" s="9"/>
      <c r="E37" s="9"/>
      <c r="F37" s="9"/>
      <c r="G37" s="9"/>
      <c r="H37" s="9"/>
    </row>
    <row r="38" spans="1:8" x14ac:dyDescent="0.3">
      <c r="A38" s="24" t="s">
        <v>70</v>
      </c>
      <c r="B38" s="24" t="s">
        <v>40</v>
      </c>
      <c r="C38" s="24" t="s">
        <v>71</v>
      </c>
      <c r="D38" s="24" t="s">
        <v>72</v>
      </c>
      <c r="E38" s="24" t="s">
        <v>73</v>
      </c>
      <c r="F38" s="24" t="s">
        <v>74</v>
      </c>
      <c r="G38" s="24" t="s">
        <v>75</v>
      </c>
      <c r="H38" s="24" t="s">
        <v>76</v>
      </c>
    </row>
    <row r="39" spans="1:8" ht="22.8" x14ac:dyDescent="0.3">
      <c r="A39" s="18" t="s">
        <v>209</v>
      </c>
      <c r="B39" s="31">
        <v>1</v>
      </c>
      <c r="C39" s="34" t="s">
        <v>210</v>
      </c>
      <c r="D39" s="32">
        <v>1300</v>
      </c>
      <c r="E39" s="36">
        <v>0.3</v>
      </c>
      <c r="F39" s="33">
        <f>D39*E39</f>
        <v>390</v>
      </c>
      <c r="G39" s="33">
        <f>(D39+F39)*B39</f>
        <v>1690</v>
      </c>
      <c r="H39" s="33">
        <f>G39*12</f>
        <v>20280</v>
      </c>
    </row>
    <row r="40" spans="1:8" x14ac:dyDescent="0.3">
      <c r="A40" s="28" t="s">
        <v>79</v>
      </c>
      <c r="B40" s="29"/>
      <c r="C40" s="29"/>
      <c r="D40" s="29"/>
      <c r="E40" s="29"/>
      <c r="F40" s="29"/>
      <c r="G40" s="35">
        <f>SUM(G39:G39)</f>
        <v>1690</v>
      </c>
      <c r="H40" s="35">
        <f>SUM(H39:H39)</f>
        <v>20280</v>
      </c>
    </row>
    <row r="41" spans="1:8" x14ac:dyDescent="0.3">
      <c r="A41" s="1" t="s">
        <v>80</v>
      </c>
      <c r="B41" s="1"/>
      <c r="C41" s="1"/>
      <c r="D41" s="1"/>
      <c r="E41" s="1"/>
      <c r="F41" s="1"/>
      <c r="G41" s="1"/>
      <c r="H41" s="1"/>
    </row>
    <row r="43" spans="1:8" x14ac:dyDescent="0.3">
      <c r="A43" s="9" t="s">
        <v>81</v>
      </c>
      <c r="B43" s="9"/>
      <c r="C43" s="9"/>
      <c r="D43" s="9"/>
      <c r="E43" s="9"/>
      <c r="F43" s="9"/>
      <c r="G43" s="9"/>
      <c r="H43" s="9"/>
    </row>
    <row r="44" spans="1:8" ht="15" customHeight="1" x14ac:dyDescent="0.3">
      <c r="A44" s="24" t="s">
        <v>82</v>
      </c>
      <c r="B44" s="24" t="s">
        <v>83</v>
      </c>
      <c r="C44" s="24" t="s">
        <v>84</v>
      </c>
      <c r="D44" s="4" t="s">
        <v>61</v>
      </c>
      <c r="E44" s="4"/>
      <c r="F44" s="4"/>
      <c r="G44" s="4"/>
      <c r="H44" s="4"/>
    </row>
    <row r="45" spans="1:8" ht="15" customHeight="1" x14ac:dyDescent="0.3">
      <c r="A45" s="18" t="s">
        <v>211</v>
      </c>
      <c r="B45" s="37" t="s">
        <v>212</v>
      </c>
      <c r="C45" s="26">
        <v>900</v>
      </c>
      <c r="D45" s="3" t="s">
        <v>67</v>
      </c>
      <c r="E45" s="3"/>
      <c r="F45" s="3"/>
      <c r="G45" s="3"/>
      <c r="H45" s="3"/>
    </row>
    <row r="46" spans="1:8" ht="15" customHeight="1" x14ac:dyDescent="0.3">
      <c r="A46" s="18" t="s">
        <v>213</v>
      </c>
      <c r="B46" s="37" t="s">
        <v>214</v>
      </c>
      <c r="C46" s="26">
        <v>6</v>
      </c>
      <c r="D46" s="3" t="s">
        <v>215</v>
      </c>
      <c r="E46" s="3"/>
      <c r="F46" s="3"/>
      <c r="G46" s="3"/>
      <c r="H46" s="3"/>
    </row>
    <row r="47" spans="1:8" ht="15" customHeight="1" x14ac:dyDescent="0.3">
      <c r="A47" s="18" t="s">
        <v>216</v>
      </c>
      <c r="B47" s="37" t="s">
        <v>214</v>
      </c>
      <c r="C47" s="26">
        <v>40</v>
      </c>
      <c r="D47" s="3" t="s">
        <v>217</v>
      </c>
      <c r="E47" s="3"/>
      <c r="F47" s="3"/>
      <c r="G47" s="3"/>
      <c r="H47" s="3"/>
    </row>
    <row r="48" spans="1:8" ht="15" customHeight="1" x14ac:dyDescent="0.3">
      <c r="A48" s="18" t="s">
        <v>218</v>
      </c>
      <c r="B48" s="37" t="s">
        <v>89</v>
      </c>
      <c r="C48" s="26">
        <v>20</v>
      </c>
      <c r="D48" s="3" t="s">
        <v>67</v>
      </c>
      <c r="E48" s="3"/>
      <c r="F48" s="3"/>
      <c r="G48" s="3"/>
      <c r="H48" s="3"/>
    </row>
    <row r="49" spans="1:8" ht="15" customHeight="1" x14ac:dyDescent="0.3">
      <c r="A49" s="18" t="s">
        <v>219</v>
      </c>
      <c r="B49" s="37" t="s">
        <v>89</v>
      </c>
      <c r="C49" s="26">
        <v>30</v>
      </c>
      <c r="D49" s="3" t="s">
        <v>67</v>
      </c>
      <c r="E49" s="3"/>
      <c r="F49" s="3"/>
      <c r="G49" s="3"/>
      <c r="H49" s="3"/>
    </row>
    <row r="50" spans="1:8" ht="15" customHeight="1" x14ac:dyDescent="0.3">
      <c r="A50" s="18" t="s">
        <v>98</v>
      </c>
      <c r="B50" s="37"/>
      <c r="C50" s="38">
        <f>G35</f>
        <v>38.583333333333329</v>
      </c>
      <c r="D50" s="3" t="s">
        <v>99</v>
      </c>
      <c r="E50" s="3"/>
      <c r="F50" s="3"/>
      <c r="G50" s="3"/>
      <c r="H50" s="3"/>
    </row>
    <row r="51" spans="1:8" x14ac:dyDescent="0.3">
      <c r="A51" s="28" t="s">
        <v>100</v>
      </c>
      <c r="B51" s="29"/>
      <c r="C51" s="30">
        <f>SUM(C45:C50)</f>
        <v>1034.5833333333333</v>
      </c>
      <c r="D51" s="2"/>
      <c r="E51" s="2"/>
      <c r="F51" s="2"/>
      <c r="G51" s="2"/>
      <c r="H51" s="2"/>
    </row>
    <row r="53" spans="1:8" x14ac:dyDescent="0.3">
      <c r="A53" s="9" t="s">
        <v>101</v>
      </c>
      <c r="B53" s="9"/>
      <c r="C53" s="9"/>
      <c r="D53" s="9"/>
      <c r="E53" s="9"/>
      <c r="F53" s="9"/>
      <c r="G53" s="9"/>
      <c r="H53" s="9"/>
    </row>
    <row r="54" spans="1:8" ht="15" customHeight="1" x14ac:dyDescent="0.3">
      <c r="A54" s="24" t="s">
        <v>82</v>
      </c>
      <c r="B54" s="24" t="s">
        <v>84</v>
      </c>
      <c r="C54" s="4" t="s">
        <v>61</v>
      </c>
      <c r="D54" s="4"/>
      <c r="E54" s="4"/>
      <c r="F54" s="4"/>
      <c r="G54" s="4"/>
      <c r="H54" s="4"/>
    </row>
    <row r="55" spans="1:8" ht="15" customHeight="1" x14ac:dyDescent="0.3">
      <c r="A55" s="18" t="s">
        <v>102</v>
      </c>
      <c r="B55" s="39">
        <v>0</v>
      </c>
      <c r="C55" s="3" t="s">
        <v>103</v>
      </c>
      <c r="D55" s="3"/>
      <c r="E55" s="3"/>
      <c r="F55" s="3"/>
      <c r="G55" s="3"/>
      <c r="H55" s="3"/>
    </row>
    <row r="56" spans="1:8" ht="15" customHeight="1" x14ac:dyDescent="0.3">
      <c r="A56" s="18" t="s">
        <v>220</v>
      </c>
      <c r="B56" s="39">
        <v>0</v>
      </c>
      <c r="C56" s="3" t="s">
        <v>103</v>
      </c>
      <c r="D56" s="3"/>
      <c r="E56" s="3"/>
      <c r="F56" s="3"/>
      <c r="G56" s="3"/>
      <c r="H56" s="3"/>
    </row>
    <row r="57" spans="1:8" ht="15" customHeight="1" x14ac:dyDescent="0.3">
      <c r="A57" s="18" t="s">
        <v>106</v>
      </c>
      <c r="B57" s="39">
        <v>0</v>
      </c>
      <c r="C57" s="3" t="s">
        <v>103</v>
      </c>
      <c r="D57" s="3"/>
      <c r="E57" s="3"/>
      <c r="F57" s="3"/>
      <c r="G57" s="3"/>
      <c r="H57" s="3"/>
    </row>
    <row r="58" spans="1:8" x14ac:dyDescent="0.3">
      <c r="A58" s="28" t="s">
        <v>107</v>
      </c>
      <c r="B58" s="30">
        <f>SUM(B55:B57)</f>
        <v>0</v>
      </c>
      <c r="C58" s="2"/>
      <c r="D58" s="2"/>
      <c r="E58" s="2"/>
      <c r="F58" s="2"/>
      <c r="G58" s="2"/>
      <c r="H58" s="2"/>
    </row>
    <row r="60" spans="1:8" x14ac:dyDescent="0.3">
      <c r="A60" s="9" t="s">
        <v>108</v>
      </c>
      <c r="B60" s="9"/>
      <c r="C60" s="9"/>
      <c r="D60" s="9"/>
      <c r="E60" s="9"/>
      <c r="F60" s="9"/>
      <c r="G60" s="9"/>
      <c r="H60" s="9"/>
    </row>
    <row r="61" spans="1:8" ht="15" customHeight="1" x14ac:dyDescent="0.3">
      <c r="A61" s="24" t="s">
        <v>82</v>
      </c>
      <c r="B61" s="24" t="s">
        <v>84</v>
      </c>
      <c r="C61" s="4" t="s">
        <v>61</v>
      </c>
      <c r="D61" s="4"/>
      <c r="E61" s="4"/>
      <c r="F61" s="4"/>
      <c r="G61" s="4"/>
      <c r="H61" s="4"/>
    </row>
    <row r="62" spans="1:8" ht="15" customHeight="1" x14ac:dyDescent="0.3">
      <c r="A62" s="18" t="s">
        <v>109</v>
      </c>
      <c r="B62" s="26">
        <v>100</v>
      </c>
      <c r="C62" s="3" t="s">
        <v>110</v>
      </c>
      <c r="D62" s="3"/>
      <c r="E62" s="3"/>
      <c r="F62" s="3"/>
      <c r="G62" s="3"/>
      <c r="H62" s="3"/>
    </row>
    <row r="63" spans="1:8" ht="15" customHeight="1" x14ac:dyDescent="0.3">
      <c r="A63" s="18" t="s">
        <v>221</v>
      </c>
      <c r="B63" s="39">
        <v>0</v>
      </c>
      <c r="C63" s="3" t="s">
        <v>103</v>
      </c>
      <c r="D63" s="3"/>
      <c r="E63" s="3"/>
      <c r="F63" s="3"/>
      <c r="G63" s="3"/>
      <c r="H63" s="3"/>
    </row>
    <row r="64" spans="1:8" ht="15" customHeight="1" x14ac:dyDescent="0.3">
      <c r="A64" s="18" t="s">
        <v>222</v>
      </c>
      <c r="B64" s="39">
        <v>0</v>
      </c>
      <c r="C64" s="3" t="s">
        <v>103</v>
      </c>
      <c r="D64" s="3"/>
      <c r="E64" s="3"/>
      <c r="F64" s="3"/>
      <c r="G64" s="3"/>
      <c r="H64" s="3"/>
    </row>
    <row r="65" spans="1:8" x14ac:dyDescent="0.3">
      <c r="A65" s="28" t="s">
        <v>112</v>
      </c>
      <c r="B65" s="30">
        <f>SUM(B62:B64)</f>
        <v>100</v>
      </c>
      <c r="C65" s="2"/>
      <c r="D65" s="2"/>
      <c r="E65" s="2"/>
      <c r="F65" s="2"/>
      <c r="G65" s="2"/>
      <c r="H65" s="2"/>
    </row>
  </sheetData>
  <mergeCells count="54">
    <mergeCell ref="C64:H64"/>
    <mergeCell ref="C65:H65"/>
    <mergeCell ref="C58:H58"/>
    <mergeCell ref="A60:H60"/>
    <mergeCell ref="C61:H61"/>
    <mergeCell ref="C62:H62"/>
    <mergeCell ref="C63:H63"/>
    <mergeCell ref="A53:H53"/>
    <mergeCell ref="C54:H54"/>
    <mergeCell ref="C55:H55"/>
    <mergeCell ref="C56:H56"/>
    <mergeCell ref="C57:H57"/>
    <mergeCell ref="D47:H47"/>
    <mergeCell ref="D48:H48"/>
    <mergeCell ref="D49:H49"/>
    <mergeCell ref="D50:H50"/>
    <mergeCell ref="D51:H51"/>
    <mergeCell ref="A41:H41"/>
    <mergeCell ref="A43:H43"/>
    <mergeCell ref="D44:H44"/>
    <mergeCell ref="D45:H45"/>
    <mergeCell ref="D46:H46"/>
    <mergeCell ref="F22:H22"/>
    <mergeCell ref="F23:H23"/>
    <mergeCell ref="F24:H24"/>
    <mergeCell ref="A26:H26"/>
    <mergeCell ref="A37:H37"/>
    <mergeCell ref="F17:H17"/>
    <mergeCell ref="F18:H18"/>
    <mergeCell ref="F19:H19"/>
    <mergeCell ref="F20:H20"/>
    <mergeCell ref="F21:H21"/>
    <mergeCell ref="A12:E12"/>
    <mergeCell ref="F12:H12"/>
    <mergeCell ref="A14:H14"/>
    <mergeCell ref="F15:H15"/>
    <mergeCell ref="F16:H16"/>
    <mergeCell ref="A9:E9"/>
    <mergeCell ref="F9:H9"/>
    <mergeCell ref="A10:E10"/>
    <mergeCell ref="F10:H10"/>
    <mergeCell ref="A11:E11"/>
    <mergeCell ref="F11:H11"/>
    <mergeCell ref="A6:E6"/>
    <mergeCell ref="F6:H6"/>
    <mergeCell ref="A7:E7"/>
    <mergeCell ref="F7:H7"/>
    <mergeCell ref="A8:E8"/>
    <mergeCell ref="F8:H8"/>
    <mergeCell ref="A1:H1"/>
    <mergeCell ref="A2:H2"/>
    <mergeCell ref="A4:H4"/>
    <mergeCell ref="A5:E5"/>
    <mergeCell ref="F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9"/>
  <sheetViews>
    <sheetView showGridLines="0" zoomScaleNormal="100" workbookViewId="0">
      <pane ySplit="3" topLeftCell="A13" activePane="bottomLeft" state="frozen"/>
      <selection pane="bottomLeft" activeCell="F17" sqref="F17:H17"/>
    </sheetView>
  </sheetViews>
  <sheetFormatPr baseColWidth="10" defaultColWidth="8.6640625" defaultRowHeight="14.4" x14ac:dyDescent="0.3"/>
  <cols>
    <col min="1" max="1" width="38" customWidth="1"/>
    <col min="2" max="3" width="16" customWidth="1"/>
    <col min="4" max="4" width="20" customWidth="1"/>
    <col min="5" max="5" width="16" customWidth="1"/>
    <col min="6" max="7" width="20" customWidth="1"/>
    <col min="8" max="8" width="30" customWidth="1"/>
  </cols>
  <sheetData>
    <row r="1" spans="1:8" ht="25.5" customHeight="1" x14ac:dyDescent="0.3">
      <c r="A1" s="11" t="s">
        <v>223</v>
      </c>
      <c r="B1" s="11"/>
      <c r="C1" s="11"/>
      <c r="D1" s="11"/>
      <c r="E1" s="11"/>
      <c r="F1" s="11"/>
      <c r="G1" s="11"/>
      <c r="H1" s="11"/>
    </row>
    <row r="2" spans="1:8" x14ac:dyDescent="0.3">
      <c r="A2" s="10" t="s">
        <v>224</v>
      </c>
      <c r="B2" s="10"/>
      <c r="C2" s="10"/>
      <c r="D2" s="10"/>
      <c r="E2" s="10"/>
      <c r="F2" s="10"/>
      <c r="G2" s="10"/>
      <c r="H2" s="10"/>
    </row>
    <row r="4" spans="1:8" x14ac:dyDescent="0.3">
      <c r="A4" s="9" t="s">
        <v>28</v>
      </c>
      <c r="B4" s="9"/>
      <c r="C4" s="9"/>
      <c r="D4" s="9"/>
      <c r="E4" s="9"/>
      <c r="F4" s="9"/>
      <c r="G4" s="9"/>
      <c r="H4" s="9"/>
    </row>
    <row r="5" spans="1:8" x14ac:dyDescent="0.3">
      <c r="A5" s="8" t="s">
        <v>29</v>
      </c>
      <c r="B5" s="8"/>
      <c r="C5" s="8"/>
      <c r="D5" s="8"/>
      <c r="E5" s="8"/>
      <c r="F5" s="7">
        <v>40</v>
      </c>
      <c r="G5" s="7"/>
      <c r="H5" s="7"/>
    </row>
    <row r="6" spans="1:8" x14ac:dyDescent="0.3">
      <c r="A6" s="8" t="s">
        <v>30</v>
      </c>
      <c r="B6" s="8"/>
      <c r="C6" s="8"/>
      <c r="D6" s="8"/>
      <c r="E6" s="8"/>
      <c r="F6" s="6">
        <f>E22</f>
        <v>5.61</v>
      </c>
      <c r="G6" s="6"/>
      <c r="H6" s="6"/>
    </row>
    <row r="7" spans="1:8" x14ac:dyDescent="0.3">
      <c r="A7" s="8" t="s">
        <v>31</v>
      </c>
      <c r="B7" s="8"/>
      <c r="C7" s="8"/>
      <c r="D7" s="8"/>
      <c r="E7" s="8"/>
      <c r="F7" s="5">
        <f>D30</f>
        <v>2050</v>
      </c>
      <c r="G7" s="5"/>
      <c r="H7" s="5"/>
    </row>
    <row r="8" spans="1:8" x14ac:dyDescent="0.3">
      <c r="A8" s="8" t="s">
        <v>32</v>
      </c>
      <c r="B8" s="8"/>
      <c r="C8" s="8"/>
      <c r="D8" s="8"/>
      <c r="E8" s="8"/>
      <c r="F8" s="6">
        <f>G30</f>
        <v>31.666666666666668</v>
      </c>
      <c r="G8" s="6"/>
      <c r="H8" s="6"/>
    </row>
    <row r="9" spans="1:8" x14ac:dyDescent="0.3">
      <c r="A9" s="8" t="s">
        <v>33</v>
      </c>
      <c r="B9" s="8"/>
      <c r="C9" s="8"/>
      <c r="D9" s="8"/>
      <c r="E9" s="8"/>
      <c r="F9" s="5">
        <f>G35</f>
        <v>1690</v>
      </c>
      <c r="G9" s="5"/>
      <c r="H9" s="5"/>
    </row>
    <row r="10" spans="1:8" x14ac:dyDescent="0.3">
      <c r="A10" s="8" t="s">
        <v>34</v>
      </c>
      <c r="B10" s="8"/>
      <c r="C10" s="8"/>
      <c r="D10" s="8"/>
      <c r="E10" s="8"/>
      <c r="F10" s="6">
        <f>C45</f>
        <v>1036.6666666666667</v>
      </c>
      <c r="G10" s="6"/>
      <c r="H10" s="6"/>
    </row>
    <row r="11" spans="1:8" x14ac:dyDescent="0.3">
      <c r="A11" s="8" t="s">
        <v>35</v>
      </c>
      <c r="B11" s="8"/>
      <c r="C11" s="8"/>
      <c r="D11" s="8"/>
      <c r="E11" s="8"/>
      <c r="F11" s="6">
        <f>B52</f>
        <v>0</v>
      </c>
      <c r="G11" s="6"/>
      <c r="H11" s="6"/>
    </row>
    <row r="12" spans="1:8" x14ac:dyDescent="0.3">
      <c r="A12" s="8" t="s">
        <v>36</v>
      </c>
      <c r="B12" s="8"/>
      <c r="C12" s="8"/>
      <c r="D12" s="8"/>
      <c r="E12" s="8"/>
      <c r="F12" s="6">
        <f>B59</f>
        <v>125</v>
      </c>
      <c r="G12" s="6"/>
      <c r="H12" s="6"/>
    </row>
    <row r="14" spans="1:8" x14ac:dyDescent="0.3">
      <c r="A14" s="9" t="s">
        <v>37</v>
      </c>
      <c r="B14" s="9"/>
      <c r="C14" s="9"/>
      <c r="D14" s="9"/>
      <c r="E14" s="9"/>
      <c r="F14" s="9"/>
      <c r="G14" s="9"/>
      <c r="H14" s="9"/>
    </row>
    <row r="15" spans="1:8" ht="22.35" customHeight="1" x14ac:dyDescent="0.3">
      <c r="A15" s="24" t="s">
        <v>38</v>
      </c>
      <c r="B15" s="24" t="s">
        <v>39</v>
      </c>
      <c r="C15" s="24" t="s">
        <v>40</v>
      </c>
      <c r="D15" s="24" t="s">
        <v>41</v>
      </c>
      <c r="E15" s="24" t="s">
        <v>42</v>
      </c>
      <c r="F15" s="4" t="s">
        <v>43</v>
      </c>
      <c r="G15" s="4"/>
      <c r="H15" s="4"/>
    </row>
    <row r="16" spans="1:8" ht="15" customHeight="1" x14ac:dyDescent="0.3">
      <c r="A16" s="18" t="s">
        <v>225</v>
      </c>
      <c r="B16" s="17" t="s">
        <v>185</v>
      </c>
      <c r="C16" s="25">
        <v>50</v>
      </c>
      <c r="D16" s="26">
        <v>8.5000000000000006E-2</v>
      </c>
      <c r="E16" s="27">
        <f t="shared" ref="E16:E21" si="0">C16*D16</f>
        <v>4.25</v>
      </c>
      <c r="F16" s="3" t="s">
        <v>226</v>
      </c>
      <c r="G16" s="3"/>
      <c r="H16" s="3"/>
    </row>
    <row r="17" spans="1:8" ht="15" customHeight="1" x14ac:dyDescent="0.3">
      <c r="A17" s="18" t="s">
        <v>227</v>
      </c>
      <c r="B17" s="17" t="s">
        <v>185</v>
      </c>
      <c r="C17" s="25">
        <v>30</v>
      </c>
      <c r="D17" s="26">
        <v>1.4999999999999999E-2</v>
      </c>
      <c r="E17" s="27">
        <f t="shared" si="0"/>
        <v>0.44999999999999996</v>
      </c>
      <c r="F17" s="3" t="s">
        <v>228</v>
      </c>
      <c r="G17" s="3"/>
      <c r="H17" s="3"/>
    </row>
    <row r="18" spans="1:8" ht="15" customHeight="1" x14ac:dyDescent="0.3">
      <c r="A18" s="18" t="s">
        <v>229</v>
      </c>
      <c r="B18" s="17" t="s">
        <v>185</v>
      </c>
      <c r="C18" s="25">
        <v>60</v>
      </c>
      <c r="D18" s="26">
        <v>3.5000000000000001E-3</v>
      </c>
      <c r="E18" s="27">
        <f t="shared" si="0"/>
        <v>0.21</v>
      </c>
      <c r="F18" s="3" t="s">
        <v>230</v>
      </c>
      <c r="G18" s="3"/>
      <c r="H18" s="3"/>
    </row>
    <row r="19" spans="1:8" ht="15" customHeight="1" x14ac:dyDescent="0.3">
      <c r="A19" s="18" t="s">
        <v>231</v>
      </c>
      <c r="B19" s="17" t="s">
        <v>232</v>
      </c>
      <c r="C19" s="25">
        <v>1</v>
      </c>
      <c r="D19" s="26">
        <v>0.05</v>
      </c>
      <c r="E19" s="27">
        <f t="shared" si="0"/>
        <v>0.05</v>
      </c>
      <c r="F19" s="3" t="s">
        <v>233</v>
      </c>
      <c r="G19" s="3"/>
      <c r="H19" s="3"/>
    </row>
    <row r="20" spans="1:8" ht="15" customHeight="1" x14ac:dyDescent="0.3">
      <c r="A20" s="18" t="s">
        <v>234</v>
      </c>
      <c r="B20" s="17" t="s">
        <v>185</v>
      </c>
      <c r="C20" s="25">
        <v>10</v>
      </c>
      <c r="D20" s="26">
        <v>1.4999999999999999E-2</v>
      </c>
      <c r="E20" s="27">
        <f t="shared" si="0"/>
        <v>0.15</v>
      </c>
      <c r="F20" s="3" t="s">
        <v>235</v>
      </c>
      <c r="G20" s="3"/>
      <c r="H20" s="3"/>
    </row>
    <row r="21" spans="1:8" ht="15" customHeight="1" x14ac:dyDescent="0.3">
      <c r="A21" s="18" t="s">
        <v>236</v>
      </c>
      <c r="B21" s="17" t="s">
        <v>232</v>
      </c>
      <c r="C21" s="25">
        <v>1</v>
      </c>
      <c r="D21" s="26">
        <v>0.5</v>
      </c>
      <c r="E21" s="27">
        <f t="shared" si="0"/>
        <v>0.5</v>
      </c>
      <c r="F21" s="3" t="s">
        <v>67</v>
      </c>
      <c r="G21" s="3"/>
      <c r="H21" s="3"/>
    </row>
    <row r="22" spans="1:8" x14ac:dyDescent="0.3">
      <c r="A22" s="28" t="s">
        <v>54</v>
      </c>
      <c r="B22" s="29"/>
      <c r="C22" s="29"/>
      <c r="D22" s="29"/>
      <c r="E22" s="30">
        <f>SUM(E16:E21)</f>
        <v>5.61</v>
      </c>
      <c r="F22" s="2"/>
      <c r="G22" s="2"/>
      <c r="H22" s="2"/>
    </row>
    <row r="24" spans="1:8" x14ac:dyDescent="0.3">
      <c r="A24" s="9" t="s">
        <v>55</v>
      </c>
      <c r="B24" s="9"/>
      <c r="C24" s="9"/>
      <c r="D24" s="9"/>
      <c r="E24" s="9"/>
      <c r="F24" s="9"/>
      <c r="G24" s="9"/>
      <c r="H24" s="9"/>
    </row>
    <row r="25" spans="1:8" x14ac:dyDescent="0.3">
      <c r="A25" s="24" t="s">
        <v>56</v>
      </c>
      <c r="B25" s="24" t="s">
        <v>40</v>
      </c>
      <c r="C25" s="24" t="s">
        <v>41</v>
      </c>
      <c r="D25" s="24" t="s">
        <v>57</v>
      </c>
      <c r="E25" s="24" t="s">
        <v>58</v>
      </c>
      <c r="F25" s="24" t="s">
        <v>59</v>
      </c>
      <c r="G25" s="24" t="s">
        <v>60</v>
      </c>
      <c r="H25" s="24" t="s">
        <v>61</v>
      </c>
    </row>
    <row r="26" spans="1:8" x14ac:dyDescent="0.3">
      <c r="A26" s="18" t="s">
        <v>237</v>
      </c>
      <c r="B26" s="31">
        <v>1</v>
      </c>
      <c r="C26" s="32">
        <v>1600</v>
      </c>
      <c r="D26" s="33">
        <f>B26*C26</f>
        <v>1600</v>
      </c>
      <c r="E26" s="31">
        <v>5</v>
      </c>
      <c r="F26" s="33">
        <f>IFERROR(D26/E26,0)</f>
        <v>320</v>
      </c>
      <c r="G26" s="27">
        <f>F26/12</f>
        <v>26.666666666666668</v>
      </c>
      <c r="H26" s="34" t="s">
        <v>238</v>
      </c>
    </row>
    <row r="27" spans="1:8" x14ac:dyDescent="0.3">
      <c r="A27" s="18" t="s">
        <v>239</v>
      </c>
      <c r="B27" s="31">
        <v>1</v>
      </c>
      <c r="C27" s="32">
        <v>100</v>
      </c>
      <c r="D27" s="33">
        <f>B27*C27</f>
        <v>100</v>
      </c>
      <c r="E27" s="31">
        <v>5</v>
      </c>
      <c r="F27" s="33">
        <f>IFERROR(D27/E27,0)</f>
        <v>20</v>
      </c>
      <c r="G27" s="27">
        <f>F27/12</f>
        <v>1.6666666666666667</v>
      </c>
      <c r="H27" s="34" t="s">
        <v>67</v>
      </c>
    </row>
    <row r="28" spans="1:8" x14ac:dyDescent="0.3">
      <c r="A28" s="18" t="s">
        <v>240</v>
      </c>
      <c r="B28" s="31">
        <v>1</v>
      </c>
      <c r="C28" s="32">
        <v>300</v>
      </c>
      <c r="D28" s="33">
        <f>B28*C28</f>
        <v>300</v>
      </c>
      <c r="E28" s="31">
        <v>10</v>
      </c>
      <c r="F28" s="33">
        <f>IFERROR(D28/E28,0)</f>
        <v>30</v>
      </c>
      <c r="G28" s="27">
        <f>F28/12</f>
        <v>2.5</v>
      </c>
      <c r="H28" s="34" t="s">
        <v>67</v>
      </c>
    </row>
    <row r="29" spans="1:8" x14ac:dyDescent="0.3">
      <c r="A29" s="18" t="s">
        <v>241</v>
      </c>
      <c r="B29" s="31">
        <v>1</v>
      </c>
      <c r="C29" s="32">
        <v>50</v>
      </c>
      <c r="D29" s="33">
        <f>B29*C29</f>
        <v>50</v>
      </c>
      <c r="E29" s="31">
        <v>5</v>
      </c>
      <c r="F29" s="33">
        <f>IFERROR(D29/E29,0)</f>
        <v>10</v>
      </c>
      <c r="G29" s="27">
        <f>F29/12</f>
        <v>0.83333333333333337</v>
      </c>
      <c r="H29" s="34" t="s">
        <v>67</v>
      </c>
    </row>
    <row r="30" spans="1:8" x14ac:dyDescent="0.3">
      <c r="A30" s="28" t="s">
        <v>68</v>
      </c>
      <c r="B30" s="29"/>
      <c r="C30" s="29"/>
      <c r="D30" s="35">
        <f>SUM(D26:D29)</f>
        <v>2050</v>
      </c>
      <c r="E30" s="29"/>
      <c r="F30" s="35">
        <f>SUM(F26:F29)</f>
        <v>380</v>
      </c>
      <c r="G30" s="30">
        <f>SUM(G26:G29)</f>
        <v>31.666666666666668</v>
      </c>
      <c r="H30" s="29"/>
    </row>
    <row r="32" spans="1:8" x14ac:dyDescent="0.3">
      <c r="A32" s="9" t="s">
        <v>69</v>
      </c>
      <c r="B32" s="9"/>
      <c r="C32" s="9"/>
      <c r="D32" s="9"/>
      <c r="E32" s="9"/>
      <c r="F32" s="9"/>
      <c r="G32" s="9"/>
      <c r="H32" s="9"/>
    </row>
    <row r="33" spans="1:8" x14ac:dyDescent="0.3">
      <c r="A33" s="24" t="s">
        <v>70</v>
      </c>
      <c r="B33" s="24" t="s">
        <v>40</v>
      </c>
      <c r="C33" s="24" t="s">
        <v>71</v>
      </c>
      <c r="D33" s="24" t="s">
        <v>72</v>
      </c>
      <c r="E33" s="24" t="s">
        <v>73</v>
      </c>
      <c r="F33" s="24" t="s">
        <v>74</v>
      </c>
      <c r="G33" s="24" t="s">
        <v>75</v>
      </c>
      <c r="H33" s="24" t="s">
        <v>76</v>
      </c>
    </row>
    <row r="34" spans="1:8" ht="34.200000000000003" x14ac:dyDescent="0.3">
      <c r="A34" s="18" t="s">
        <v>242</v>
      </c>
      <c r="B34" s="31">
        <v>1</v>
      </c>
      <c r="C34" s="34" t="s">
        <v>243</v>
      </c>
      <c r="D34" s="32">
        <v>1300</v>
      </c>
      <c r="E34" s="36">
        <v>0.3</v>
      </c>
      <c r="F34" s="33">
        <f>D34*E34</f>
        <v>390</v>
      </c>
      <c r="G34" s="33">
        <f>(D34+F34)*B34</f>
        <v>1690</v>
      </c>
      <c r="H34" s="33">
        <f>G34*12</f>
        <v>20280</v>
      </c>
    </row>
    <row r="35" spans="1:8" x14ac:dyDescent="0.3">
      <c r="A35" s="28" t="s">
        <v>79</v>
      </c>
      <c r="B35" s="29"/>
      <c r="C35" s="29"/>
      <c r="D35" s="29"/>
      <c r="E35" s="29"/>
      <c r="F35" s="29"/>
      <c r="G35" s="35">
        <f>SUM(G34:G34)</f>
        <v>1690</v>
      </c>
      <c r="H35" s="35">
        <f>SUM(H34:H34)</f>
        <v>20280</v>
      </c>
    </row>
    <row r="36" spans="1:8" x14ac:dyDescent="0.3">
      <c r="A36" s="1" t="s">
        <v>80</v>
      </c>
      <c r="B36" s="1"/>
      <c r="C36" s="1"/>
      <c r="D36" s="1"/>
      <c r="E36" s="1"/>
      <c r="F36" s="1"/>
      <c r="G36" s="1"/>
      <c r="H36" s="1"/>
    </row>
    <row r="38" spans="1:8" x14ac:dyDescent="0.3">
      <c r="A38" s="9" t="s">
        <v>81</v>
      </c>
      <c r="B38" s="9"/>
      <c r="C38" s="9"/>
      <c r="D38" s="9"/>
      <c r="E38" s="9"/>
      <c r="F38" s="9"/>
      <c r="G38" s="9"/>
      <c r="H38" s="9"/>
    </row>
    <row r="39" spans="1:8" ht="15" customHeight="1" x14ac:dyDescent="0.3">
      <c r="A39" s="24" t="s">
        <v>82</v>
      </c>
      <c r="B39" s="24" t="s">
        <v>83</v>
      </c>
      <c r="C39" s="24" t="s">
        <v>84</v>
      </c>
      <c r="D39" s="4" t="s">
        <v>61</v>
      </c>
      <c r="E39" s="4"/>
      <c r="F39" s="4"/>
      <c r="G39" s="4"/>
      <c r="H39" s="4"/>
    </row>
    <row r="40" spans="1:8" ht="15" customHeight="1" x14ac:dyDescent="0.3">
      <c r="A40" s="18" t="s">
        <v>244</v>
      </c>
      <c r="B40" s="37" t="s">
        <v>245</v>
      </c>
      <c r="C40" s="26">
        <v>900</v>
      </c>
      <c r="D40" s="3" t="s">
        <v>67</v>
      </c>
      <c r="E40" s="3"/>
      <c r="F40" s="3"/>
      <c r="G40" s="3"/>
      <c r="H40" s="3"/>
    </row>
    <row r="41" spans="1:8" ht="15" customHeight="1" x14ac:dyDescent="0.3">
      <c r="A41" s="18" t="s">
        <v>246</v>
      </c>
      <c r="B41" s="37" t="s">
        <v>89</v>
      </c>
      <c r="C41" s="26">
        <v>70</v>
      </c>
      <c r="D41" s="3" t="s">
        <v>247</v>
      </c>
      <c r="E41" s="3"/>
      <c r="F41" s="3"/>
      <c r="G41" s="3"/>
      <c r="H41" s="3"/>
    </row>
    <row r="42" spans="1:8" ht="15" customHeight="1" x14ac:dyDescent="0.3">
      <c r="A42" s="18" t="s">
        <v>218</v>
      </c>
      <c r="B42" s="37" t="s">
        <v>89</v>
      </c>
      <c r="C42" s="26">
        <v>5</v>
      </c>
      <c r="D42" s="3" t="s">
        <v>67</v>
      </c>
      <c r="E42" s="3"/>
      <c r="F42" s="3"/>
      <c r="G42" s="3"/>
      <c r="H42" s="3"/>
    </row>
    <row r="43" spans="1:8" ht="15" customHeight="1" x14ac:dyDescent="0.3">
      <c r="A43" s="18" t="s">
        <v>248</v>
      </c>
      <c r="B43" s="37" t="s">
        <v>89</v>
      </c>
      <c r="C43" s="26">
        <v>30</v>
      </c>
      <c r="D43" s="3" t="s">
        <v>67</v>
      </c>
      <c r="E43" s="3"/>
      <c r="F43" s="3"/>
      <c r="G43" s="3"/>
      <c r="H43" s="3"/>
    </row>
    <row r="44" spans="1:8" ht="15" customHeight="1" x14ac:dyDescent="0.3">
      <c r="A44" s="18" t="s">
        <v>98</v>
      </c>
      <c r="B44" s="37"/>
      <c r="C44" s="38">
        <f>G30</f>
        <v>31.666666666666668</v>
      </c>
      <c r="D44" s="3" t="s">
        <v>99</v>
      </c>
      <c r="E44" s="3"/>
      <c r="F44" s="3"/>
      <c r="G44" s="3"/>
      <c r="H44" s="3"/>
    </row>
    <row r="45" spans="1:8" x14ac:dyDescent="0.3">
      <c r="A45" s="28" t="s">
        <v>100</v>
      </c>
      <c r="B45" s="29"/>
      <c r="C45" s="30">
        <f>SUM(C40:C44)</f>
        <v>1036.6666666666667</v>
      </c>
      <c r="D45" s="2"/>
      <c r="E45" s="2"/>
      <c r="F45" s="2"/>
      <c r="G45" s="2"/>
      <c r="H45" s="2"/>
    </row>
    <row r="47" spans="1:8" x14ac:dyDescent="0.3">
      <c r="A47" s="9" t="s">
        <v>101</v>
      </c>
      <c r="B47" s="9"/>
      <c r="C47" s="9"/>
      <c r="D47" s="9"/>
      <c r="E47" s="9"/>
      <c r="F47" s="9"/>
      <c r="G47" s="9"/>
      <c r="H47" s="9"/>
    </row>
    <row r="48" spans="1:8" ht="15" customHeight="1" x14ac:dyDescent="0.3">
      <c r="A48" s="24" t="s">
        <v>82</v>
      </c>
      <c r="B48" s="24" t="s">
        <v>84</v>
      </c>
      <c r="C48" s="4" t="s">
        <v>61</v>
      </c>
      <c r="D48" s="4"/>
      <c r="E48" s="4"/>
      <c r="F48" s="4"/>
      <c r="G48" s="4"/>
      <c r="H48" s="4"/>
    </row>
    <row r="49" spans="1:8" ht="15" customHeight="1" x14ac:dyDescent="0.3">
      <c r="A49" s="18" t="s">
        <v>102</v>
      </c>
      <c r="B49" s="39">
        <v>0</v>
      </c>
      <c r="C49" s="3" t="s">
        <v>103</v>
      </c>
      <c r="D49" s="3"/>
      <c r="E49" s="3"/>
      <c r="F49" s="3"/>
      <c r="G49" s="3"/>
      <c r="H49" s="3"/>
    </row>
    <row r="50" spans="1:8" ht="15" customHeight="1" x14ac:dyDescent="0.3">
      <c r="A50" s="18" t="s">
        <v>220</v>
      </c>
      <c r="B50" s="39">
        <v>0</v>
      </c>
      <c r="C50" s="3" t="s">
        <v>103</v>
      </c>
      <c r="D50" s="3"/>
      <c r="E50" s="3"/>
      <c r="F50" s="3"/>
      <c r="G50" s="3"/>
      <c r="H50" s="3"/>
    </row>
    <row r="51" spans="1:8" ht="15" customHeight="1" x14ac:dyDescent="0.3">
      <c r="A51" s="18" t="s">
        <v>106</v>
      </c>
      <c r="B51" s="39">
        <v>0</v>
      </c>
      <c r="C51" s="3" t="s">
        <v>103</v>
      </c>
      <c r="D51" s="3"/>
      <c r="E51" s="3"/>
      <c r="F51" s="3"/>
      <c r="G51" s="3"/>
      <c r="H51" s="3"/>
    </row>
    <row r="52" spans="1:8" x14ac:dyDescent="0.3">
      <c r="A52" s="28" t="s">
        <v>107</v>
      </c>
      <c r="B52" s="30">
        <f>SUM(B49:B51)</f>
        <v>0</v>
      </c>
      <c r="C52" s="2"/>
      <c r="D52" s="2"/>
      <c r="E52" s="2"/>
      <c r="F52" s="2"/>
      <c r="G52" s="2"/>
      <c r="H52" s="2"/>
    </row>
    <row r="54" spans="1:8" x14ac:dyDescent="0.3">
      <c r="A54" s="9" t="s">
        <v>108</v>
      </c>
      <c r="B54" s="9"/>
      <c r="C54" s="9"/>
      <c r="D54" s="9"/>
      <c r="E54" s="9"/>
      <c r="F54" s="9"/>
      <c r="G54" s="9"/>
      <c r="H54" s="9"/>
    </row>
    <row r="55" spans="1:8" ht="15" customHeight="1" x14ac:dyDescent="0.3">
      <c r="A55" s="24" t="s">
        <v>82</v>
      </c>
      <c r="B55" s="24" t="s">
        <v>84</v>
      </c>
      <c r="C55" s="4" t="s">
        <v>61</v>
      </c>
      <c r="D55" s="4"/>
      <c r="E55" s="4"/>
      <c r="F55" s="4"/>
      <c r="G55" s="4"/>
      <c r="H55" s="4"/>
    </row>
    <row r="56" spans="1:8" ht="15" customHeight="1" x14ac:dyDescent="0.3">
      <c r="A56" s="18" t="s">
        <v>249</v>
      </c>
      <c r="B56" s="26">
        <v>100</v>
      </c>
      <c r="C56" s="3" t="s">
        <v>110</v>
      </c>
      <c r="D56" s="3"/>
      <c r="E56" s="3"/>
      <c r="F56" s="3"/>
      <c r="G56" s="3"/>
      <c r="H56" s="3"/>
    </row>
    <row r="57" spans="1:8" ht="15" customHeight="1" x14ac:dyDescent="0.3">
      <c r="A57" s="18" t="s">
        <v>250</v>
      </c>
      <c r="B57" s="26">
        <f>300/12</f>
        <v>25</v>
      </c>
      <c r="C57" s="3" t="s">
        <v>251</v>
      </c>
      <c r="D57" s="3"/>
      <c r="E57" s="3"/>
      <c r="F57" s="3"/>
      <c r="G57" s="3"/>
      <c r="H57" s="3"/>
    </row>
    <row r="58" spans="1:8" ht="15" customHeight="1" x14ac:dyDescent="0.3">
      <c r="A58" s="18" t="s">
        <v>222</v>
      </c>
      <c r="B58" s="39">
        <v>0</v>
      </c>
      <c r="C58" s="3" t="s">
        <v>103</v>
      </c>
      <c r="D58" s="3"/>
      <c r="E58" s="3"/>
      <c r="F58" s="3"/>
      <c r="G58" s="3"/>
      <c r="H58" s="3"/>
    </row>
    <row r="59" spans="1:8" x14ac:dyDescent="0.3">
      <c r="A59" s="28" t="s">
        <v>112</v>
      </c>
      <c r="B59" s="30">
        <f>SUM(B56:B58)</f>
        <v>125</v>
      </c>
      <c r="C59" s="2"/>
      <c r="D59" s="2"/>
      <c r="E59" s="2"/>
      <c r="F59" s="2"/>
      <c r="G59" s="2"/>
      <c r="H59" s="2"/>
    </row>
  </sheetData>
  <mergeCells count="51">
    <mergeCell ref="C56:H56"/>
    <mergeCell ref="C57:H57"/>
    <mergeCell ref="C58:H58"/>
    <mergeCell ref="C59:H59"/>
    <mergeCell ref="C50:H50"/>
    <mergeCell ref="C51:H51"/>
    <mergeCell ref="C52:H52"/>
    <mergeCell ref="A54:H54"/>
    <mergeCell ref="C55:H55"/>
    <mergeCell ref="D44:H44"/>
    <mergeCell ref="D45:H45"/>
    <mergeCell ref="A47:H47"/>
    <mergeCell ref="C48:H48"/>
    <mergeCell ref="C49:H49"/>
    <mergeCell ref="D39:H39"/>
    <mergeCell ref="D40:H40"/>
    <mergeCell ref="D41:H41"/>
    <mergeCell ref="D42:H42"/>
    <mergeCell ref="D43:H43"/>
    <mergeCell ref="F22:H22"/>
    <mergeCell ref="A24:H24"/>
    <mergeCell ref="A32:H32"/>
    <mergeCell ref="A36:H36"/>
    <mergeCell ref="A38:H38"/>
    <mergeCell ref="F17:H17"/>
    <mergeCell ref="F18:H18"/>
    <mergeCell ref="F19:H19"/>
    <mergeCell ref="F20:H20"/>
    <mergeCell ref="F21:H21"/>
    <mergeCell ref="A12:E12"/>
    <mergeCell ref="F12:H12"/>
    <mergeCell ref="A14:H14"/>
    <mergeCell ref="F15:H15"/>
    <mergeCell ref="F16:H16"/>
    <mergeCell ref="A9:E9"/>
    <mergeCell ref="F9:H9"/>
    <mergeCell ref="A10:E10"/>
    <mergeCell ref="F10:H10"/>
    <mergeCell ref="A11:E11"/>
    <mergeCell ref="F11:H11"/>
    <mergeCell ref="A6:E6"/>
    <mergeCell ref="F6:H6"/>
    <mergeCell ref="A7:E7"/>
    <mergeCell ref="F7:H7"/>
    <mergeCell ref="A8:E8"/>
    <mergeCell ref="F8:H8"/>
    <mergeCell ref="A1:H1"/>
    <mergeCell ref="A2:H2"/>
    <mergeCell ref="A4:H4"/>
    <mergeCell ref="A5:E5"/>
    <mergeCell ref="F5:H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Guía</vt:lpstr>
      <vt:lpstr>1. Revelado de Fotos</vt:lpstr>
      <vt:lpstr>2. Pijamas</vt:lpstr>
      <vt:lpstr>3. Curso de Guión</vt:lpstr>
      <vt:lpstr>4. Cerveza Artesanal</vt:lpstr>
      <vt:lpstr>5. Chocolate Blanco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2026-09-15T10:53:05Z</dcterms:created>
  <dcterms:modified xsi:type="dcterms:W3CDTF">2026-09-15T13:44:05Z</dcterms:modified>
  <dc:language>en-US</dc:language>
</cp:coreProperties>
</file>