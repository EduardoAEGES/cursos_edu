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SEMANA 5\"/>
    </mc:Choice>
  </mc:AlternateContent>
  <xr:revisionPtr revIDLastSave="0" documentId="13_ncr:1_{24BF6FE8-2C3E-4CD8-A241-BB823CF95D0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ESION 5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1" i="1" l="1"/>
  <c r="D107" i="1" s="1"/>
  <c r="D95" i="1"/>
  <c r="D96" i="1" s="1"/>
  <c r="D106" i="1" s="1"/>
  <c r="D90" i="1"/>
  <c r="D89" i="1"/>
  <c r="D88" i="1"/>
  <c r="D91" i="1" s="1"/>
  <c r="D105" i="1" s="1"/>
  <c r="D71" i="1"/>
  <c r="D77" i="1" s="1"/>
  <c r="D64" i="1"/>
  <c r="D65" i="1" s="1"/>
  <c r="D76" i="1" s="1"/>
  <c r="D78" i="1" s="1"/>
  <c r="D80" i="1" s="1"/>
  <c r="D47" i="1"/>
  <c r="D53" i="1" s="1"/>
  <c r="D40" i="1"/>
  <c r="D41" i="1" s="1"/>
  <c r="D52" i="1" s="1"/>
  <c r="D54" i="1" s="1"/>
  <c r="D56" i="1" s="1"/>
  <c r="D23" i="1"/>
  <c r="D29" i="1" s="1"/>
  <c r="D16" i="1"/>
  <c r="D17" i="1" s="1"/>
  <c r="D28" i="1" s="1"/>
  <c r="D11" i="1"/>
  <c r="D10" i="1"/>
  <c r="D9" i="1"/>
  <c r="D12" i="1" l="1"/>
  <c r="D27" i="1" s="1"/>
  <c r="D30" i="1" s="1"/>
  <c r="D32" i="1" s="1"/>
  <c r="D108" i="1"/>
  <c r="D110" i="1" s="1"/>
</calcChain>
</file>

<file path=xl/sharedStrings.xml><?xml version="1.0" encoding="utf-8"?>
<sst xmlns="http://schemas.openxmlformats.org/spreadsheetml/2006/main" count="126" uniqueCount="55">
  <si>
    <t>ANÁLISIS DE COSTOS Y PRESUPUESTOS — SESIÓN 5</t>
  </si>
  <si>
    <t>CASOS PRÁCTICOS: DETERMINACIÓN DEL COSTO DE SERVICIOS</t>
  </si>
  <si>
    <t>CASO 1 — Estudio Fotográfico "Kodak Misti" E.I.R.L. — Revelado e impresión de fotografías</t>
  </si>
  <si>
    <t>El estudio revela e imprime fotografías digitales en Arequipa. Un cliente encarga la impresión de un lote de 200 fotografías digitales en tamaño 10x15 cm. Se determina el costo total del pedido y el costo unitario por fotografía.</t>
  </si>
  <si>
    <t>Insumos directos del servicio</t>
  </si>
  <si>
    <t>Concepto</t>
  </si>
  <si>
    <t>Cantidad</t>
  </si>
  <si>
    <t>Costo unitario (S/)</t>
  </si>
  <si>
    <t>Importe (S/)</t>
  </si>
  <si>
    <t>Papel fotográfico 10x15 cm</t>
  </si>
  <si>
    <t>Tinta y consumibles de impresión (lote)</t>
  </si>
  <si>
    <t>Sobres y fundas protectoras</t>
  </si>
  <si>
    <t>Subtotal insumos directos</t>
  </si>
  <si>
    <t>Mano de obra directa</t>
  </si>
  <si>
    <t>Horas</t>
  </si>
  <si>
    <t>Tarifa por hora (S/)</t>
  </si>
  <si>
    <t>Técnico de revelado e impresión</t>
  </si>
  <si>
    <t>Subtotal mano de obra directa</t>
  </si>
  <si>
    <t>Costos indirectos del servicio (CIF) aplicados</t>
  </si>
  <si>
    <t>Base de prorrateo</t>
  </si>
  <si>
    <t>Energía eléctrica de equipos de impresión</t>
  </si>
  <si>
    <t>Prorrateo del pedido</t>
  </si>
  <si>
    <t>Depreciación de la impresora fotográfica</t>
  </si>
  <si>
    <t>Subtotal costos indirectos (CIF)</t>
  </si>
  <si>
    <t>DETERMINACIÓN DEL COSTO DEL SERVICIO</t>
  </si>
  <si>
    <t>Insumos directos</t>
  </si>
  <si>
    <t>Costos indirectos (CIF)</t>
  </si>
  <si>
    <t>COSTO TOTAL DEL SERVICIO</t>
  </si>
  <si>
    <t>Unidades del pedido (fotografías)</t>
  </si>
  <si>
    <t>COSTO UNITARIO DEL SERVICIO</t>
  </si>
  <si>
    <t>CASO 2 — Instituto Virtual "SaberMás" — Dictado de un curso en línea</t>
  </si>
  <si>
    <t>El instituto dicta cursos virtuales en vivo. Se costea el dictado del curso "Excel Intermedio", de 20 horas, con 30 alumnos matriculados. Al ser un servicio 100% digital, no existen insumos directos.</t>
  </si>
  <si>
    <t>Honorario del docente del curso</t>
  </si>
  <si>
    <t>Licencia de plataforma virtual (aula y videoconferencia)</t>
  </si>
  <si>
    <t>Prorrateo del curso</t>
  </si>
  <si>
    <t>Internet y energía eléctrica del instructor</t>
  </si>
  <si>
    <t>Insumos directos (no aplica: servicio sin insumos físicos)</t>
  </si>
  <si>
    <t>Alumnos matriculados en el curso</t>
  </si>
  <si>
    <t>CASO 3 — Ramírez &amp; Consultores S.A.C. — Asesoría contable y tributaria</t>
  </si>
  <si>
    <t>La firma brinda asesoría contable a empresas de Arequipa. Se costea una asesoría puntual sobre declaración anual de renta para un cliente, con 8 horas de trabajo profesional. Es un servicio profesional, por lo que no existen insumos directos.</t>
  </si>
  <si>
    <t>Honorario del contador senior a cargo</t>
  </si>
  <si>
    <t>Alquiler de oficina (prorrateo por hora de asesoría)</t>
  </si>
  <si>
    <t>Prorrateo de 8 horas</t>
  </si>
  <si>
    <t>Depreciación de equipo de cómputo y útiles</t>
  </si>
  <si>
    <t>Prorrateo del servicio</t>
  </si>
  <si>
    <t>Horas de asesoría prestadas</t>
  </si>
  <si>
    <t>CASO 4 — AutoBrillo Arequipa E.I.R.L. — Lavado y encerado de vehículos</t>
  </si>
  <si>
    <t>El taller lava y encera vehículos ligeros. Se costea un lote de 15 vehículos atendidos en un día con el servicio completo (lavado exterior, interior y encerado).</t>
  </si>
  <si>
    <t>Shampoo automotriz biodegradable</t>
  </si>
  <si>
    <t>Cera para encerado</t>
  </si>
  <si>
    <t>Paños de microfibra y aromatizante</t>
  </si>
  <si>
    <t>Operarios de lavado (2 operarios x 4 horas)</t>
  </si>
  <si>
    <t>Agua y energía eléctrica del local</t>
  </si>
  <si>
    <t>Prorrateo del lote del día</t>
  </si>
  <si>
    <t>Vehículos atendidos en el 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</si>
</sst>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#,##0.00"/>
  </numFmts>
  <fonts count="7" x14ac:knownFonts="1">
    <font>
      <sz val="11"/>
      <color theme="1"/>
      <name val="Calibri"/>
      <family val="2"/>
      <charset val="1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CE4E4"/>
      </patternFill>
    </fill>
    <fill>
      <patternFill patternType="solid">
        <fgColor rgb="FFFFFFFF"/>
        <bgColor rgb="FFF2F2F2"/>
      </patternFill>
    </fill>
    <fill>
      <patternFill patternType="solid">
        <fgColor rgb="FFFCE4E4"/>
        <bgColor rgb="FFF2F2F2"/>
      </patternFill>
    </fill>
    <fill>
      <patternFill patternType="solid">
        <fgColor rgb="FFFFFF00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/>
    <xf numFmtId="164" fontId="3" fillId="5" borderId="1" xfId="0" applyNumberFormat="1" applyFont="1" applyFill="1" applyBorder="1"/>
    <xf numFmtId="164" fontId="1" fillId="5" borderId="1" xfId="0" applyNumberFormat="1" applyFont="1" applyFill="1" applyBorder="1"/>
    <xf numFmtId="0" fontId="1" fillId="5" borderId="1" xfId="0" applyFont="1" applyFill="1" applyBorder="1"/>
    <xf numFmtId="164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showGridLines="0" tabSelected="1" zoomScaleNormal="100" workbookViewId="0">
      <selection activeCell="D16" sqref="D16"/>
    </sheetView>
  </sheetViews>
  <sheetFormatPr baseColWidth="10" defaultColWidth="8.6640625" defaultRowHeight="13.8" x14ac:dyDescent="0.3"/>
  <cols>
    <col min="1" max="1" width="46" style="7" customWidth="1"/>
    <col min="2" max="2" width="22" style="7" customWidth="1"/>
    <col min="3" max="4" width="18" style="7" customWidth="1"/>
    <col min="5" max="16384" width="8.6640625" style="7"/>
  </cols>
  <sheetData>
    <row r="1" spans="1:5" x14ac:dyDescent="0.3">
      <c r="A1" s="6" t="s">
        <v>0</v>
      </c>
    </row>
    <row r="2" spans="1:5" x14ac:dyDescent="0.3">
      <c r="A2" s="6" t="s">
        <v>1</v>
      </c>
    </row>
    <row r="3" spans="1:5" x14ac:dyDescent="0.3">
      <c r="A3" s="8"/>
      <c r="B3" s="8"/>
      <c r="C3" s="8"/>
      <c r="D3" s="8"/>
      <c r="E3" s="8"/>
    </row>
    <row r="4" spans="1:5" ht="14.4" x14ac:dyDescent="0.3">
      <c r="A4" s="10" t="s">
        <v>2</v>
      </c>
    </row>
    <row r="5" spans="1:5" x14ac:dyDescent="0.3">
      <c r="A5" s="9" t="s">
        <v>3</v>
      </c>
      <c r="B5" s="9"/>
      <c r="C5" s="9"/>
      <c r="D5" s="9"/>
      <c r="E5" s="9"/>
    </row>
    <row r="6" spans="1:5" x14ac:dyDescent="0.3">
      <c r="A6" s="9"/>
      <c r="B6" s="9"/>
      <c r="C6" s="9"/>
      <c r="D6" s="9"/>
      <c r="E6" s="9"/>
    </row>
    <row r="7" spans="1:5" x14ac:dyDescent="0.3">
      <c r="A7" s="6" t="s">
        <v>4</v>
      </c>
    </row>
    <row r="8" spans="1:5" x14ac:dyDescent="0.3">
      <c r="A8" s="1" t="s">
        <v>5</v>
      </c>
      <c r="B8" s="1" t="s">
        <v>6</v>
      </c>
      <c r="C8" s="1" t="s">
        <v>7</v>
      </c>
      <c r="D8" s="1" t="s">
        <v>8</v>
      </c>
    </row>
    <row r="9" spans="1:5" x14ac:dyDescent="0.3">
      <c r="A9" s="2" t="s">
        <v>9</v>
      </c>
      <c r="B9" s="2">
        <v>200</v>
      </c>
      <c r="C9" s="3">
        <v>0.35</v>
      </c>
      <c r="D9" s="12">
        <f>B9*C9</f>
        <v>70</v>
      </c>
    </row>
    <row r="10" spans="1:5" x14ac:dyDescent="0.3">
      <c r="A10" s="2" t="s">
        <v>10</v>
      </c>
      <c r="B10" s="2">
        <v>1</v>
      </c>
      <c r="C10" s="3">
        <v>45</v>
      </c>
      <c r="D10" s="12">
        <f>B10*C10</f>
        <v>45</v>
      </c>
    </row>
    <row r="11" spans="1:5" x14ac:dyDescent="0.3">
      <c r="A11" s="2" t="s">
        <v>11</v>
      </c>
      <c r="B11" s="2">
        <v>200</v>
      </c>
      <c r="C11" s="3">
        <v>0.1</v>
      </c>
      <c r="D11" s="12">
        <f>B11*C11</f>
        <v>20</v>
      </c>
    </row>
    <row r="12" spans="1:5" x14ac:dyDescent="0.3">
      <c r="A12" s="4" t="s">
        <v>12</v>
      </c>
      <c r="B12" s="4"/>
      <c r="C12" s="4"/>
      <c r="D12" s="11">
        <f>SUM(D9:D11)</f>
        <v>135</v>
      </c>
    </row>
    <row r="14" spans="1:5" x14ac:dyDescent="0.3">
      <c r="A14" s="6" t="s">
        <v>13</v>
      </c>
    </row>
    <row r="15" spans="1:5" x14ac:dyDescent="0.3">
      <c r="A15" s="1" t="s">
        <v>5</v>
      </c>
      <c r="B15" s="1" t="s">
        <v>14</v>
      </c>
      <c r="C15" s="1" t="s">
        <v>15</v>
      </c>
      <c r="D15" s="1" t="s">
        <v>8</v>
      </c>
    </row>
    <row r="16" spans="1:5" x14ac:dyDescent="0.3">
      <c r="A16" s="2" t="s">
        <v>16</v>
      </c>
      <c r="B16" s="2">
        <v>2</v>
      </c>
      <c r="C16" s="3">
        <v>15</v>
      </c>
      <c r="D16" s="12">
        <f>B16*C16</f>
        <v>30</v>
      </c>
    </row>
    <row r="17" spans="1:4" x14ac:dyDescent="0.3">
      <c r="A17" s="4" t="s">
        <v>17</v>
      </c>
      <c r="B17" s="4"/>
      <c r="C17" s="4"/>
      <c r="D17" s="5">
        <f>SUM(D16:D16)</f>
        <v>30</v>
      </c>
    </row>
    <row r="19" spans="1:4" x14ac:dyDescent="0.3">
      <c r="A19" s="6" t="s">
        <v>18</v>
      </c>
    </row>
    <row r="20" spans="1:4" x14ac:dyDescent="0.3">
      <c r="A20" s="1" t="s">
        <v>5</v>
      </c>
      <c r="B20" s="1" t="s">
        <v>19</v>
      </c>
      <c r="C20" s="1"/>
      <c r="D20" s="1" t="s">
        <v>8</v>
      </c>
    </row>
    <row r="21" spans="1:4" x14ac:dyDescent="0.3">
      <c r="A21" s="2" t="s">
        <v>20</v>
      </c>
      <c r="B21" s="2" t="s">
        <v>21</v>
      </c>
      <c r="C21" s="2"/>
      <c r="D21" s="3">
        <v>15</v>
      </c>
    </row>
    <row r="22" spans="1:4" x14ac:dyDescent="0.3">
      <c r="A22" s="2" t="s">
        <v>22</v>
      </c>
      <c r="B22" s="2" t="s">
        <v>21</v>
      </c>
      <c r="C22" s="2"/>
      <c r="D22" s="3">
        <v>10</v>
      </c>
    </row>
    <row r="23" spans="1:4" x14ac:dyDescent="0.3">
      <c r="A23" s="4" t="s">
        <v>23</v>
      </c>
      <c r="B23" s="4"/>
      <c r="C23" s="4"/>
      <c r="D23" s="11">
        <f>SUM(D21:D22)</f>
        <v>25</v>
      </c>
    </row>
    <row r="25" spans="1:4" x14ac:dyDescent="0.3">
      <c r="A25" s="6" t="s">
        <v>24</v>
      </c>
    </row>
    <row r="26" spans="1:4" x14ac:dyDescent="0.3">
      <c r="A26" s="1" t="s">
        <v>5</v>
      </c>
      <c r="B26" s="1"/>
      <c r="C26" s="1"/>
      <c r="D26" s="1" t="s">
        <v>8</v>
      </c>
    </row>
    <row r="27" spans="1:4" x14ac:dyDescent="0.3">
      <c r="A27" s="2" t="s">
        <v>25</v>
      </c>
      <c r="D27" s="12">
        <f>D12</f>
        <v>135</v>
      </c>
    </row>
    <row r="28" spans="1:4" x14ac:dyDescent="0.3">
      <c r="A28" s="2" t="s">
        <v>13</v>
      </c>
      <c r="D28" s="12">
        <f>D17</f>
        <v>30</v>
      </c>
    </row>
    <row r="29" spans="1:4" x14ac:dyDescent="0.3">
      <c r="A29" s="2" t="s">
        <v>26</v>
      </c>
      <c r="D29" s="12">
        <f>D23</f>
        <v>25</v>
      </c>
    </row>
    <row r="30" spans="1:4" x14ac:dyDescent="0.3">
      <c r="A30" s="4" t="s">
        <v>27</v>
      </c>
      <c r="D30" s="11">
        <f>SUM(D27:D29)</f>
        <v>190</v>
      </c>
    </row>
    <row r="31" spans="1:4" x14ac:dyDescent="0.3">
      <c r="A31" s="2" t="s">
        <v>28</v>
      </c>
      <c r="D31" s="13">
        <v>200</v>
      </c>
    </row>
    <row r="32" spans="1:4" x14ac:dyDescent="0.3">
      <c r="A32" s="4" t="s">
        <v>29</v>
      </c>
      <c r="D32" s="11">
        <f>D30/D31</f>
        <v>0.95</v>
      </c>
    </row>
    <row r="35" spans="1:5" ht="14.4" x14ac:dyDescent="0.3">
      <c r="A35" s="10" t="s">
        <v>30</v>
      </c>
    </row>
    <row r="36" spans="1:5" x14ac:dyDescent="0.3">
      <c r="A36" s="9" t="s">
        <v>31</v>
      </c>
      <c r="B36" s="9"/>
      <c r="C36" s="9"/>
      <c r="D36" s="9"/>
      <c r="E36" s="9"/>
    </row>
    <row r="37" spans="1:5" x14ac:dyDescent="0.3">
      <c r="A37" s="9"/>
      <c r="B37" s="9"/>
      <c r="C37" s="9"/>
      <c r="D37" s="9"/>
      <c r="E37" s="9"/>
    </row>
    <row r="38" spans="1:5" x14ac:dyDescent="0.3">
      <c r="A38" s="6" t="s">
        <v>13</v>
      </c>
    </row>
    <row r="39" spans="1:5" x14ac:dyDescent="0.3">
      <c r="A39" s="1" t="s">
        <v>5</v>
      </c>
      <c r="B39" s="1" t="s">
        <v>14</v>
      </c>
      <c r="C39" s="1" t="s">
        <v>15</v>
      </c>
      <c r="D39" s="1" t="s">
        <v>8</v>
      </c>
    </row>
    <row r="40" spans="1:5" x14ac:dyDescent="0.3">
      <c r="A40" s="2" t="s">
        <v>32</v>
      </c>
      <c r="B40" s="2">
        <v>20</v>
      </c>
      <c r="C40" s="3">
        <v>60</v>
      </c>
      <c r="D40" s="12">
        <f>B40*C40</f>
        <v>1200</v>
      </c>
    </row>
    <row r="41" spans="1:5" x14ac:dyDescent="0.3">
      <c r="A41" s="4" t="s">
        <v>17</v>
      </c>
      <c r="B41" s="4"/>
      <c r="C41" s="4"/>
      <c r="D41" s="11">
        <f>SUM(D40:D40)</f>
        <v>1200</v>
      </c>
    </row>
    <row r="43" spans="1:5" x14ac:dyDescent="0.3">
      <c r="A43" s="6" t="s">
        <v>18</v>
      </c>
    </row>
    <row r="44" spans="1:5" x14ac:dyDescent="0.3">
      <c r="A44" s="1" t="s">
        <v>5</v>
      </c>
      <c r="B44" s="1" t="s">
        <v>19</v>
      </c>
      <c r="C44" s="1"/>
      <c r="D44" s="1" t="s">
        <v>8</v>
      </c>
    </row>
    <row r="45" spans="1:5" x14ac:dyDescent="0.3">
      <c r="A45" s="2" t="s">
        <v>33</v>
      </c>
      <c r="B45" s="2" t="s">
        <v>34</v>
      </c>
      <c r="C45" s="2"/>
      <c r="D45" s="14">
        <v>180</v>
      </c>
    </row>
    <row r="46" spans="1:5" x14ac:dyDescent="0.3">
      <c r="A46" s="2" t="s">
        <v>35</v>
      </c>
      <c r="B46" s="2" t="s">
        <v>34</v>
      </c>
      <c r="C46" s="2"/>
      <c r="D46" s="14">
        <v>60</v>
      </c>
    </row>
    <row r="47" spans="1:5" x14ac:dyDescent="0.3">
      <c r="A47" s="4" t="s">
        <v>23</v>
      </c>
      <c r="B47" s="4"/>
      <c r="C47" s="4"/>
      <c r="D47" s="11">
        <f>SUM(D45:D46)</f>
        <v>240</v>
      </c>
    </row>
    <row r="49" spans="1:5" x14ac:dyDescent="0.3">
      <c r="A49" s="6" t="s">
        <v>24</v>
      </c>
    </row>
    <row r="50" spans="1:5" x14ac:dyDescent="0.3">
      <c r="A50" s="1" t="s">
        <v>5</v>
      </c>
      <c r="B50" s="1"/>
      <c r="C50" s="1"/>
      <c r="D50" s="1" t="s">
        <v>8</v>
      </c>
    </row>
    <row r="51" spans="1:5" x14ac:dyDescent="0.3">
      <c r="A51" s="2" t="s">
        <v>36</v>
      </c>
      <c r="D51" s="12">
        <v>0</v>
      </c>
    </row>
    <row r="52" spans="1:5" x14ac:dyDescent="0.3">
      <c r="A52" s="2" t="s">
        <v>13</v>
      </c>
      <c r="D52" s="12">
        <f>D41</f>
        <v>1200</v>
      </c>
    </row>
    <row r="53" spans="1:5" x14ac:dyDescent="0.3">
      <c r="A53" s="2" t="s">
        <v>26</v>
      </c>
      <c r="D53" s="12">
        <f>D47</f>
        <v>240</v>
      </c>
    </row>
    <row r="54" spans="1:5" x14ac:dyDescent="0.3">
      <c r="A54" s="4" t="s">
        <v>27</v>
      </c>
      <c r="D54" s="11">
        <f>SUM(D51:D53)</f>
        <v>1440</v>
      </c>
    </row>
    <row r="55" spans="1:5" x14ac:dyDescent="0.3">
      <c r="A55" s="2" t="s">
        <v>37</v>
      </c>
      <c r="D55" s="13">
        <v>30</v>
      </c>
    </row>
    <row r="56" spans="1:5" x14ac:dyDescent="0.3">
      <c r="A56" s="4" t="s">
        <v>29</v>
      </c>
      <c r="D56" s="11">
        <f>D54/D55</f>
        <v>48</v>
      </c>
    </row>
    <row r="59" spans="1:5" ht="14.4" x14ac:dyDescent="0.3">
      <c r="A59" s="10" t="s">
        <v>38</v>
      </c>
    </row>
    <row r="60" spans="1:5" x14ac:dyDescent="0.3">
      <c r="A60" s="9" t="s">
        <v>39</v>
      </c>
      <c r="B60" s="9"/>
      <c r="C60" s="9"/>
      <c r="D60" s="9"/>
      <c r="E60" s="9"/>
    </row>
    <row r="61" spans="1:5" x14ac:dyDescent="0.3">
      <c r="A61" s="9"/>
      <c r="B61" s="9"/>
      <c r="C61" s="9"/>
      <c r="D61" s="9"/>
      <c r="E61" s="9"/>
    </row>
    <row r="62" spans="1:5" x14ac:dyDescent="0.3">
      <c r="A62" s="6" t="s">
        <v>13</v>
      </c>
    </row>
    <row r="63" spans="1:5" x14ac:dyDescent="0.3">
      <c r="A63" s="1" t="s">
        <v>5</v>
      </c>
      <c r="B63" s="1" t="s">
        <v>14</v>
      </c>
      <c r="C63" s="1" t="s">
        <v>15</v>
      </c>
      <c r="D63" s="1" t="s">
        <v>8</v>
      </c>
    </row>
    <row r="64" spans="1:5" x14ac:dyDescent="0.3">
      <c r="A64" s="2" t="s">
        <v>40</v>
      </c>
      <c r="B64" s="2">
        <v>8</v>
      </c>
      <c r="C64" s="3">
        <v>45</v>
      </c>
      <c r="D64" s="12">
        <f>B64*C64</f>
        <v>360</v>
      </c>
    </row>
    <row r="65" spans="1:4" x14ac:dyDescent="0.3">
      <c r="A65" s="4" t="s">
        <v>17</v>
      </c>
      <c r="B65" s="4"/>
      <c r="C65" s="4"/>
      <c r="D65" s="11">
        <f>SUM(D64:D64)</f>
        <v>360</v>
      </c>
    </row>
    <row r="67" spans="1:4" x14ac:dyDescent="0.3">
      <c r="A67" s="6" t="s">
        <v>18</v>
      </c>
    </row>
    <row r="68" spans="1:4" x14ac:dyDescent="0.3">
      <c r="A68" s="1" t="s">
        <v>5</v>
      </c>
      <c r="B68" s="1" t="s">
        <v>19</v>
      </c>
      <c r="C68" s="1"/>
      <c r="D68" s="1" t="s">
        <v>8</v>
      </c>
    </row>
    <row r="69" spans="1:4" x14ac:dyDescent="0.3">
      <c r="A69" s="2" t="s">
        <v>41</v>
      </c>
      <c r="B69" s="2" t="s">
        <v>42</v>
      </c>
      <c r="C69" s="2"/>
      <c r="D69" s="14">
        <v>64</v>
      </c>
    </row>
    <row r="70" spans="1:4" x14ac:dyDescent="0.3">
      <c r="A70" s="2" t="s">
        <v>43</v>
      </c>
      <c r="B70" s="2" t="s">
        <v>44</v>
      </c>
      <c r="C70" s="2"/>
      <c r="D70" s="14">
        <v>20</v>
      </c>
    </row>
    <row r="71" spans="1:4" x14ac:dyDescent="0.3">
      <c r="A71" s="4" t="s">
        <v>23</v>
      </c>
      <c r="B71" s="4"/>
      <c r="C71" s="4"/>
      <c r="D71" s="11">
        <f>SUM(D69:D70)</f>
        <v>84</v>
      </c>
    </row>
    <row r="73" spans="1:4" x14ac:dyDescent="0.3">
      <c r="A73" s="6" t="s">
        <v>24</v>
      </c>
    </row>
    <row r="74" spans="1:4" x14ac:dyDescent="0.3">
      <c r="A74" s="1" t="s">
        <v>5</v>
      </c>
      <c r="B74" s="1"/>
      <c r="C74" s="1"/>
      <c r="D74" s="1" t="s">
        <v>8</v>
      </c>
    </row>
    <row r="75" spans="1:4" x14ac:dyDescent="0.3">
      <c r="A75" s="2" t="s">
        <v>36</v>
      </c>
      <c r="D75" s="12">
        <v>0</v>
      </c>
    </row>
    <row r="76" spans="1:4" x14ac:dyDescent="0.3">
      <c r="A76" s="2" t="s">
        <v>13</v>
      </c>
      <c r="D76" s="12">
        <f>D65</f>
        <v>360</v>
      </c>
    </row>
    <row r="77" spans="1:4" x14ac:dyDescent="0.3">
      <c r="A77" s="2" t="s">
        <v>26</v>
      </c>
      <c r="D77" s="12">
        <f>D71</f>
        <v>84</v>
      </c>
    </row>
    <row r="78" spans="1:4" x14ac:dyDescent="0.3">
      <c r="A78" s="4" t="s">
        <v>27</v>
      </c>
      <c r="D78" s="11">
        <f>SUM(D75:D77)</f>
        <v>444</v>
      </c>
    </row>
    <row r="79" spans="1:4" x14ac:dyDescent="0.3">
      <c r="A79" s="2" t="s">
        <v>45</v>
      </c>
      <c r="D79" s="13">
        <v>8</v>
      </c>
    </row>
    <row r="80" spans="1:4" x14ac:dyDescent="0.3">
      <c r="A80" s="4" t="s">
        <v>29</v>
      </c>
      <c r="D80" s="11">
        <f>D78/D79</f>
        <v>55.5</v>
      </c>
    </row>
    <row r="83" spans="1:5" ht="14.4" x14ac:dyDescent="0.3">
      <c r="A83" s="10" t="s">
        <v>46</v>
      </c>
    </row>
    <row r="84" spans="1:5" ht="30" customHeight="1" x14ac:dyDescent="0.3">
      <c r="A84" s="9" t="s">
        <v>47</v>
      </c>
      <c r="B84" s="9"/>
      <c r="C84" s="9"/>
      <c r="D84" s="9"/>
      <c r="E84" s="9"/>
    </row>
    <row r="86" spans="1:5" x14ac:dyDescent="0.3">
      <c r="A86" s="6" t="s">
        <v>4</v>
      </c>
    </row>
    <row r="87" spans="1:5" x14ac:dyDescent="0.3">
      <c r="A87" s="1" t="s">
        <v>5</v>
      </c>
      <c r="B87" s="1" t="s">
        <v>6</v>
      </c>
      <c r="C87" s="1" t="s">
        <v>7</v>
      </c>
      <c r="D87" s="1" t="s">
        <v>8</v>
      </c>
    </row>
    <row r="88" spans="1:5" x14ac:dyDescent="0.3">
      <c r="A88" s="2" t="s">
        <v>48</v>
      </c>
      <c r="B88" s="2">
        <v>15</v>
      </c>
      <c r="C88" s="3">
        <v>2.5</v>
      </c>
      <c r="D88" s="12">
        <f>B88*C88</f>
        <v>37.5</v>
      </c>
    </row>
    <row r="89" spans="1:5" x14ac:dyDescent="0.3">
      <c r="A89" s="2" t="s">
        <v>49</v>
      </c>
      <c r="B89" s="2">
        <v>15</v>
      </c>
      <c r="C89" s="3">
        <v>4</v>
      </c>
      <c r="D89" s="12">
        <f>B89*C89</f>
        <v>60</v>
      </c>
    </row>
    <row r="90" spans="1:5" x14ac:dyDescent="0.3">
      <c r="A90" s="2" t="s">
        <v>50</v>
      </c>
      <c r="B90" s="2">
        <v>15</v>
      </c>
      <c r="C90" s="3">
        <v>1.5</v>
      </c>
      <c r="D90" s="12">
        <f>B90*C90</f>
        <v>22.5</v>
      </c>
    </row>
    <row r="91" spans="1:5" x14ac:dyDescent="0.3">
      <c r="A91" s="4" t="s">
        <v>12</v>
      </c>
      <c r="B91" s="4"/>
      <c r="C91" s="4"/>
      <c r="D91" s="11">
        <f>SUM(D88:D90)</f>
        <v>120</v>
      </c>
    </row>
    <row r="93" spans="1:5" x14ac:dyDescent="0.3">
      <c r="A93" s="6" t="s">
        <v>13</v>
      </c>
    </row>
    <row r="94" spans="1:5" x14ac:dyDescent="0.3">
      <c r="A94" s="1" t="s">
        <v>5</v>
      </c>
      <c r="B94" s="1" t="s">
        <v>14</v>
      </c>
      <c r="C94" s="1" t="s">
        <v>15</v>
      </c>
      <c r="D94" s="1" t="s">
        <v>8</v>
      </c>
    </row>
    <row r="95" spans="1:5" x14ac:dyDescent="0.3">
      <c r="A95" s="2" t="s">
        <v>51</v>
      </c>
      <c r="B95" s="2">
        <v>8</v>
      </c>
      <c r="C95" s="3">
        <v>12</v>
      </c>
      <c r="D95" s="12">
        <f>B95*C95</f>
        <v>96</v>
      </c>
    </row>
    <row r="96" spans="1:5" x14ac:dyDescent="0.3">
      <c r="A96" s="4" t="s">
        <v>17</v>
      </c>
      <c r="B96" s="4"/>
      <c r="C96" s="4"/>
      <c r="D96" s="11">
        <f>SUM(D95:D95)</f>
        <v>96</v>
      </c>
    </row>
    <row r="98" spans="1:4" x14ac:dyDescent="0.3">
      <c r="A98" s="6" t="s">
        <v>18</v>
      </c>
    </row>
    <row r="99" spans="1:4" x14ac:dyDescent="0.3">
      <c r="A99" s="1" t="s">
        <v>5</v>
      </c>
      <c r="B99" s="1" t="s">
        <v>19</v>
      </c>
      <c r="C99" s="1"/>
      <c r="D99" s="1" t="s">
        <v>8</v>
      </c>
    </row>
    <row r="100" spans="1:4" x14ac:dyDescent="0.3">
      <c r="A100" s="2" t="s">
        <v>52</v>
      </c>
      <c r="B100" s="2" t="s">
        <v>53</v>
      </c>
      <c r="C100" s="2"/>
      <c r="D100" s="3">
        <v>45</v>
      </c>
    </row>
    <row r="101" spans="1:4" x14ac:dyDescent="0.3">
      <c r="A101" s="4" t="s">
        <v>23</v>
      </c>
      <c r="B101" s="4"/>
      <c r="C101" s="4"/>
      <c r="D101" s="5">
        <f>SUM(D100:D100)</f>
        <v>45</v>
      </c>
    </row>
    <row r="103" spans="1:4" x14ac:dyDescent="0.3">
      <c r="A103" s="6" t="s">
        <v>24</v>
      </c>
    </row>
    <row r="104" spans="1:4" x14ac:dyDescent="0.3">
      <c r="A104" s="1" t="s">
        <v>5</v>
      </c>
      <c r="B104" s="1"/>
      <c r="C104" s="1"/>
      <c r="D104" s="1" t="s">
        <v>8</v>
      </c>
    </row>
    <row r="105" spans="1:4" x14ac:dyDescent="0.3">
      <c r="A105" s="2" t="s">
        <v>25</v>
      </c>
      <c r="D105" s="12">
        <f>D91</f>
        <v>120</v>
      </c>
    </row>
    <row r="106" spans="1:4" x14ac:dyDescent="0.3">
      <c r="A106" s="2" t="s">
        <v>13</v>
      </c>
      <c r="D106" s="12">
        <f>D96</f>
        <v>96</v>
      </c>
    </row>
    <row r="107" spans="1:4" x14ac:dyDescent="0.3">
      <c r="A107" s="2" t="s">
        <v>26</v>
      </c>
      <c r="D107" s="12">
        <f>D101</f>
        <v>45</v>
      </c>
    </row>
    <row r="108" spans="1:4" x14ac:dyDescent="0.3">
      <c r="A108" s="4" t="s">
        <v>27</v>
      </c>
      <c r="D108" s="11">
        <f>SUM(D105:D107)</f>
        <v>261</v>
      </c>
    </row>
    <row r="109" spans="1:4" x14ac:dyDescent="0.3">
      <c r="A109" s="2" t="s">
        <v>54</v>
      </c>
      <c r="D109" s="13">
        <v>15</v>
      </c>
    </row>
    <row r="110" spans="1:4" x14ac:dyDescent="0.3">
      <c r="A110" s="4" t="s">
        <v>29</v>
      </c>
      <c r="D110" s="11">
        <f>D108/D109</f>
        <v>17.399999999999999</v>
      </c>
    </row>
  </sheetData>
  <mergeCells count="4">
    <mergeCell ref="A5:E6"/>
    <mergeCell ref="A36:E37"/>
    <mergeCell ref="A60:E61"/>
    <mergeCell ref="A84:E8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SESION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2026-09-15T11:24:17Z</dcterms:created>
  <dcterms:modified xsi:type="dcterms:W3CDTF">2026-09-15T13:15:46Z</dcterms:modified>
  <dc:language>en-US</dc:language>
</cp:coreProperties>
</file>