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13_ncr:1_{E776791A-D26E-4F47-A92C-E60C5E8026F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ORTADA" sheetId="1" r:id="rId1"/>
    <sheet name="PLAN DETALLADO" sheetId="2" r:id="rId2"/>
    <sheet name="RESUMEN POR SESIÓN" sheetId="3" r:id="rId3"/>
    <sheet name="MAPA CURSO Y PROYECTO" sheetId="4" r:id="rId4"/>
    <sheet name="CONTROL DE AVANCE" sheetId="5" r:id="rId5"/>
    <sheet name="ADELANTOS PUNTUALES" sheetId="6" r:id="rId6"/>
    <sheet name="SEMANAS 11 A 16" sheetId="7" r:id="rId7"/>
  </sheets>
  <definedNames>
    <definedName name="_xlnm.Print_Titles" localSheetId="1">'PLAN DETALLADO'!$2:$2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6" l="1"/>
  <c r="D9" i="6"/>
  <c r="F23" i="5"/>
  <c r="O23" i="3"/>
  <c r="N23" i="3"/>
  <c r="M23" i="3"/>
  <c r="L23" i="3"/>
  <c r="K23" i="3"/>
  <c r="E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G193" i="2"/>
  <c r="G183" i="2"/>
  <c r="G173" i="2"/>
  <c r="G166" i="2"/>
  <c r="G157" i="2"/>
  <c r="G148" i="2"/>
  <c r="G139" i="2"/>
  <c r="G129" i="2"/>
  <c r="G120" i="2"/>
  <c r="G110" i="2"/>
  <c r="G100" i="2"/>
  <c r="G90" i="2"/>
  <c r="G81" i="2"/>
  <c r="G71" i="2"/>
  <c r="G61" i="2"/>
  <c r="G51" i="2"/>
  <c r="G42" i="2"/>
  <c r="G33" i="2"/>
  <c r="G23" i="2"/>
  <c r="G13" i="2"/>
</calcChain>
</file>

<file path=xl/sharedStrings.xml><?xml version="1.0" encoding="utf-8"?>
<sst xmlns="http://schemas.openxmlformats.org/spreadsheetml/2006/main" count="2537" uniqueCount="952">
  <si>
    <t>PLAN DE CLASE DETALLADO POR MINUTOS</t>
  </si>
  <si>
    <t>ANÁLISIS DE COSTOS Y PRESUPUESTOS · Sesiones 1 a 20 (semanas 1 a 10) · 2026-II · El capítulo 5 del informe cierra en la semana 10</t>
  </si>
  <si>
    <t>Unidad didáctica</t>
  </si>
  <si>
    <t>ANÁLISIS DE COSTOS Y PRESUPUESTOS</t>
  </si>
  <si>
    <t>Programa de estudios</t>
  </si>
  <si>
    <t>MARKETING</t>
  </si>
  <si>
    <t>Ciclo</t>
  </si>
  <si>
    <t>Tercer ciclo</t>
  </si>
  <si>
    <t>Docente</t>
  </si>
  <si>
    <t>Eduardo Luis Mamani Roque</t>
  </si>
  <si>
    <t>Período académico</t>
  </si>
  <si>
    <t>2026-II</t>
  </si>
  <si>
    <t>Unidad de competencia</t>
  </si>
  <si>
    <t>UC2: Ejecutar las estrategias del desarrollo del producto y/o servicio, en función a los objetivos de la empresa.</t>
  </si>
  <si>
    <t>Horario</t>
  </si>
  <si>
    <t>Martes 17:00–19:15 (135 minutos · 3 horas académicas)   ·   Jueves 14:30–16:45 (135 minutos · 3 horas académicas)</t>
  </si>
  <si>
    <t>Alcance de este plan</t>
  </si>
  <si>
    <t>20 sesiones · semanas 1 a 10 · 151 tramos · 2 700 minutos lectivos, de los cuales 75 corresponden a adelantos puntuales</t>
  </si>
  <si>
    <t>Fuente del contenido</t>
  </si>
  <si>
    <t>Los temas y subtemas de cada sesión se transcriben literalmente del CONTROL DE AVANCE SILÁBICO de la unidad didáctica. El único bloque retirado del dictado es el punto 1.4 (speed-to-market y costo de oportunidad), que pasa a lectura asignada; el detalle y el motivo están en la hoja ADELANTOS PUNTUALES.</t>
  </si>
  <si>
    <t>Proyecto integrador</t>
  </si>
  <si>
    <t>Proyecto Final MKT 3 (III Ciclo): propuesta de un nuevo producto o servicio y evaluación de su rentabilidad. A Costos le corresponde el CAPÍTULO 5 completo y el Anexo A.4.</t>
  </si>
  <si>
    <t>Advertencia de numeración</t>
  </si>
  <si>
    <t>El control de avance silábico cita los avances del proyecto como «Capítulo 4.x». En el documento vigente del Proyecto Final MKT 3, la parte de Costos es el CAPÍTULO 5 (puntos 5.1 a 5.8) y el Anexo A.4. Este plan usa la numeración del proyecto vigente. La equivalencia está en la hoja MAPA CURSO Y PROYECTO.</t>
  </si>
  <si>
    <t>LOS NUEVE PUNTOS DEL INFORME QUE QUEDAN CERRADOS AL TERMINAR LA SEMANA 10</t>
  </si>
  <si>
    <t>5.1</t>
  </si>
  <si>
    <t>Clasificación de los costos de la propuesta: fijos, variables, directos e indirectos. Se entrega en la sesión 4, se consolida en la 9 y se actualiza en la 16 con los sobrecostos laborales.</t>
  </si>
  <si>
    <t>5.2</t>
  </si>
  <si>
    <t>Determinación del costo unitario del producto o servicio. Cierra en la sesión 13, con los costos indirectos ya asignados por inductores.</t>
  </si>
  <si>
    <t>5.3</t>
  </si>
  <si>
    <t>Fijación del precio de venta y cálculo del margen de contribución. Cierra en la sesión 7 y se afina en la 20 con el costo meta.</t>
  </si>
  <si>
    <t>5.4</t>
  </si>
  <si>
    <t>Punto de equilibrio en unidades y en soles, con su gráfico. ADELANTADO desde la semana 13. Se calcula en la sesión 7 y cierra en la 13 con los indirectos asignados.</t>
  </si>
  <si>
    <t>5.5</t>
  </si>
  <si>
    <t>Presupuesto de inversión inicial y presupuesto operativo. ADELANTADO desde las semanas 14 y 15. Cierra en la sesión 11.</t>
  </si>
  <si>
    <t>5.6</t>
  </si>
  <si>
    <t>Proyección de ventas y estado de resultados del primer año. ADELANTADO desde las semanas 14 y 15. Cierra en la sesión 19.</t>
  </si>
  <si>
    <t>5.7</t>
  </si>
  <si>
    <t>Análisis de escenarios y sensibilidad al precio y al volumen. ADELANTADO desde la semana 15. Cierra en la sesión 20.</t>
  </si>
  <si>
    <t>5.8</t>
  </si>
  <si>
    <t>Índice costo-beneficio, periodo de recuperación y conclusión de viabilidad. ADELANTADO desde la semana 13. Cierra en la sesión 20.</t>
  </si>
  <si>
    <t>Anexo A.4</t>
  </si>
  <si>
    <t>Modelo financiero en Excel con fórmulas activas: costos, punto de equilibrio, presupuestos y escenarios. Cierra en la sesión 20.</t>
  </si>
  <si>
    <t>CÓMO SE LOGRA CERRAR EL CAPÍTULO 5 EN LA SEMANA 10</t>
  </si>
  <si>
    <t>Se avanza lo que el proyecto necesita</t>
  </si>
  <si>
    <t>El temario del control de avance se conserva íntegro salvo un bloque: el punto 1.4 sobre speed-to-market y costo de oportunidad sale del dictado y pasa a lectura asignada, porque no alimenta ningún punto del capítulo 5. Su tiempo se destina a la clasificación de costos, que es el primer entregable del proyecto. Todo el temario corre una sesión hacia adelante.</t>
  </si>
  <si>
    <t>Se adelanta lo mínimo, no la semana entera</t>
  </si>
  <si>
    <t>Cinco microenseñanzas condensadas, de 15 minutos cada una, adelantan solo el alcance que el proyecto necesita para no detenerse. Suman 75 minutos, el 2,8 % del tiempo lectivo. El detalle está en la hoja ADELANTOS PUNTUALES.</t>
  </si>
  <si>
    <t>Sesiones prácticas</t>
  </si>
  <si>
    <t>Cada sesión dedica entre 85 y 110 minutos a laboratorio en Excel y taller aplicado al proyecto: 25 laboratorios numerados, 6 prácticas calificadas y taller de proyecto en 18 de las 20 sesiones. La exposición del docente no supera los 15 minutos por bloque y nunca más de 10 minutos seguidos.</t>
  </si>
  <si>
    <t>Todo costo con evidencia</t>
  </si>
  <si>
    <t>Regla del curso establecida en la sesión 5: ningún costo del proyecto se acepta sin factura, cotización o registro fotográfico del precio. Un costo inventado invalida el capítulo completo.</t>
  </si>
  <si>
    <t>El modelo de Excel se construye en clase</t>
  </si>
  <si>
    <t>El anexo A.4 no se arma al final: cada laboratorio agrega una hoja al modelo financiero del equipo, con fórmulas activas y no con valores digitados.</t>
  </si>
  <si>
    <t>Evidencia por sesión</t>
  </si>
  <si>
    <t>Toda sesión produce una evidencia observable: hoja de cálculo, práctica calificada o entregable del proyecto. Cada sesión reserva cinco minutos de holgura.</t>
  </si>
  <si>
    <t>Leyenda de colores</t>
  </si>
  <si>
    <t>Inicio (ámbar)   ·   Desarrollo (verde)   ·   Cierre (naranja)   ·   Bloque del proyecto integrador (azul)   ·   Adelanto puntual (lila)   ·   Evaluación calificada (salmón)</t>
  </si>
  <si>
    <t>Hojas del archivo</t>
  </si>
  <si>
    <t>PLAN DETALLADO (tramo por tramo)  ·  RESUMEN POR SESIÓN  ·  MAPA CURSO Y PROYECTO  ·  ADELANTOS PUNTUALES  ·  SEMANAS 11 A 16  ·  CONTROL DE AVANCE</t>
  </si>
  <si>
    <t>ANÁLISIS DE COSTOS Y PRESUPUESTOS · MARKETING · 2026-II — PLAN DE CLASE DETALLADO POR MINUTOS · SESIONES 1 A 20</t>
  </si>
  <si>
    <t>SEM</t>
  </si>
  <si>
    <t>SESIÓN</t>
  </si>
  <si>
    <t>FECHA</t>
  </si>
  <si>
    <t>DÍA</t>
  </si>
  <si>
    <t>INICIO</t>
  </si>
  <si>
    <t>FIN</t>
  </si>
  <si>
    <t>MIN</t>
  </si>
  <si>
    <t>MOMENTO</t>
  </si>
  <si>
    <t>CONTENIDO DEL SÍLABO / BLOQUE</t>
  </si>
  <si>
    <t>ACTIVIDAD DETALLADA (qué se hace, paso a paso)</t>
  </si>
  <si>
    <t>PUNTO DEL INFORME QUE AVANZA</t>
  </si>
  <si>
    <t>TÉCNICA ACTIVA</t>
  </si>
  <si>
    <t>AGRUPACIÓN</t>
  </si>
  <si>
    <t>PROTAGONISTA</t>
  </si>
  <si>
    <t>RECURSOS</t>
  </si>
  <si>
    <t>EVIDENCIA / PRODUCTO</t>
  </si>
  <si>
    <t>SESIÓN 1  ·  SEMANA 1  ·  Martes 18/08/2026  ·  Actividad 1: Fundamentos de la gestión de costos en marketing  —  Tema: Costo, gasto y ciclo operativo de la organización comercial   |   1.1. Diferencias técnicas entre costo y gasto (administrativo y de ventas).   1.2. Relación de la contabilidad de costos con la planeación y la toma de decisiones comerciales.   1.3. Ciclo operativo, económico y financiero de la organización comercial y de servicios.   |   Instrumento de evaluación: Prueba de entrada (diagnóstica) y ficha de observación de desempeño</t>
  </si>
  <si>
    <t>18/08/2026</t>
  </si>
  <si>
    <t>Martes</t>
  </si>
  <si>
    <t>17:00</t>
  </si>
  <si>
    <t>17:05</t>
  </si>
  <si>
    <t>Inicio</t>
  </si>
  <si>
    <t>Encuadre de la unidad didáctica</t>
  </si>
  <si>
    <t>Presentación del curso, del sistema de evaluación y del proyecto integrador. Se anuncia la meta del semestre: el capítulo 5 del informe queda cerrado en la semana 10.</t>
  </si>
  <si>
    <t>—</t>
  </si>
  <si>
    <t>Encuadre con meta visible</t>
  </si>
  <si>
    <t>Plenaria</t>
  </si>
  <si>
    <t>Proyector, diapositivas</t>
  </si>
  <si>
    <t>17:15</t>
  </si>
  <si>
    <t>Prueba de entrada</t>
  </si>
  <si>
    <t>Prueba diagnóstica de doce ítems sobre nociones previas: qué es un costo, qué es un margen y cómo se calcula un porcentaje de utilidad. Se autocorrige en el momento.</t>
  </si>
  <si>
    <t>Evaluación diagnóstica con autocorrección</t>
  </si>
  <si>
    <t>Individual</t>
  </si>
  <si>
    <t>Estudiante</t>
  </si>
  <si>
    <t>Prueba impresa</t>
  </si>
  <si>
    <t>Prueba de entrada resuelta</t>
  </si>
  <si>
    <t>17:30</t>
  </si>
  <si>
    <t>Desarrollo</t>
  </si>
  <si>
    <t>1.1. Diferencias técnicas entre costo y gasto</t>
  </si>
  <si>
    <t>Microexplicación de ocho minutos con el criterio operativo: el costo se recupera al vender, el gasto se consume en el periodo. Se clasifican en pizarra seis desembolsos reales de una tienda.</t>
  </si>
  <si>
    <t>Microclase con clasificación inmediata</t>
  </si>
  <si>
    <t>Compartido</t>
  </si>
  <si>
    <t>Proyector, diapositivas, Pizarra y plumones</t>
  </si>
  <si>
    <t>Cuadro de clasificación en el cuaderno</t>
  </si>
  <si>
    <t>17:55</t>
  </si>
  <si>
    <t>Laboratorio 1: clasificación de desembolsos reales</t>
  </si>
  <si>
    <t>Cada estudiante recibe la relación de treinta desembolsos de una cafetería y los clasifica en costo de venta, gasto administrativo o gasto de ventas, justificando los cinco casos dudosos.</t>
  </si>
  <si>
    <t>Práctica dirigida con casos dudosos</t>
  </si>
  <si>
    <t>Individual, luego parejas</t>
  </si>
  <si>
    <t>Laboratorio de cómputo con MS Excel, Ficha de trabajo impresa</t>
  </si>
  <si>
    <t>Hoja de clasificación resuelta</t>
  </si>
  <si>
    <t>18:05</t>
  </si>
  <si>
    <t>1.2. Costos para la planeación y la decisión comercial</t>
  </si>
  <si>
    <t>Microexplicación: la misma cifra sirve para valorizar el inventario, fijar el precio y decidir si una línea se mantiene. Se muestra un caso donde la decisión cambia según el costo que se mire.</t>
  </si>
  <si>
    <t>Microclase con caso contrastado</t>
  </si>
  <si>
    <t>Esquema de usos del costo</t>
  </si>
  <si>
    <t>18:25</t>
  </si>
  <si>
    <t>1.3. Ciclo operativo, económico y financiero</t>
  </si>
  <si>
    <t>Laboratorio: los estudiantes construyen en Excel la línea de tiempo de una tienda que compra a 30 días, vende con 15 días de rotación y cobra a 20 días, y calculan los tres ciclos.</t>
  </si>
  <si>
    <t>Laboratorio guiado</t>
  </si>
  <si>
    <t>Parejas</t>
  </si>
  <si>
    <t>Laboratorio de cómputo con MS Excel, Plantilla de costos del curso (.xlsx)</t>
  </si>
  <si>
    <t>Línea de tiempo con los tres ciclos</t>
  </si>
  <si>
    <t>18:30</t>
  </si>
  <si>
    <t>Holgura</t>
  </si>
  <si>
    <t>Espacio para consultas y para completar el laboratorio.</t>
  </si>
  <si>
    <t>19:00</t>
  </si>
  <si>
    <t>Conformación de equipos y encuadre del proyecto</t>
  </si>
  <si>
    <t>Conformación de los equipos de tres a cuatro integrantes con roles asignados y presentación de la ruta completa del capítulo 5 del informe, con sus diez semanas y sus entregables. Cada equipo propone tres empresas candidatas.</t>
  </si>
  <si>
    <t>Organización del proyecto integrador</t>
  </si>
  <si>
    <t>Equipos de 3 a 4</t>
  </si>
  <si>
    <t>Ficha de equipos, ruta del proyecto</t>
  </si>
  <si>
    <t>Ficha de equipos y tres empresas candidatas</t>
  </si>
  <si>
    <t>19:15</t>
  </si>
  <si>
    <t>Cierre</t>
  </si>
  <si>
    <t>Criterios de elegibilidad de la empresa</t>
  </si>
  <si>
    <t>Se explican los cuatro filtros que debe cumplir la empresa: acceso real a información de costos, producto o servicio con costos identificables, disposición del propietario a conversar y cercanía geográfica. Encargo: validar las tres candidatas para el jueves.</t>
  </si>
  <si>
    <t>Encuadre con criterios y encargo</t>
  </si>
  <si>
    <t>Registro del encargo</t>
  </si>
  <si>
    <t>TOTAL</t>
  </si>
  <si>
    <t>Sesión 1 — Costo, gasto y ciclo operativo de la organización comercial</t>
  </si>
  <si>
    <t>Instrumento de evaluación de la sesión: Prueba de entrada (diagnóstica) y ficha de observación de desempeño</t>
  </si>
  <si>
    <t>SESIÓN 2  ·  SEMANA 1  ·  Jueves 20/08/2026  ·  Actividad 2 (adelantada): Estructura y clasificación del costo comercial  —  Tema: Clasificación de costos por comportamiento y por identificación   |   2.1. Clasificación por comportamiento: costos fijos, variables y semivariables.   2.2. Clasificación por capacidad de identificación: costos directos e indirectos.   1.5. Avance del Proyecto Integrador: selección de la empresa real y levantamiento inicial.   |   Instrumento de evaluación: Ficha de levantamiento inicial y lista de cotejo de conformación de equipos</t>
  </si>
  <si>
    <t>20/08/2026</t>
  </si>
  <si>
    <t>Jueves</t>
  </si>
  <si>
    <t>14:30</t>
  </si>
  <si>
    <t>14:35</t>
  </si>
  <si>
    <t>Reto de apertura</t>
  </si>
  <si>
    <t>Se proyecta el recibo de servicios de un local comercial y se pregunta: si mañana no vende nada, ¿cuánto de esto igual se paga? Respuesta escrita en una línea.</t>
  </si>
  <si>
    <t>Pregunta detonante</t>
  </si>
  <si>
    <t>Respuesta escrita inicial</t>
  </si>
  <si>
    <t>14:45</t>
  </si>
  <si>
    <t>2.1. Costos fijos, variables y semivariables</t>
  </si>
  <si>
    <t>Microexplicación con el criterio de comportamiento frente al volumen. Se grafican en pizarra los tres comportamientos y se advierte que fijo no significa invariable, sino independiente del volumen de ventas.</t>
  </si>
  <si>
    <t>Microclase con gráfico en pizarra</t>
  </si>
  <si>
    <t>Gráfico de los tres comportamientos</t>
  </si>
  <si>
    <t>15:15</t>
  </si>
  <si>
    <t>Laboratorio 2: clasificación por comportamiento y efecto sobre el costo unitario</t>
  </si>
  <si>
    <t>En Excel, cada estudiante clasifica veinticinco desembolsos de una empresa comercial y construye la tabla de costo total y costo unitario a tres niveles de volumen, comprobando qué cambia y qué permanece.</t>
  </si>
  <si>
    <t>Laboratorio guiado con comprobación numérica</t>
  </si>
  <si>
    <t>Tabla de comportamiento a tres volúmenes</t>
  </si>
  <si>
    <t>15:25</t>
  </si>
  <si>
    <t>2.2. Costos directos e indirectos respecto del objeto de costo</t>
  </si>
  <si>
    <t>Microexplicación: la clasificación depende del objeto de costo elegido. El mismo sueldo es directo respecto del canal y a la vez indirecto respecto del producto. Se muestra con una tienda de dos líneas.</t>
  </si>
  <si>
    <t>Microclase con caso de doble clasificación</t>
  </si>
  <si>
    <t>Cuadro de doble entrada en el cuaderno</t>
  </si>
  <si>
    <t>15:50</t>
  </si>
  <si>
    <t>Laboratorio 3: separación de costos mixtos por puntos altos y bajos</t>
  </si>
  <si>
    <t>Modelado y réplica: con doce meses de consumo eléctrico y volumen de ventas se separa el componente fijo del variable y se construye la ecuación del costo total, que después se usa para proyectar.</t>
  </si>
  <si>
    <t>Modelado y réplica inmediata</t>
  </si>
  <si>
    <t>Laboratorio de cómputo con MS Excel, Guía de laboratorio impresa</t>
  </si>
  <si>
    <t>Ecuación del costo mixto obtenida</t>
  </si>
  <si>
    <t>15:55</t>
  </si>
  <si>
    <t>Espacio para consultas y ajustes del laboratorio.</t>
  </si>
  <si>
    <t>16:35</t>
  </si>
  <si>
    <t>Proyecto integrador · Selección de la empresa y levantamiento inicial</t>
  </si>
  <si>
    <t>Cada equipo evalúa sus tres candidatas con los cuatro filtros, elige una, la sustenta ante el docente y llena la ficha de levantamiento con la información que ya tiene: portafolio, volumen aproximado de ventas, personal y proveedores. Se define quién contacta al propietario y en qué fecha.</t>
  </si>
  <si>
    <t>Taller con asesoría y validación docente</t>
  </si>
  <si>
    <t>Ficha de levantamiento, Información contable y comercial real de la empresa seleccionada</t>
  </si>
  <si>
    <t>EMPRESA SELECCIONADA Y APROBADA. Ficha de levantamiento iniciada</t>
  </si>
  <si>
    <t>16:45</t>
  </si>
  <si>
    <t>Compromisos de campo</t>
  </si>
  <si>
    <t>Cada equipo declara ante el aula qué empresa eligió, qué producto o servicio va a costear y cuándo entrevistará al propietario. Queda anotado en pizarra como compromiso del aula.</t>
  </si>
  <si>
    <t>Compromiso público y síntesis</t>
  </si>
  <si>
    <t>Pizarra y plumones</t>
  </si>
  <si>
    <t>Cuadro de compromisos por equipo</t>
  </si>
  <si>
    <t>Sesión 2 — Clasificación de costos por comportamiento y por identificación</t>
  </si>
  <si>
    <t>Instrumento de evaluación de la sesión: Ficha de levantamiento inicial y lista de cotejo de conformación de equipos</t>
  </si>
  <si>
    <t>SESIÓN 3  ·  SEMANA 2  ·  Martes 25/08/2026  ·  Actividad 2 (continuación)  —  Tema: Gastos operativos de venta y objeto de costo comercial   |   2.3. Determinación de los gastos operativos de venta y distribución comercial.   2.4. Identificación del objeto de costo comercial actual de la organización.   |   Instrumento de evaluación: Práctica calificada de clasificación y separación de costos mixtos</t>
  </si>
  <si>
    <t>25/08/2026</t>
  </si>
  <si>
    <t>Control del encargo</t>
  </si>
  <si>
    <t>Cada equipo declara cuántos desembolsos logró levantar de su empresa y cuáles faltan. Se registra en el tablero de avance del aula.</t>
  </si>
  <si>
    <t>Tablero de avance visible</t>
  </si>
  <si>
    <t>Tablero de avance del levantamiento</t>
  </si>
  <si>
    <t>2.3. Gastos operativos de venta y distribución</t>
  </si>
  <si>
    <t>Microexplicación de la estructura del gasto comercial: fuerza de ventas, publicidad, distribución física, comisiones y merma. Se distingue del gasto administrativo con el criterio de a quién sirve el desembolso.</t>
  </si>
  <si>
    <t>Microclase con criterio de asignación</t>
  </si>
  <si>
    <t>Estructura del gasto comercial</t>
  </si>
  <si>
    <t>17:45</t>
  </si>
  <si>
    <t>Laboratorio 4: estado de resultados por función</t>
  </si>
  <si>
    <t>En Excel, los estudiantes reorganizan una relación desordenada de cuentas en un estado de resultados por función, separando costo de ventas, gastos de ventas y gastos administrativos, y calculan los tres márgenes.</t>
  </si>
  <si>
    <t>Estado de resultados por función construido</t>
  </si>
  <si>
    <t>2.4. Identificación del objeto de costo</t>
  </si>
  <si>
    <t>Microexplicación con aplicación inmediata: el objeto de costo es aquello de lo que se quiere saber el costo. Cada equipo declara en voz alta cuál será el suyo: un producto, una línea, un canal o un cliente.</t>
  </si>
  <si>
    <t>Microclase con definición aplicada</t>
  </si>
  <si>
    <t>Objeto de costo declarado por equipo</t>
  </si>
  <si>
    <t>18:20</t>
  </si>
  <si>
    <t>Práctica calificada de clasificación y separación de costos mixtos</t>
  </si>
  <si>
    <t>Práctica individual calificada: clasificar quince desembolsos, separar un costo mixto por puntos altos y bajos y proyectar el costo total para un volumen dado.</t>
  </si>
  <si>
    <t>Evaluación práctica individual</t>
  </si>
  <si>
    <t>Laboratorio de cómputo con MS Excel, enunciado impreso</t>
  </si>
  <si>
    <t>PRÁCTICA CALIFICADA DE CLASIFICACIÓN</t>
  </si>
  <si>
    <t>Cierre de archivos y consultas de la práctica.</t>
  </si>
  <si>
    <t>19:05</t>
  </si>
  <si>
    <t>Proyecto integrador · Inventario y clasificación de desembolsos</t>
  </si>
  <si>
    <t>Cada equipo vuelca en la plantilla del curso todos los desembolsos levantados de su empresa y comienza a clasificarlos en fijos, variables, directos e indirectos respecto del objeto de costo que acaba de declarar.</t>
  </si>
  <si>
    <t>Taller con asesoría por equipos</t>
  </si>
  <si>
    <t>Laboratorio de cómputo con MS Excel, Información contable y comercial real de la empresa seleccionada</t>
  </si>
  <si>
    <t>Inventario de desembolsos clasificado en avance</t>
  </si>
  <si>
    <t>Retroalimentación y encargo</t>
  </si>
  <si>
    <t>Se resuelven en proyector los dos ítems de mayor dificultad de la práctica. Encargo: completar el levantamiento para entregar la clasificación el jueves.</t>
  </si>
  <si>
    <t>Corrección modelada y encargo</t>
  </si>
  <si>
    <t>Autocorrección registrada</t>
  </si>
  <si>
    <t>Sesión 3 — Gastos operativos de venta y objeto de costo comercial</t>
  </si>
  <si>
    <t>Instrumento de evaluación de la sesión: Práctica calificada de clasificación y separación de costos mixtos</t>
  </si>
  <si>
    <t>SESIÓN 4  ·  SEMANA 2  ·  Jueves 27/08/2026  ·  Actividad 3: Costeo de productos comerciales e inventarios  —  Tema: Ciclo de compras y costo de adquisición comercial   |   3.1. El ciclo de compras de mercaderías e insumos de promoción.   3.2. Determinación del costo de adquisición comercial y su valor de ingreso al almacén.   2.5. Avance del Proyecto Integrador: clasificación preliminar de costos fijos y variables actuales.   |   Instrumento de evaluación: Rúbrica del avance de la clasificación preliminar de costos (punto 5.1 del informe)</t>
  </si>
  <si>
    <t>27/08/2026</t>
  </si>
  <si>
    <t>14:40</t>
  </si>
  <si>
    <t>Se muestra una factura de compra con flete, seguro y descuento por volumen y se pregunta: ¿a qué precio entra realmente este producto al almacén? Respuesta escrita en una cifra.</t>
  </si>
  <si>
    <t>Reto numérico</t>
  </si>
  <si>
    <t>Cifra estimada inicial</t>
  </si>
  <si>
    <t>14:55</t>
  </si>
  <si>
    <t>3.1 y 3.2. Composición del costo de adquisición</t>
  </si>
  <si>
    <t>Microexplicación del ciclo de compras y de la estructura del costo de adquisición: precio de lista, menos descuentos comerciales, más flete, seguro, tributos no recuperables y gastos de recepción. Se resuelve el reto del inicio.</t>
  </si>
  <si>
    <t>Microclase con resolución del reto</t>
  </si>
  <si>
    <t>Estructura del costo de adquisición</t>
  </si>
  <si>
    <t>Laboratorio 5: costo de adquisición con prorrateo de flete</t>
  </si>
  <si>
    <t>Práctica dirigida: una compra de tres productos distintos con flete único que debe prorratearse. Se comparan dos bases de prorrateo, por valor y por peso, y se discute cuál corresponde según la relación causal.</t>
  </si>
  <si>
    <t>Laboratorio con comparación de criterios</t>
  </si>
  <si>
    <t>Costo unitario de adquisición de tres productos</t>
  </si>
  <si>
    <t>15:30</t>
  </si>
  <si>
    <t>Consultas y ajustes del laboratorio.</t>
  </si>
  <si>
    <t>16:15</t>
  </si>
  <si>
    <t>Proyecto integrador · Avance del punto 5.1 y entrega</t>
  </si>
  <si>
    <t>Cada equipo termina la clasificación de todos los desembolsos de su empresa en fijos, variables, directos e indirectos, justifica por escrito los cinco casos dudosos y entrega el avance al cierre de la sesión.</t>
  </si>
  <si>
    <t>Taller con asesoría y entrega</t>
  </si>
  <si>
    <t>Laboratorio de cómputo con MS Excel, Plantilla de costos del curso (.xlsx), Información contable y comercial real de la empresa seleccionada</t>
  </si>
  <si>
    <t>AVANCE 1 ENTREGADO: clasificación de costos (punto 5.1)</t>
  </si>
  <si>
    <t>16:30</t>
  </si>
  <si>
    <t>Revisión cruzada entre equipos</t>
  </si>
  <si>
    <t>Los equipos intercambian su clasificación y verifican dos cosas: que ningún costo fijo esté marcado como variable y que la clasificación de directo e indirecto sea coherente con el objeto de costo declarado.</t>
  </si>
  <si>
    <t>Evaluación entre pares con lista de cotejo</t>
  </si>
  <si>
    <t>Lista de cotejo</t>
  </si>
  <si>
    <t>Clasificación observada por el equipo par</t>
  </si>
  <si>
    <t>Exigencia de evidencia y encargo</t>
  </si>
  <si>
    <t>Se establece la regla del curso: todo costo del proyecto debe tener respaldo verificable, sea factura, cotización o registro fotográfico del precio. Un costo inventado invalida el capítulo completo. Encargo: conseguir las evidencias del costo de adquisición para el martes.</t>
  </si>
  <si>
    <t>Encuadre normativo y encargo</t>
  </si>
  <si>
    <t>Registro del encargo de evidencias</t>
  </si>
  <si>
    <t>Sesión 4 — Ciclo de compras y costo de adquisición comercial</t>
  </si>
  <si>
    <t>Instrumento de evaluación de la sesión: Rúbrica del avance de la clasificación preliminar de costos (punto 5.1 del informe)</t>
  </si>
  <si>
    <t>SESIÓN 5  ·  SEMANA 3  ·  Martes 01/09/2026  ·  Actividad 3 (continuación)  —  Tema: Valuación de inventarios y kárdex comercial   |   3.3. Valuación de inventarios comerciales bajo los métodos PEPS y Promedio Ponderado.   3.4. Control de almacén a través del Kárdex comercial para materiales de campaña.   |   Instrumento de evaluación: Rúbrica del kárdex y del costeo de adquisición (punto 5.2 del informe)</t>
  </si>
  <si>
    <t>01/09/2026</t>
  </si>
  <si>
    <t>Conflicto cognitivo</t>
  </si>
  <si>
    <t>Se presentan dos kárdex del mismo movimiento, uno con PEPS y otro con promedio ponderado, que arrojan utilidades distintas. Pregunta: ¿cuál está mal? Ninguno. ¿Por qué?</t>
  </si>
  <si>
    <t>Hipótesis oral</t>
  </si>
  <si>
    <t>3.3. Métodos de valuación PEPS y Promedio Ponderado</t>
  </si>
  <si>
    <t>Microexplicación de la lógica de cada método y de su efecto sobre el costo de ventas y la utilidad cuando los precios suben. Se resuelve el conflicto planteado al inicio.</t>
  </si>
  <si>
    <t>Microclase con resolución del conflicto</t>
  </si>
  <si>
    <t>Cuadro comparativo de ambos métodos</t>
  </si>
  <si>
    <t>Laboratorio 6: kárdex por PEPS</t>
  </si>
  <si>
    <t>Laboratorio paso a paso: con ocho movimientos de entrada y salida, cada estudiante construye el kárdex por PEPS en Excel con fórmulas, no con valores digitados, y obtiene el costo de ventas y el inventario final.</t>
  </si>
  <si>
    <t>Laboratorio guiado paso a paso</t>
  </si>
  <si>
    <t>Kárdex PEPS con fórmulas activas</t>
  </si>
  <si>
    <t>18:10</t>
  </si>
  <si>
    <t>Laboratorio 7: kárdex por promedio ponderado y comparación</t>
  </si>
  <si>
    <t>Con los mismos ocho movimientos se construye el kárdex por promedio ponderado, se compara con el anterior y se cuantifica la diferencia en utilidad, explicando su origen.</t>
  </si>
  <si>
    <t>Laboratorio con comparación de resultados</t>
  </si>
  <si>
    <t>Laboratorio de cómputo con MS Excel</t>
  </si>
  <si>
    <t>Kárdex comparado y diferencia explicada</t>
  </si>
  <si>
    <t>18:15</t>
  </si>
  <si>
    <t>Consultas y corrección de fórmulas.</t>
  </si>
  <si>
    <t>Proyecto integrador · Avance del punto 5.2</t>
  </si>
  <si>
    <t>Cada equipo calcula el costo de adquisición real de los insumos de su producto con la evidencia levantada, elige y justifica el método de valuación, construye el kárdex de su insumo principal y determina el costo de adquisición unitario definitivo.</t>
  </si>
  <si>
    <t>AVANCE 2 ENTREGADO: costeo de adquisición y kárdex (punto 5.2)</t>
  </si>
  <si>
    <t>Síntesis y puente al precio</t>
  </si>
  <si>
    <t>Se sistematiza qué método conviene según el comportamiento de los precios del insumo. Anuncio: con el costo ya calculado, el jueves se fija el precio de venta y se calcula el margen.</t>
  </si>
  <si>
    <t>Síntesis y puente</t>
  </si>
  <si>
    <t>Aula virtual</t>
  </si>
  <si>
    <t>Registro de la entrega</t>
  </si>
  <si>
    <t>Sesión 5 — Valuación de inventarios y kárdex comercial</t>
  </si>
  <si>
    <t>Instrumento de evaluación de la sesión: Rúbrica del kárdex y del costeo de adquisición (punto 5.2 del informe)</t>
  </si>
  <si>
    <t>SESIÓN 6  ·  SEMANA 3  ·  Jueves 03/09/2026  ·  Actividad 4: Estrategias de precios e ingeniería del margen comercial  —  Tema: Fijación de precios sobre el costo total y margen de utilidad   |   4.1. Métodos de fijación de precios basados en el costo total (Cost-Plus Pricing).   4.2. Determinación del margen de utilidad bruta deseada y el precio de venta final.   |   Instrumento de evaluación: Práctica calificada de fijación de precios y márgenes</t>
  </si>
  <si>
    <t>03/09/2026</t>
  </si>
  <si>
    <t>Conflicto cognitivo numérico</t>
  </si>
  <si>
    <t>Un producto cuesta S/ 40 y se quiere ganar 25 %. ¿A cuánto se vende? Aparecen S/ 50 y S/ 53,33. Las dos tienen lógica y solo una responde a lo pedido.</t>
  </si>
  <si>
    <t>14:50</t>
  </si>
  <si>
    <t>4.1. Margen sobre costo y margen sobre precio</t>
  </si>
  <si>
    <t>Microexplicación de la diferencia entre marcar sobre el costo y marcar sobre el precio de venta, con las dos fórmulas y el error de confundirlas. Se resuelve el conflicto del inicio.</t>
  </si>
  <si>
    <t>Las dos fórmulas en el cuaderno</t>
  </si>
  <si>
    <t>15:20</t>
  </si>
  <si>
    <t>Laboratorio 8: calculadora de precios en Excel</t>
  </si>
  <si>
    <t>Cada estudiante construye una calculadora con celdas de entrada para costo unitario y margen deseado, que devuelva el precio por ambos métodos y la diferencia entre ellos. Esta hoja pasa al modelo financiero del equipo.</t>
  </si>
  <si>
    <t>Laboratorio guiado con modelo propio</t>
  </si>
  <si>
    <t>Calculadora de precio con fórmulas activas</t>
  </si>
  <si>
    <t>4.2. Del costo total al precio final</t>
  </si>
  <si>
    <t>Microexplicación de la cadena completa: costo de adquisición, más costos operativos asignados, más margen deseado, más impuestos aplicables, igual precio de lista. Se señala dónde se pierde el margen en la práctica.</t>
  </si>
  <si>
    <t>Microclase con cadena de cálculo</t>
  </si>
  <si>
    <t>Cadena de cálculo esquematizada</t>
  </si>
  <si>
    <t>Práctica calificada de fijación de precios y márgenes</t>
  </si>
  <si>
    <t>Práctica individual calificada: fijar el precio para tres márgenes objetivo distintos, calcular el margen que resulta de un precio impuesto por el mercado y explicar la diferencia entre ambos enfoques.</t>
  </si>
  <si>
    <t>PRÁCTICA CALIFICADA DE PRECIOS Y MÁRGENES</t>
  </si>
  <si>
    <t>16:00</t>
  </si>
  <si>
    <t>Cierre de archivos y consultas.</t>
  </si>
  <si>
    <t>Proyecto integrador · Costo unitario del producto propuesto</t>
  </si>
  <si>
    <t>Cada equipo consolida el costo unitario completo de su propuesta: costo de adquisición del punto 5.2 más los costos variables de operación, verificando que cada componente tenga evidencia verificable.</t>
  </si>
  <si>
    <t>Costo unitario consolidado con evidencia</t>
  </si>
  <si>
    <t>Retroalimentación de la práctica</t>
  </si>
  <si>
    <t>Se resuelve en proyector el ítem de mayor dificultad y se advierte el error más costoso del curso: confundir el margen sobre costo con el margen sobre precio al fijar el precio de la propuesta.</t>
  </si>
  <si>
    <t>Corrección modelada</t>
  </si>
  <si>
    <t>Sesión 6 — Fijación de precios sobre el costo total y margen de utilidad</t>
  </si>
  <si>
    <t>Instrumento de evaluación de la sesión: Práctica calificada de fijación de precios y márgenes</t>
  </si>
  <si>
    <t>SESIÓN 7  ·  SEMANA 4  ·  Martes 08/09/2026  ·  Actividad 4 (continuación)  —  Tema: Sensibilidad de precios, margen de contribución y punto de equilibrio   |   4.3. Análisis de sensibilidad de precios e impacto en los ingresos de ventas.   4.4. Avance del Proyecto Integrador: auditoría del precio actual y cálculo del margen de contribución unitario.   |   Instrumento de evaluación: Rúbrica del avance del precio de venta y del margen de contribución (puntos 5.3 y 5.4)</t>
  </si>
  <si>
    <t>08/09/2026</t>
  </si>
  <si>
    <t>Encuadre con meta</t>
  </si>
  <si>
    <t>Meta de la sesión: cada equipo sale con su margen de contribución calculado y con su punto de equilibrio estimado.</t>
  </si>
  <si>
    <t>Meta anotada</t>
  </si>
  <si>
    <t>4.3. Sensibilidad del precio sobre los ingresos</t>
  </si>
  <si>
    <t>Microexplicación con demostración numérica en pizarra: una rebaja de 10 % en el precio exige un aumento de volumen mayor al 10 % para mantener el mismo margen total.</t>
  </si>
  <si>
    <t>Microclase con demostración numérica</t>
  </si>
  <si>
    <t>Demostración copiada</t>
  </si>
  <si>
    <t>17:40</t>
  </si>
  <si>
    <t>Laboratorio 9: tabla de sensibilidad de precio y volumen</t>
  </si>
  <si>
    <t>En Excel, cada estudiante construye una tabla de doble entrada que cruza cinco niveles de precio con cinco de volumen y devuelve el margen total, e identifica las combinaciones que mantienen el resultado.</t>
  </si>
  <si>
    <t>Laboratorio con tabla de doble entrada</t>
  </si>
  <si>
    <t>Tabla de sensibilidad construida</t>
  </si>
  <si>
    <t>Adelanto</t>
  </si>
  <si>
    <t>ADELANTO PUNTUAL · Margen de contribución y punto de equilibrio (contenido que el sílabo desarrolla en la semana 13)</t>
  </si>
  <si>
    <t>Microexplicación condensada de tres fórmulas operativas: margen de contribución unitario como precio menos costo variable unitario, punto de equilibrio en unidades como costos fijos entre margen unitario, y punto de equilibrio en soles. Se adelanta porque el punto 5.4 del informe lo exige y la Evaluación Permanente 1 de la semana 9 lo evalúa.</t>
  </si>
  <si>
    <t>Microclase condensada con cálculo aplicado</t>
  </si>
  <si>
    <t>Proyector, diapositivas, Laboratorio de cómputo con MS Excel</t>
  </si>
  <si>
    <t>Las tres fórmulas con un ejemplo resuelto</t>
  </si>
  <si>
    <t>Laboratorio 10: punto de equilibrio con gráfico</t>
  </si>
  <si>
    <t>Cada estudiante calcula el punto de equilibrio de un caso dado y construye el gráfico de ingresos totales frente a costos totales, identificando el punto de corte y la zona de utilidad.</t>
  </si>
  <si>
    <t>Laboratorio guiado con gráfico</t>
  </si>
  <si>
    <t>Punto de equilibrio calculado y graficado</t>
  </si>
  <si>
    <t>Consultas y corrección del gráfico.</t>
  </si>
  <si>
    <t>Proyecto integrador · Avance de los puntos 5.3 y 5.4</t>
  </si>
  <si>
    <t>Cada equipo audita el precio actual del producto de la empresa, fija el precio de su propuesta, calcula el margen de contribución unitario y obtiene su primer punto de equilibrio en unidades y en soles con su gráfico.</t>
  </si>
  <si>
    <t>5.3 y 5.4</t>
  </si>
  <si>
    <t>AVANCE 3 ENTREGADO: precio, margen de contribución y punto de equilibrio</t>
  </si>
  <si>
    <t>Lectura del punto de equilibrio</t>
  </si>
  <si>
    <t>Cada equipo declara cuántas unidades necesita vender al mes para no perder dinero y si esa cifra es alcanzable para el tamaño de su empresa. Queda anotado en el tablero del aula.</t>
  </si>
  <si>
    <t>Contraste y compromiso público</t>
  </si>
  <si>
    <t>Tablero de puntos de equilibrio del aula</t>
  </si>
  <si>
    <t>Sesión 7 — Sensibilidad de precios, margen de contribución y punto de equilibrio</t>
  </si>
  <si>
    <t>Instrumento de evaluación de la sesión: Rúbrica del avance del precio de venta y del margen de contribución (puntos 5.3 y 5.4)</t>
  </si>
  <si>
    <t>SESIÓN 8  ·  SEMANA 4  ·  Jueves 10/09/2026  ·  Actividad 5: Costeo de servicios e intangibles en el marketing  —  Tema: Costeo de servicios y costo por hora del personal   |   5.1. Particularidades del costeo en el sector servicios frente al industrial.   5.2. Cálculo del costo por hora de trabajo del personal de contacto y soporte técnico.   |   Instrumento de evaluación: Práctica dirigida de costo por hora con lista de cotejo</t>
  </si>
  <si>
    <t>10/09/2026</t>
  </si>
  <si>
    <t>¿Cuánto cuesta una hora de un asesor de ventas que gana S/ 1 500 al mes? Se recogen tres respuestas distintas y se dejan en pizarra sin corregir.</t>
  </si>
  <si>
    <t>5.1. Particularidades del costeo de servicios</t>
  </si>
  <si>
    <t>Microexplicación: en servicios no hay inventario, el costo principal es de personal y la capacidad no utilizada se pierde. Se contrasta con el costeo de un producto físico en un cuadro de dos columnas.</t>
  </si>
  <si>
    <t>Microclase con cuadro contrastado</t>
  </si>
  <si>
    <t>Cuadro de contraste en el cuaderno</t>
  </si>
  <si>
    <t>Laboratorio 11: costo por hora del personal de contacto</t>
  </si>
  <si>
    <t>Laboratorio paso a paso: de la remuneración mensual a las horas efectivamente productivas, descontando vacaciones, feriados y tiempo no facturable. Se obtiene el costo por hora real y se contrasta con la respuesta del inicio.</t>
  </si>
  <si>
    <t>Laboratorio guiado con contraste inicial</t>
  </si>
  <si>
    <t>Costo por hora real calculado</t>
  </si>
  <si>
    <t>Plenario intermedio</t>
  </si>
  <si>
    <t>Se comparan los resultados del aula y se discute por qué el costo por hora real casi duplica la división simple del sueldo entre las horas del mes.</t>
  </si>
  <si>
    <t>Socialización con discusión</t>
  </si>
  <si>
    <t>Conclusión registrada</t>
  </si>
  <si>
    <t>Laboratorio 12: costo de un servicio completo</t>
  </si>
  <si>
    <t>Cada pareja costea un servicio de atención de cuarenta minutos, incorporando el costo por hora del personal, los materiales consumidos y una porción de los costos indirectos del local.</t>
  </si>
  <si>
    <t>Laboratorio con caso aplicado</t>
  </si>
  <si>
    <t>Costo de un servicio completo calculado</t>
  </si>
  <si>
    <t>Consultas y ajustes del cálculo.</t>
  </si>
  <si>
    <t>Proyecto integrador · Costos de personal de la propuesta</t>
  </si>
  <si>
    <t>Cada equipo identifica qué personal se requiere para operar su propuesta, calcula el costo por hora de cada perfil y determina cuánto de ese costo es fijo y cuánto varía con el volumen de operación.</t>
  </si>
  <si>
    <t>5.1 y 5.2</t>
  </si>
  <si>
    <t>Costo de personal de la propuesta calculado</t>
  </si>
  <si>
    <t>Síntesis y encargo</t>
  </si>
  <si>
    <t>Se sistematiza la regla del costo por hora. Encargo: verificar con la empresa el número real de horas productivas del personal para el martes.</t>
  </si>
  <si>
    <t>Sesión 8 — Costeo de servicios y costo por hora del personal</t>
  </si>
  <si>
    <t>Instrumento de evaluación de la sesión: Práctica dirigida de costo por hora con lista de cotejo</t>
  </si>
  <si>
    <t>SESIÓN 9  ·  SEMANA 5  ·  Martes 15/09/2026  ·  Actividad 5 (continuación)  —  Tema: Tarifas de servicios profesionales y costos fijos de personal   |   5.3. Determinación de tarifas de consultoría comercial y diseño estratégico de marca.   5.4. Avance del Proyecto Integrador: identificación de costos fijos de personal operativo.   |   Instrumento de evaluación: Rúbrica de la propuesta económica y del avance de los puntos 5.1 y 5.2</t>
  </si>
  <si>
    <t>15/09/2026</t>
  </si>
  <si>
    <t>Caso detonante</t>
  </si>
  <si>
    <t>Se muestra una propuesta económica real de una agencia por un proyecto de identidad de marca y se pregunta cómo llegaron a esa cifra.</t>
  </si>
  <si>
    <t>5.3. Estructura de una tarifa profesional</t>
  </si>
  <si>
    <t>Microexplicación: horas estimadas por perfil, costo por hora, costos directos del proyecto, porción de estructura y margen. Se presenta la plantilla de propuesta económica.</t>
  </si>
  <si>
    <t>Microclase con plantilla</t>
  </si>
  <si>
    <t>Estructura de la tarifa</t>
  </si>
  <si>
    <t>17:50</t>
  </si>
  <si>
    <t>Laboratorio 13: propuesta económica de un servicio de marca</t>
  </si>
  <si>
    <t>Cada equipo elabora la propuesta económica completa de un proyecto de identidad de marca de seis semanas, con tres perfiles profesionales, sus horas estimadas y el margen aplicado.</t>
  </si>
  <si>
    <t>Taller de aplicación con plantilla</t>
  </si>
  <si>
    <t>Propuesta económica elaborada</t>
  </si>
  <si>
    <t>18:00</t>
  </si>
  <si>
    <t>Contraste de propuestas</t>
  </si>
  <si>
    <t>Tres equipos presentan su tarifa final y el aula compara: mismas horas y perfiles, tarifas distintas. Se identifica dónde está la diferencia y qué la justifica.</t>
  </si>
  <si>
    <t>Socialización comparativa</t>
  </si>
  <si>
    <t>Cuadro comparativo de tarifas</t>
  </si>
  <si>
    <t>Consultas de la plantilla.</t>
  </si>
  <si>
    <t>18:55</t>
  </si>
  <si>
    <t>Proyecto integrador · Consolidación de los puntos 5.1 y 5.2</t>
  </si>
  <si>
    <t>Cada equipo cierra la clasificación definitiva de los costos fijos de personal de su propuesta y consolida el costo unitario completo, verificando que el total de costos fijos mensuales quede cerrado para el cálculo del punto de equilibrio.</t>
  </si>
  <si>
    <t>AVANCE 4 ENTREGADO: costos de personal y costo unitario consolidado</t>
  </si>
  <si>
    <t>Punto de control del proyecto</t>
  </si>
  <si>
    <t>Revisión equipo por equipo del estado del capítulo 5: qué puntos están cerrados, cuáles a medias y cuáles no empezaron. Se actualiza el tablero del aula y se identifican los equipos atrasados para asesoría prioritaria.</t>
  </si>
  <si>
    <t>5.1 a 5.4</t>
  </si>
  <si>
    <t>Punto de control con tablero</t>
  </si>
  <si>
    <t>Tablero de avance del proyecto</t>
  </si>
  <si>
    <t>Tablero de avance actualizado</t>
  </si>
  <si>
    <t>Sesión 9 — Tarifas de servicios profesionales y costos fijos de personal</t>
  </si>
  <si>
    <t>Instrumento de evaluación de la sesión: Rúbrica de la propuesta económica y del avance de los puntos 5.1 y 5.2</t>
  </si>
  <si>
    <t>SESIÓN 10  ·  SEMANA 5  ·  Jueves 17/09/2026  ·  Actividad 6: Sistemas de costeo por órdenes de trabajo comerciales  —  Tema: Costeo por órdenes y hoja de costos de campaña   |   6.1. Fundamentos del costeo por órdenes de trabajo aplicables a proyectos comerciales.   6.2. Estructuración de la Hoja de Costos por Órdenes para campañas y eventos promocionales.   |   Instrumento de evaluación: Lista de cotejo de la Hoja de Costos por Órdenes elaborada</t>
  </si>
  <si>
    <t>17/09/2026</t>
  </si>
  <si>
    <t>Se proyecta la foto de una activación en un centro comercial y se pregunta: si el cliente pide el costo exacto de esa activación, ¿qué habría que haber registrado y desde cuándo?</t>
  </si>
  <si>
    <t>Lista oral de conceptos</t>
  </si>
  <si>
    <t>6.1. Cuándo se costea por órdenes</t>
  </si>
  <si>
    <t>Microexplicación: el costeo por órdenes aplica cuando cada trabajo es distinto e identificable, que es el caso de una campaña, un evento o una activación. Se contrasta con el costeo por procesos.</t>
  </si>
  <si>
    <t>Microclase con criterio de aplicación</t>
  </si>
  <si>
    <t>Criterio de aplicación en el cuaderno</t>
  </si>
  <si>
    <t>Laboratorio 14: hoja de costos por órdenes</t>
  </si>
  <si>
    <t>Modelado y construcción: cada estudiante arma en Excel la hoja de costos de una activación, con sus tres secciones de materiales directos, personal directo y servicios tercerizados, con fórmulas de acumulación.</t>
  </si>
  <si>
    <t>Hoja de costos por órdenes construida</t>
  </si>
  <si>
    <t>15:40</t>
  </si>
  <si>
    <t>Laboratorio 15: costeo de un evento promocional completo</t>
  </si>
  <si>
    <t>Cada pareja costea un evento de lanzamiento con datos reales de cotización: alquiler, personal de apoyo, material impreso, degustación y transporte, y obtiene el costo por asistente.</t>
  </si>
  <si>
    <t>Costo total y costo por asistente del evento</t>
  </si>
  <si>
    <t>Se comparan los costos por asistente y se discute qué conceptos olvidaron incluir quienes obtuvieron el costo más bajo.</t>
  </si>
  <si>
    <t>Socialización con detección de omisiones</t>
  </si>
  <si>
    <t>Lista de conceptos omitidos con frecuencia</t>
  </si>
  <si>
    <t>Consultas y ajustes de la hoja de costos.</t>
  </si>
  <si>
    <t>Proyecto integrador · Hoja de costos del lanzamiento</t>
  </si>
  <si>
    <t>Cada equipo estructura la hoja de costos por órdenes de las actividades de lanzamiento de su propuesta: activación, material promocional y evento de presentación, con cotizaciones reales.</t>
  </si>
  <si>
    <t>Hoja de costos del lanzamiento iniciada</t>
  </si>
  <si>
    <t>Encargo de cotizaciones</t>
  </si>
  <si>
    <t>Encargo: conseguir las cotizaciones faltantes del lanzamiento para el martes, cuando esos montos se convierten en el presupuesto de inversión.</t>
  </si>
  <si>
    <t>Sesión 10 — Costeo por órdenes y hoja de costos de campaña</t>
  </si>
  <si>
    <t>Instrumento de evaluación de la sesión: Lista de cotejo de la Hoja de Costos por Órdenes elaborada</t>
  </si>
  <si>
    <t>SESIÓN 11  ·  SEMANA 6  ·  Martes 22/09/2026  ·  Actividad 6 (continuación)  —  Tema: Acumulación modular por campaña y presupuesto de inversión   |   6.3. Acumulación modular de materiales directos, personal directo y servicios tercerizados por campaña.   6.4. Avance del Proyecto Integrador: costeo modular por órdenes de los eventos de lanzamiento.   |   Instrumento de evaluación: Rúbrica del avance del costeo por órdenes (punto 5.5 del informe)</t>
  </si>
  <si>
    <t>22/09/2026</t>
  </si>
  <si>
    <t>Cada equipo declara cuántas cotizaciones consiguió y cuáles siguen pendientes. Se actualiza el tablero.</t>
  </si>
  <si>
    <t>Tablero de avance</t>
  </si>
  <si>
    <t>Tablero actualizado</t>
  </si>
  <si>
    <t>6.3. Acumulación modular por campaña</t>
  </si>
  <si>
    <t>Microexplicación: cada módulo de la campaña se costea por separado y luego se consolida, lo que permite decidir qué módulo se recorta si el presupuesto no alcanza. Se muestra con una campaña de cuatro módulos.</t>
  </si>
  <si>
    <t>Microclase con caso modular</t>
  </si>
  <si>
    <t>Esquema de acumulación modular</t>
  </si>
  <si>
    <t>Laboratorio 16: consolidación modular en Excel</t>
  </si>
  <si>
    <t>Cada estudiante construye el consolidado de cuatro módulos de campaña con fórmulas de referencia entre hojas, de modo que al modificar un módulo el total se actualice automáticamente.</t>
  </si>
  <si>
    <t>Laboratorio con enlace entre hojas</t>
  </si>
  <si>
    <t>Consolidado modular con fórmulas activas</t>
  </si>
  <si>
    <t>ADELANTO PUNTUAL · Estructura del presupuesto de inversión inicial (contenido que el sílabo desarrolla en las semanas 14 y 15)</t>
  </si>
  <si>
    <t>Microexplicación condensada de la diferencia entre inversión inicial y gasto operativo, y de las cuatro categorías del presupuesto de inversión: activos, adecuación, lanzamiento y capital de trabajo inicial. Se adelanta porque el punto 5.5 del informe lo exige y los costos del lanzamiento ya están calculados hoy.</t>
  </si>
  <si>
    <t>Microclase condensada con plantilla</t>
  </si>
  <si>
    <t>Proyector, diapositivas, Plantilla de costos del curso (.xlsx)</t>
  </si>
  <si>
    <t>Plantilla del presupuesto de inversión recibida</t>
  </si>
  <si>
    <t>Consultas del laboratorio.</t>
  </si>
  <si>
    <t>Proyecto integrador · Avance del punto 5.5, presupuesto de inversión</t>
  </si>
  <si>
    <t>Cada equipo consolida su hoja de costos por órdenes y la traslada al presupuesto de inversión inicial, clasificando cada monto en la categoría que corresponde y sumando el capital de trabajo del primer mes.</t>
  </si>
  <si>
    <t>AVANCE 5 ENTREGADO: presupuesto de inversión inicial (punto 5.5)</t>
  </si>
  <si>
    <t>Revisión cruzada</t>
  </si>
  <si>
    <t>Los equipos intercambian su presupuesto y verifican dos cosas: que ningún gasto operativo recurrente esté registrado como inversión y que exista capital de trabajo previsto.</t>
  </si>
  <si>
    <t>Evaluación entre pares</t>
  </si>
  <si>
    <t>Presupuesto observado por el equipo par</t>
  </si>
  <si>
    <t>Se sistematiza el error más frecuente: registrar como inversión lo que es un gasto mensual. Anuncio: el jueves se reparten los costos indirectos, que es lo que falta para cerrar el costo unitario real.</t>
  </si>
  <si>
    <t>Sesión 11 — Acumulación modular por campaña y presupuesto de inversión</t>
  </si>
  <si>
    <t>Instrumento de evaluación de la sesión: Rúbrica del avance del costeo por órdenes (punto 5.5 del informe)</t>
  </si>
  <si>
    <t>SESIÓN 12  ·  SEMANA 6  ·  Jueves 24/09/2026  ·  Actividad 7: Costeo basado en actividades (ABC) en canales de marketing  —  Tema: Inductores de costo y jerarquía de actividades comerciales   |   7.1. Limitaciones del prorrateo comercial tradicional sobre base de volumen de ventas.   7.2. Concepto de actividades, recursos y cost drivers comerciales.   7.3. Jerarquía de costos de cuatro niveles de ABC aplicada a canales y líneas de productos.   |   Instrumento de evaluación: Práctica calificada de aplicación del modelo ABC</t>
  </si>
  <si>
    <t>24/09/2026</t>
  </si>
  <si>
    <t>Una empresa tiene dos líneas: una vende mucho con poco margen y otra vende poco con mucho margen. Con prorrateo por ventas, la primera parece rentable. Pregunta: ¿es cierto?</t>
  </si>
  <si>
    <t>7.1. Limitaciones del prorrateo por volumen de ventas</t>
  </si>
  <si>
    <t>Microexplicación con el caso del inicio resuelto numéricamente: el prorrateo por ventas subsidia a la línea que consume más actividades de atención. Se cuantifica la distorsión.</t>
  </si>
  <si>
    <t>Distorsión cuantificada en el cuaderno</t>
  </si>
  <si>
    <t>15:05</t>
  </si>
  <si>
    <t>7.2. Actividades, recursos e inductores</t>
  </si>
  <si>
    <t>Se listan seis actividades comerciales reales y cada pareja propone el inductor adecuado para cada una, justificando la relación causal. Se corrige en plenaria.</t>
  </si>
  <si>
    <t>Práctica de asignación de inductores</t>
  </si>
  <si>
    <t>Ficha de trabajo impresa</t>
  </si>
  <si>
    <t>Seis inductores propuestos y justificados</t>
  </si>
  <si>
    <t>15:35</t>
  </si>
  <si>
    <t>7.3. Laboratorio 17: modelo ABC de dos etapas</t>
  </si>
  <si>
    <t>Laboratorio paso a paso: asignación de recursos a actividades y de actividades a objetos de costo, con dos líneas de producto y cuatro actividades. Se compara el resultado con el prorrateo tradicional.</t>
  </si>
  <si>
    <t>Laboratorio guiado con comparación</t>
  </si>
  <si>
    <t>Modelo ABC construido y comparado</t>
  </si>
  <si>
    <t>Práctica calificada de aplicación del modelo ABC</t>
  </si>
  <si>
    <t>Práctica individual calificada: asignar los costos indirectos de una empresa comercial a dos canales mediante ABC, calcular el costo unitario resultante en cada uno y explicar qué decisión cambia respecto del prorrateo tradicional.</t>
  </si>
  <si>
    <t>PRÁCTICA CALIFICADA DE MODELO ABC</t>
  </si>
  <si>
    <t>16:05</t>
  </si>
  <si>
    <t>Proyecto integrador · Actividades indirectas e inductores</t>
  </si>
  <si>
    <t>Cada equipo lista las actividades indirectas que su propuesta consume, define el inductor de cada una y estima su volumen mensual, dejando listo el modelo para asignar los indirectos el martes.</t>
  </si>
  <si>
    <t>Matriz de actividades e inductores</t>
  </si>
  <si>
    <t>Se resuelve el ítem de mayor dificultad y se recuerda el criterio central: el inductor debe guardar relación causal con el consumo del recurso, no ser el dato más fácil de conseguir.</t>
  </si>
  <si>
    <t>Sesión 12 — Inductores de costo y jerarquía de actividades comerciales</t>
  </si>
  <si>
    <t>Instrumento de evaluación de la sesión: Práctica calificada de aplicación del modelo ABC</t>
  </si>
  <si>
    <t>SESIÓN 13  ·  SEMANA 7  ·  Martes 29/09/2026  ·  Actividad 7 (continuación)  —  Tema: Costos de soporte por cliente y costo unitario definitivo   |   7.4. Asignación de costos de servicio y soporte a clientes específicos en sistemas CRM.   7.5. Avance del Proyecto Integrador: costo de las actividades operativas de soporte.   |   Instrumento de evaluación: Rúbrica del avance del costo unitario definitivo (puntos 5.2 y 5.4)</t>
  </si>
  <si>
    <t>29/09/2026</t>
  </si>
  <si>
    <t>Meta de la sesión: cerrar el costo unitario definitivo de la propuesta, con los indirectos ya asignados por inductores.</t>
  </si>
  <si>
    <t>7.4. Costo de atender a cada cliente</t>
  </si>
  <si>
    <t>Microexplicación: no todos los clientes cuestan lo mismo. Se descomponen las actividades de atención, soporte y postventa y se muestra cómo dos clientes con la misma facturación dejan márgenes distintos.</t>
  </si>
  <si>
    <t>Microclase con caso de dos clientes</t>
  </si>
  <si>
    <t>Descomposición de actividades de atención</t>
  </si>
  <si>
    <t>Laboratorio 18: rentabilidad por cliente</t>
  </si>
  <si>
    <t>Cada estudiante calcula el margen neto de cuatro clientes con la misma facturación pero distinto consumo de actividades de soporte, y ordena la cartera de más a menos rentable.</t>
  </si>
  <si>
    <t>Laboratorio guiado con ordenamiento</t>
  </si>
  <si>
    <t>Cartera ordenada por rentabilidad real</t>
  </si>
  <si>
    <t>Se discute qué haría la empresa con el cliente menos rentable: subir el precio, reducir el servicio o dejarlo ir. Se registra el criterio de decisión.</t>
  </si>
  <si>
    <t>Discusión guiada con decisión</t>
  </si>
  <si>
    <t>Criterio de decisión registrado</t>
  </si>
  <si>
    <t>Proyecto integrador · Costo unitario definitivo con indirectos asignados</t>
  </si>
  <si>
    <t>Cada equipo aplica su modelo de inductores, asigna los costos indirectos a su propuesta y obtiene el costo unitario definitivo. Recalcula con ese dato el margen de contribución y el punto de equilibrio de la sesión 7, y cuantifica cuánto cambiaron.</t>
  </si>
  <si>
    <t>5.2 y 5.4</t>
  </si>
  <si>
    <t>AVANCE 6 ENTREGADO: costo unitario definitivo y punto de equilibrio recalculado</t>
  </si>
  <si>
    <t>Impacto de los indirectos sobre la viabilidad</t>
  </si>
  <si>
    <t>Cada equipo compara su punto de equilibrio antes y después de asignar los indirectos y declara si su propuesta sigue siendo alcanzable. Los equipos cuyo punto de equilibrio se disparó reciben asesoría prioritaria.</t>
  </si>
  <si>
    <t>Contraste antes y después</t>
  </si>
  <si>
    <t>Comparación registrada en el tablero</t>
  </si>
  <si>
    <t>Sesión 13 — Costos de soporte por cliente y costo unitario definitivo</t>
  </si>
  <si>
    <t>Instrumento de evaluación de la sesión: Rúbrica del avance del costo unitario definitivo (puntos 5.2 y 5.4)</t>
  </si>
  <si>
    <t>SESIÓN 14  ·  SEMANA 7  ·  Jueves 01/10/2026  ·  Actividad 8: Costeo del ciclo de vida del cliente (CAC y CLV)  —  Tema: Costo de adquisición de clientes y valor de vida del cliente   |   8.1. Cálculo del Costo de Adquisición de Clientes (CAC) y sus componentes promocionales.   8.2. Determinación del Valor de Vida del Cliente (Customer Lifetime Value).   |   Instrumento de evaluación: Práctica calificada de cálculo e interpretación de CAC y CLV</t>
  </si>
  <si>
    <t>01/10/2026</t>
  </si>
  <si>
    <t>Una campaña costó S/ 6 000 y trajo 150 clientes nuevos que compran S/ 40 una vez. ¿Fue buena la campaña? Respuesta escrita antes de cualquier cálculo.</t>
  </si>
  <si>
    <t>8.1. Costo de adquisición de clientes</t>
  </si>
  <si>
    <t>Microexplicación de la fórmula y de sus componentes: pauta, material, personal de activación y descuentos de captación. Se advierte el error de dividir solo la pauta entre los clientes captados.</t>
  </si>
  <si>
    <t>Microclase con fórmula y componentes</t>
  </si>
  <si>
    <t>Fórmula del CAC con sus componentes</t>
  </si>
  <si>
    <t>15:10</t>
  </si>
  <si>
    <t>Laboratorio 19: cálculo del CAC por canal</t>
  </si>
  <si>
    <t>En Excel, cada estudiante calcula el CAC de tres canales de captación con presupuestos y resultados distintos, y determina cuál canal conviene escalar.</t>
  </si>
  <si>
    <t>Laboratorio guiado con decisión</t>
  </si>
  <si>
    <t>CAC por canal calculado y canal recomendado</t>
  </si>
  <si>
    <t>8.2. Valor de vida del cliente</t>
  </si>
  <si>
    <t>Microexplicación del CLV con el modelo simple: margen por compra, por frecuencia anual, por años de permanencia. Se resuelve el reto del inicio y se muestra que la campaña era buena o mala según el CLV, no según la primera compra.</t>
  </si>
  <si>
    <t>Fórmula del CLV y reto resuelto</t>
  </si>
  <si>
    <t>Laboratorio 20: relación entre CLV y CAC</t>
  </si>
  <si>
    <t>Cada pareja calcula el CLV de dos perfiles de cliente y lo contrasta con el CAC de cada canal, obteniendo la relación entre ambos y el criterio de tres a uno como referencia de salud comercial.</t>
  </si>
  <si>
    <t>Laboratorio con criterio de decisión</t>
  </si>
  <si>
    <t>Relación CLV sobre CAC calculada</t>
  </si>
  <si>
    <t>16:10</t>
  </si>
  <si>
    <t>Práctica calificada de CAC y CLV</t>
  </si>
  <si>
    <t>Práctica individual calificada: calcular CAC y CLV de un caso dado, interpretar la relación entre ambos y recomendar si la empresa debe aumentar, mantener o reducir su inversión en captación.</t>
  </si>
  <si>
    <t>5.5 y 5.6</t>
  </si>
  <si>
    <t>PRÁCTICA CALIFICADA DE CAC Y CLV</t>
  </si>
  <si>
    <t>Proyecto integrador · CAC y CLV de la propuesta</t>
  </si>
  <si>
    <t>Cada equipo calcula el CAC de su plan de lanzamiento con el presupuesto de la sesión 11 y estima el CLV del cliente de su propuesta, coordinando la cifra con el curso de Marketing Relacional.</t>
  </si>
  <si>
    <t>CAC y CLV de la propuesta calculados</t>
  </si>
  <si>
    <t>Sesión 14 — Costo de adquisición de clientes y valor de vida del cliente</t>
  </si>
  <si>
    <t>Instrumento de evaluación de la sesión: Práctica calificada de cálculo e interpretación de CAC y CLV</t>
  </si>
  <si>
    <t>SESIÓN 15  ·  SEMANA 8  ·  Martes 06/10/2026  ·  Actividad 8 (continuación)  —  Tema: Rentabilidad de la cartera y proyección de ventas del primer año   |   8.3. Análisis de rentabilidad de la cartera de clientes y tasas de retención.   8.4. Avance del Proyecto Integrador: justificación financiera de la fidelización.   |   Instrumento de evaluación: Rúbrica del avance de la proyección de ventas (punto 5.6)</t>
  </si>
  <si>
    <t>06/10/2026</t>
  </si>
  <si>
    <t>Meta de la sesión: cada equipo sale con su proyección de ventas mensualizada del primer año.</t>
  </si>
  <si>
    <t>8.3. Tasa de retención y su efecto financiero</t>
  </si>
  <si>
    <t>Microexplicación con demostración numérica: elevar la retención cinco puntos porcentuales tiene mayor efecto sobre la utilidad que captar el mismo número de clientes nuevos.</t>
  </si>
  <si>
    <t>Demostración de los dos escenarios</t>
  </si>
  <si>
    <t>Laboratorio 21: efecto de la retención sobre la utilidad</t>
  </si>
  <si>
    <t>Cada estudiante modela en Excel la utilidad anual de una cartera con tres tasas de retención distintas y cuantifica cuánto vale cada punto porcentual de retención.</t>
  </si>
  <si>
    <t>Laboratorio con modelo de escenarios</t>
  </si>
  <si>
    <t>Valor de un punto de retención cuantificado</t>
  </si>
  <si>
    <t>ADELANTO PUNTUAL · Cédula de ingresos y proyección de ventas mensualizada (contenido que el sílabo desarrolla en la semana 14)</t>
  </si>
  <si>
    <t>Microexplicación condensada de cómo se construye una proyección de doce meses: volumen inicial, tasa de crecimiento mensual, estacionalidad y precio, con la cédula de ingresos como formato de salida. Se adelanta porque el punto 5.6 exige el estado de resultados y no se puede proyectar sin ingresos.</t>
  </si>
  <si>
    <t>Plantilla de cédula de ingresos recibida</t>
  </si>
  <si>
    <t>Proyecto integrador · Avance del punto 5.6, proyección de ventas</t>
  </si>
  <si>
    <t>Cada equipo construye su cédula de ingresos mensualizada de doce meses, partiendo del punto de equilibrio como piso y del CLV y la captación proyectada como sustento del volumen. Justifica por escrito la tasa de crecimiento asumida.</t>
  </si>
  <si>
    <t>AVANCE 7 ENTREGADO: proyección de ventas del primer año (punto 5.6)</t>
  </si>
  <si>
    <t>Auditoría de supuestos</t>
  </si>
  <si>
    <t>Los equipos intercambian proyecciones y cuestionan un solo punto: ¿de dónde sale la tasa de crecimiento asumida? Una proyección sin sustento se devuelve para corrección.</t>
  </si>
  <si>
    <t>Evaluación entre pares con foco en supuestos</t>
  </si>
  <si>
    <t>Proyección observada por el equipo par</t>
  </si>
  <si>
    <t>Sesión 15 — Rentabilidad de la cartera y proyección de ventas del primer año</t>
  </si>
  <si>
    <t>Instrumento de evaluación de la sesión: Rúbrica del avance de la proyección de ventas (punto 5.6)</t>
  </si>
  <si>
    <t>SESIÓN 16  ·  SEMANA 8  ·  Jueves 08/10/2026  ·  Actividad 9: Planilla comercial y sobrecostos laborales  —  Tema: Composición de la planilla y costo real del empleador   |   9.1. Clasificación del costo de personal comercial (fuerza de ventas, community managers, analistas de CRM).   9.2. Composición de la planilla bajo el régimen laboral general peruano: EsSalud, gratificaciones, CTS y vacaciones.   |   Instrumento de evaluación: Ficha de observación y lista de cotejo del cálculo del costo empleador</t>
  </si>
  <si>
    <t>08/10/2026</t>
  </si>
  <si>
    <t>Un vendedor gana S/ 1 500 mensuales. ¿Cuánto le cuesta realmente a la empresa al año? Se recogen tres cifras distintas y se dejan en pizarra.</t>
  </si>
  <si>
    <t>9.1. Clasificación del costo de personal comercial</t>
  </si>
  <si>
    <t>Microexplicación: qué perfiles son costo fijo, cuáles variables y cuáles mixtos, y por qué esa clasificación cambia el punto de equilibrio de la propuesta.</t>
  </si>
  <si>
    <t>Microclase con criterio de clasificación</t>
  </si>
  <si>
    <t>Clasificación del personal comercial</t>
  </si>
  <si>
    <t>15:00</t>
  </si>
  <si>
    <t>9.2. Composición de la planilla</t>
  </si>
  <si>
    <t>Microexplicación de los componentes del costo empleador bajo el régimen general: remuneración, aporte a EsSalud, dos gratificaciones con su bonificación extraordinaria, compensación por tiempo de servicios y vacaciones. Se arma la estructura en pizarra.</t>
  </si>
  <si>
    <t>Microclase con estructura en pizarra</t>
  </si>
  <si>
    <t>Estructura del costo empleador</t>
  </si>
  <si>
    <t>Laboratorio 22: cálculo del costo empleador anual</t>
  </si>
  <si>
    <t>Laboratorio paso a paso: cada estudiante construye en Excel la planilla anual de un trabajador con fórmulas, obtiene el factor de sobrecosto sobre la remuneración y contrasta el resultado con su estimación del inicio.</t>
  </si>
  <si>
    <t>Laboratorio de cómputo con MS Excel, Guía de laboratorio impresa, normativa laboral vigente</t>
  </si>
  <si>
    <t>Planilla anual con factor de sobrecosto calculado</t>
  </si>
  <si>
    <t>15:45</t>
  </si>
  <si>
    <t>Proyecto integrador · Costo real del equipo humano de la propuesta</t>
  </si>
  <si>
    <t>Cada equipo recalcula el costo del personal de su propuesta aplicando el factor de sobrecosto obtenido, actualiza sus costos fijos mensuales y verifica el impacto sobre el punto de equilibrio calculado en la sesión 13.</t>
  </si>
  <si>
    <t>5.1 y 5.4</t>
  </si>
  <si>
    <t>Costos fijos de personal actualizados con sobrecostos</t>
  </si>
  <si>
    <t>Impacto sobre el punto de equilibrio</t>
  </si>
  <si>
    <t>Cada equipo declara cuánto subió su punto de equilibrio al incorporar los sobrecostos laborales y si la propuesta sigue siendo viable. Se actualiza el tablero del aula.</t>
  </si>
  <si>
    <t>Contraste y tablero</t>
  </si>
  <si>
    <t>Sesión 16 — Composición de la planilla y costo real del empleador</t>
  </si>
  <si>
    <t>Instrumento de evaluación de la sesión: Ficha de observación y lista de cotejo del cálculo del costo empleador</t>
  </si>
  <si>
    <t>SESIÓN 17  ·  SEMANA 9  ·  Martes 13/10/2026  ·  Actividad 9 (continuación)  —  Tema: Modalidad de contratación y simulación del costo empleador   |   9.3. Contratación por recibos por honorarios frente a contrato en planilla.   9.4. Simulación del costo real empleador mensual y anual de un equipo comercial.   |   Instrumento de evaluación: Práctica calificada de elaboración de planilla y cálculo del costo empleador</t>
  </si>
  <si>
    <t>13/10/2026</t>
  </si>
  <si>
    <t>Encuadre</t>
  </si>
  <si>
    <t>Meta de la sesión: dejar cerrado el costo del equipo humano de la propuesta y llegar listos a la sustentación del jueves.</t>
  </si>
  <si>
    <t>17:20</t>
  </si>
  <si>
    <t>9.3. Planilla frente a recibos por honorarios</t>
  </si>
  <si>
    <t>Microexplicación comparativa: costo, riesgo, permanencia y obligaciones de cada modalidad. Se advierte el riesgo de desnaturalización del contrato cuando existe subordinación.</t>
  </si>
  <si>
    <t>Microclase con cuadro comparativo</t>
  </si>
  <si>
    <t>Cuadro comparativo de modalidades</t>
  </si>
  <si>
    <t>Laboratorio 23: simulación del costo de un equipo comercial</t>
  </si>
  <si>
    <t>Cada estudiante simula en Excel el costo mensual y anual de un equipo de tres personas bajo las dos modalidades y determina a partir de qué remuneración conviene una u otra.</t>
  </si>
  <si>
    <t>Laboratorio con comparación de escenarios</t>
  </si>
  <si>
    <t>Simulación comparada de las dos modalidades</t>
  </si>
  <si>
    <t>Práctica calificada de planilla y costo empleador</t>
  </si>
  <si>
    <t>Práctica individual calificada: elaborar la planilla anual de un equipo comercial de tres personas, obtener el costo empleador mensual y anual, y recomendar la modalidad de contratación para un perfil dado con justificación económica y legal.</t>
  </si>
  <si>
    <t>PRÁCTICA CALIFICADA DE PLANILLA</t>
  </si>
  <si>
    <t>Proyecto integrador · Preparación de la sustentación</t>
  </si>
  <si>
    <t>Cada equipo consolida en su modelo de Excel todo lo construido hasta hoy y arma la lámina de sustentación: clasificación de costos, costo unitario, precio, margen de contribución y punto de equilibrio con su gráfico.</t>
  </si>
  <si>
    <t>Taller de consolidación con asesoría</t>
  </si>
  <si>
    <t>Modelo consolidado y lámina de sustentación lista</t>
  </si>
  <si>
    <t>Encuadre de la Evaluación Permanente 1</t>
  </si>
  <si>
    <t>Se explica el formato de la sustentación del jueves, la rúbrica, el tiempo por equipo y las preguntas tipo del panel. Se sortea el orden de exposición.</t>
  </si>
  <si>
    <t>Encuadre de la evaluación</t>
  </si>
  <si>
    <t>Rúbrica de sustentación</t>
  </si>
  <si>
    <t>Rúbrica entregada y orden sorteado</t>
  </si>
  <si>
    <t>Sesión 17 — Modalidad de contratación y simulación del costo empleador</t>
  </si>
  <si>
    <t>Instrumento de evaluación de la sesión: Práctica calificada de elaboración de planilla y cálculo del costo empleador</t>
  </si>
  <si>
    <t>SESIÓN 18  ·  SEMANA 9  ·  Jueves 15/10/2026  ·  Actividad 9 (evaluación)  —  Tema: Evaluación Permanente 1: sustentación del avance del capítulo 5   |   9.5. Avance del Proyecto Integrador – Evaluación Permanente 1: sustentación del diagnóstico de costos actuales y del cálculo del punto de equilibrio.   |   Instrumento de evaluación: Rúbrica de sustentación de avance (Evaluación Permanente 1 – 30 %)</t>
  </si>
  <si>
    <t>15/10/2026</t>
  </si>
  <si>
    <t>Indicaciones de la sustentación</t>
  </si>
  <si>
    <t>Verificación del orden sorteado, del tiempo de ocho minutos por equipo y de los tres de preguntas. Prueba rápida de proyección de los archivos.</t>
  </si>
  <si>
    <t>Rúbrica, proyector</t>
  </si>
  <si>
    <t>Archivos verificados</t>
  </si>
  <si>
    <t>EVALUACIÓN PERMANENTE 1: sustentación por equipos</t>
  </si>
  <si>
    <t>Cada equipo sustenta ocho minutos y responde tres de preguntas sobre clasificación de costos, costo unitario, precio, margen de contribución y punto de equilibrio, mostrando el modelo de Excel en pantalla con sus fórmulas visibles.</t>
  </si>
  <si>
    <t>Sustentación con panel de preguntas</t>
  </si>
  <si>
    <t>Proyector, modelo de Excel del equipo</t>
  </si>
  <si>
    <t>EVALUACIÓN PERMANENTE 1 (30 %)</t>
  </si>
  <si>
    <t>Transición entre equipos y ajustes técnicos.</t>
  </si>
  <si>
    <t>Retroalimentación por equipo</t>
  </si>
  <si>
    <t>El docente devuelve a cada equipo dos observaciones concretas y una corrección obligatoria antes del cierre del capítulo.</t>
  </si>
  <si>
    <t>Retroalimentación individualizada</t>
  </si>
  <si>
    <t>Rúbrica llenada</t>
  </si>
  <si>
    <t>Observaciones entregadas por equipo</t>
  </si>
  <si>
    <t>Encuadre de la recta final</t>
  </si>
  <si>
    <t>Se anuncia que en la semana 10 se cierra el capítulo 5 completo: estado de resultados, escenarios, índice costo-beneficio y periodo de recuperación. Se indica qué debe estar listo el martes.</t>
  </si>
  <si>
    <t>5.6 a 5.8</t>
  </si>
  <si>
    <t>Encuadre y encargo</t>
  </si>
  <si>
    <t>Sesión 18 — Evaluación Permanente 1: sustentación del avance del capítulo 5</t>
  </si>
  <si>
    <t>Instrumento de evaluación de la sesión: Rúbrica de sustentación de avance (Evaluación Permanente 1 – 30 %)</t>
  </si>
  <si>
    <t>SESIÓN 19  ·  SEMANA 10  ·  Martes 20/10/2026  ·  Actividad 10: Comisiones de ventas y planes de incentivos  —  Tema: Remuneración variable y estado de resultados proyectado   |   10.1. Estructura de remuneraciones variables de la fuerza de ventas.   10.2. Modelamiento de comisiones por escala de metas e incentivos comerciales.   |   Instrumento de evaluación: Práctica calificada de modelamiento de comisiones en Excel</t>
  </si>
  <si>
    <t>20/10/2026</t>
  </si>
  <si>
    <t>Se presentan dos esquemas de comisión sobre la misma venta: uno plano de 4 % y otro escalonado. Pregunta: ¿cuál le conviene a la empresa y cuál al vendedor?</t>
  </si>
  <si>
    <t>Reto comparativo</t>
  </si>
  <si>
    <t>Hipótesis escrita</t>
  </si>
  <si>
    <t>10.1. Estructura de la remuneración variable</t>
  </si>
  <si>
    <t>Microexplicación de los componentes: fijo, comisión sobre venta o sobre margen, bono por cumplimiento y aceleradores. Se advierte el efecto de comisionar sobre venta y no sobre margen.</t>
  </si>
  <si>
    <t>Microclase con advertencia práctica</t>
  </si>
  <si>
    <t>Componentes de la remuneración variable</t>
  </si>
  <si>
    <t>10.2. Laboratorio 24: modelo de comisiones escalonadas</t>
  </si>
  <si>
    <t>Cada estudiante construye en Excel el modelo de comisión escalonada con tres tramos, usando búsqueda por rangos, y calcula el costo de comisiones para cinco niveles de venta.</t>
  </si>
  <si>
    <t>Laboratorio con función de búsqueda</t>
  </si>
  <si>
    <t>Modelo de comisiones escalonadas funcionando</t>
  </si>
  <si>
    <t>Práctica calificada de modelamiento de comisiones</t>
  </si>
  <si>
    <t>Práctica individual calificada: modelar un esquema con piso de cumplimiento y acelerador, calcular el costo total del incentivo y determinar a partir de qué nivel de venta deja de convenirle a la empresa.</t>
  </si>
  <si>
    <t>PRÁCTICA CALIFICADA DE COMISIONES</t>
  </si>
  <si>
    <t>ADELANTO PUNTUAL · Estado de resultados proyectado del primer año (contenido que el sílabo desarrolla en la semana 15)</t>
  </si>
  <si>
    <t>Microexplicación condensada de la estructura del estado de resultados por contribución: ingresos de la cédula, menos costo variable, igual margen de contribución, menos costos fijos, igual utilidad operativa. Se adelanta porque el punto 5.6 lo exige y la proyección de ingresos ya está construida desde la sesión 15.</t>
  </si>
  <si>
    <t>Plantilla del estado de resultados recibida</t>
  </si>
  <si>
    <t>Proyecto integrador · Estado de resultados del primer año</t>
  </si>
  <si>
    <t>Cada equipo enlaza su cédula de ingresos con su estructura de costos y obtiene el estado de resultados proyectado de los doce meses, incorporando el costo de las comisiones modeladas hoy y los sobrecostos laborales de la sesión 16.</t>
  </si>
  <si>
    <t>Estado de resultados del primer año construido</t>
  </si>
  <si>
    <t>Verificación de consistencia</t>
  </si>
  <si>
    <t>Cada equipo verifica tres consistencias: que el volumen del estado de resultados coincida con la cédula de ingresos, que los costos fijos incluyan la planilla con sobrecostos y que la utilidad tenga sentido frente al punto de equilibrio.</t>
  </si>
  <si>
    <t>Autoverificación con lista de cotejo</t>
  </si>
  <si>
    <t>Modelo verificado</t>
  </si>
  <si>
    <t>Sesión 19 — Remuneración variable y estado de resultados proyectado</t>
  </si>
  <si>
    <t>Instrumento de evaluación de la sesión: Práctica calificada de modelamiento de comisiones en Excel</t>
  </si>
  <si>
    <t>SESIÓN 20  ·  SEMANA 10  ·  Jueves 22/10/2026  ·  Actividad 10 (continuación)  —  Tema: Costeo por objetivos, escenarios y cierre del capítulo de rentabilidad   |   10.3. Filosofía del Target Costing: precio meta, utilidad deseada y costo meta.   10.4. Ingeniería de valor aplicada a la reducción de costos del empaque.   10.5. Avance del Proyecto Integrador: costo meta y cierre del capítulo de rentabilidad.   |   Instrumento de evaluación: Rúbrica del cierre del capítulo 5 completo del informe</t>
  </si>
  <si>
    <t>22/10/2026</t>
  </si>
  <si>
    <t>Encuadre del cierre</t>
  </si>
  <si>
    <t>Meta de la sesión: al terminar, el capítulo 5 del informe queda completo, del punto 5.1 al 5.8, con su modelo financiero funcionando para el Anexo A.4.</t>
  </si>
  <si>
    <t>5.1 a 5.8</t>
  </si>
  <si>
    <t>10.3. Target costing: del precio al costo</t>
  </si>
  <si>
    <t>Microexplicación de la inversión de la lógica: el mercado fija el precio, la empresa decide la utilidad y el costo es lo que queda. Se contrasta con el cost-plus de la sesión 6.</t>
  </si>
  <si>
    <t>Microclase con lógica invertida</t>
  </si>
  <si>
    <t>Fórmula del costo meta</t>
  </si>
  <si>
    <t>10.4. Laboratorio 25: ingeniería de valor sobre el empaque</t>
  </si>
  <si>
    <t>Cada pareja recibe la estructura de costos de un empaque y debe alcanzar un costo meta 15 % menor, decidiendo qué componentes reducir sin afectar los atributos que el cliente valora.</t>
  </si>
  <si>
    <t>Taller de reducción con restricción</t>
  </si>
  <si>
    <t>Costo meta alcanzado con decisiones justificadas</t>
  </si>
  <si>
    <t>ADELANTO PUNTUAL · Escenarios, índice costo-beneficio y periodo de recuperación (contenido que el sílabo desarrolla en las semanas 13 y 15)</t>
  </si>
  <si>
    <t>Microexplicación condensada de los tres cálculos que cierran el capítulo: escenarios optimista, conservador y pesimista variando volumen y precio; índice costo-beneficio como beneficios entre costos; y periodo de recuperación como inversión inicial entre flujo mensual. Se adelanta porque los puntos 5.7 y 5.8 cierran hoy.</t>
  </si>
  <si>
    <t>5.7 y 5.8</t>
  </si>
  <si>
    <t>Microclase condensada con los tres cálculos</t>
  </si>
  <si>
    <t>Los tres cálculos con un ejemplo resuelto</t>
  </si>
  <si>
    <t>Consultas antes del taller final.</t>
  </si>
  <si>
    <t>16:25</t>
  </si>
  <si>
    <t>Proyecto integrador · Cierre del capítulo 5 completo</t>
  </si>
  <si>
    <t>Cada equipo construye sus tres escenarios sobre el estado de resultados, calcula el índice costo-beneficio y el periodo de recuperación de su inversión, redacta la conclusión de viabilidad y verifica que el modelo de Excel tenga todas sus fórmulas activas para el Anexo A.4.</t>
  </si>
  <si>
    <t>Taller final con asesoría y entrega</t>
  </si>
  <si>
    <t>CAPÍTULO 5 COMPLETO Y MODELO FINANCIERO ENTREGADO</t>
  </si>
  <si>
    <t>Declaración de viabilidad por equipo</t>
  </si>
  <si>
    <t>Cada equipo declara ante el aula, en una sola frase, si su propuesta es viable y con qué cifra lo sustenta. Los proyectos con índice costo-beneficio menor a uno reciben plazo hasta la semana 11 para rediseñar la estructura de costos.</t>
  </si>
  <si>
    <t>Tablero de viabilidad del aula</t>
  </si>
  <si>
    <t>Cierre de la etapa de construcción</t>
  </si>
  <si>
    <t>Síntesis del recorrido de las diez semanas: del primer desembolso clasificado a la conclusión de viabilidad. De la semana 11 en adelante el curso profundiza cada tema y los equipos vuelven sobre su propio modelo para mejorarlo.</t>
  </si>
  <si>
    <t>Registro del cierre de etapa</t>
  </si>
  <si>
    <t>Sesión 20 — Costeo por objetivos, escenarios y cierre del capítulo de rentabilidad</t>
  </si>
  <si>
    <t>Instrumento de evaluación de la sesión: Rúbrica del cierre del capítulo 5 completo del informe</t>
  </si>
  <si>
    <t>RESUMEN POR SESIÓN · SESIONES 1 A 20 · coherente con el control de avance silábico</t>
  </si>
  <si>
    <t>ACTIVIDAD Y TEMA DEL SÍLABO</t>
  </si>
  <si>
    <t>SUBTEMAS EXACTOS DEL SÍLABO</t>
  </si>
  <si>
    <t>ENTREGABLE DEL PROYECTO</t>
  </si>
  <si>
    <t>INSTRUMENTO DE EVALUACIÓN</t>
  </si>
  <si>
    <t>MIN DOCENTE</t>
  </si>
  <si>
    <t>MIN ESTUDIANTE</t>
  </si>
  <si>
    <t>MIN PROYECTO</t>
  </si>
  <si>
    <t>MIN ADELANTO</t>
  </si>
  <si>
    <t>% ESTUDIANTE</t>
  </si>
  <si>
    <t>Actividad 1: Fundamentos de la gestión de costos en marketing — Costo, gasto y ciclo operativo de la organización comercial</t>
  </si>
  <si>
    <t>1.1. Diferencias técnicas entre costo y gasto (administrativo y de ventas).
1.2. Relación de la contabilidad de costos con la planeación y la toma de decisiones comerciales.
1.3. Ciclo operativo, económico y financiero de la organización comercial y de servicios.</t>
  </si>
  <si>
    <t>Equipos conformados y tres empresas candidatas</t>
  </si>
  <si>
    <t>Prueba de entrada (diagnóstica) y ficha de observación de desempeño</t>
  </si>
  <si>
    <t>Actividad 2 (adelantada): Estructura y clasificación del costo comercial — Clasificación de costos por comportamiento y por identificación</t>
  </si>
  <si>
    <t>2.1. Clasificación por comportamiento: costos fijos, variables y semivariables.
2.2. Clasificación por capacidad de identificación: costos directos e indirectos.
1.5. Avance del Proyecto Integrador: selección de la empresa real y levantamiento inicial.</t>
  </si>
  <si>
    <t>Ficha de levantamiento inicial y lista de cotejo de conformación de equipos</t>
  </si>
  <si>
    <t>Actividad 2 (continuación) — Gastos operativos de venta y objeto de costo comercial</t>
  </si>
  <si>
    <t>2.3. Determinación de los gastos operativos de venta y distribución comercial.
2.4. Identificación del objeto de costo comercial actual de la organización.</t>
  </si>
  <si>
    <t>Inventario de desembolsos de la empresa clasificado en avance</t>
  </si>
  <si>
    <t>Actividad 3: Costeo de productos comerciales e inventarios — Ciclo de compras y costo de adquisición comercial</t>
  </si>
  <si>
    <t>3.1. El ciclo de compras de mercaderías e insumos de promoción.
3.2. Determinación del costo de adquisición comercial y su valor de ingreso al almacén.
2.5. Avance del Proyecto Integrador: clasificación preliminar de costos fijos y variables actuales.</t>
  </si>
  <si>
    <t>AVANCE 1: clasificación de costos fijos, variables, directos e indirectos (punto 5.1)</t>
  </si>
  <si>
    <t>Rúbrica del avance de la clasificación preliminar de costos (punto 5.1 del informe)</t>
  </si>
  <si>
    <t>Actividad 3 (continuación) — Valuación de inventarios y kárdex comercial</t>
  </si>
  <si>
    <t>3.3. Valuación de inventarios comerciales bajo los métodos PEPS y Promedio Ponderado.
3.4. Control de almacén a través del Kárdex comercial para materiales de campaña.</t>
  </si>
  <si>
    <t>AVANCE 2: costeo de adquisición y kárdex del insumo principal (punto 5.2)</t>
  </si>
  <si>
    <t>Rúbrica del kárdex y del costeo de adquisición (punto 5.2 del informe)</t>
  </si>
  <si>
    <t>Actividad 4: Estrategias de precios e ingeniería del margen comercial — Fijación de precios sobre el costo total y margen de utilidad</t>
  </si>
  <si>
    <t>4.1. Métodos de fijación de precios basados en el costo total (Cost-Plus Pricing).
4.2. Determinación del margen de utilidad bruta deseada y el precio de venta final.</t>
  </si>
  <si>
    <t>5.2 y 5.3</t>
  </si>
  <si>
    <t>Costo unitario consolidado con evidencia de cada componente</t>
  </si>
  <si>
    <t>Actividad 4 (continuación) — Sensibilidad de precios, margen de contribución y punto de equilibrio</t>
  </si>
  <si>
    <t>4.3. Análisis de sensibilidad de precios e impacto en los ingresos de ventas.
4.4. Avance del Proyecto Integrador: auditoría del precio actual y cálculo del margen de contribución unitario.</t>
  </si>
  <si>
    <t>5.3 · 5.4 · 5.7</t>
  </si>
  <si>
    <t>AVANCE 3: precio de venta, margen de contribución y punto de equilibrio (puntos 5.3 y 5.4)</t>
  </si>
  <si>
    <t>Rúbrica del avance del precio de venta y del margen de contribución (puntos 5.3 y 5.4)</t>
  </si>
  <si>
    <t>Actividad 5: Costeo de servicios e intangibles en el marketing — Costeo de servicios y costo por hora del personal</t>
  </si>
  <si>
    <t>5.1. Particularidades del costeo en el sector servicios frente al industrial.
5.2. Cálculo del costo por hora de trabajo del personal de contacto y soporte técnico.</t>
  </si>
  <si>
    <t>Costo por hora del personal de la propuesta calculado</t>
  </si>
  <si>
    <t>Práctica dirigida de costo por hora con lista de cotejo</t>
  </si>
  <si>
    <t>Actividad 5 (continuación) — Tarifas de servicios profesionales y costos fijos de personal</t>
  </si>
  <si>
    <t>5.3. Determinación de tarifas de consultoría comercial y diseño estratégico de marca.
5.4. Avance del Proyecto Integrador: identificación de costos fijos de personal operativo.</t>
  </si>
  <si>
    <t>AVANCE 4: costos fijos de personal y costo unitario consolidado (puntos 5.1 y 5.2)</t>
  </si>
  <si>
    <t>Rúbrica de la propuesta económica y del avance de los puntos 5.1 y 5.2</t>
  </si>
  <si>
    <t>Actividad 6: Sistemas de costeo por órdenes de trabajo comerciales — Costeo por órdenes y hoja de costos de campaña</t>
  </si>
  <si>
    <t>6.1. Fundamentos del costeo por órdenes de trabajo aplicables a proyectos comerciales.
6.2. Estructuración de la Hoja de Costos por Órdenes para campañas y eventos promocionales.</t>
  </si>
  <si>
    <t>5.2 y 5.5</t>
  </si>
  <si>
    <t>Hoja de costos por órdenes del lanzamiento iniciada</t>
  </si>
  <si>
    <t>Lista de cotejo de la Hoja de Costos por Órdenes elaborada</t>
  </si>
  <si>
    <t>Actividad 6 (continuación) — Acumulación modular por campaña y presupuesto de inversión</t>
  </si>
  <si>
    <t>6.3. Acumulación modular de materiales directos, personal directo y servicios tercerizados por campaña.
6.4. Avance del Proyecto Integrador: costeo modular por órdenes de los eventos de lanzamiento.</t>
  </si>
  <si>
    <t>AVANCE 5: presupuesto de inversión inicial (punto 5.5)</t>
  </si>
  <si>
    <t>Rúbrica del avance del costeo por órdenes (punto 5.5 del informe)</t>
  </si>
  <si>
    <t>Actividad 7: Costeo basado en actividades (ABC) en canales de marketing — Inductores de costo y jerarquía de actividades comerciales</t>
  </si>
  <si>
    <t>7.1. Limitaciones del prorrateo comercial tradicional sobre base de volumen de ventas.
7.2. Concepto de actividades, recursos y cost drivers comerciales.
7.3. Jerarquía de costos de cuatro niveles de ABC aplicada a canales y líneas de productos.</t>
  </si>
  <si>
    <t>Matriz de actividades indirectas e inductores de costo</t>
  </si>
  <si>
    <t>Actividad 7 (continuación) — Costos de soporte por cliente y costo unitario definitivo</t>
  </si>
  <si>
    <t>7.4. Asignación de costos de servicio y soporte a clientes específicos en sistemas CRM.
7.5. Avance del Proyecto Integrador: costo de las actividades operativas de soporte.</t>
  </si>
  <si>
    <t>AVANCE 6: costo unitario definitivo y punto de equilibrio recalculado (puntos 5.2 y 5.4)</t>
  </si>
  <si>
    <t>Rúbrica del avance del costo unitario definitivo (puntos 5.2 y 5.4)</t>
  </si>
  <si>
    <t>Actividad 8: Costeo del ciclo de vida del cliente (CAC y CLV) — Costo de adquisición de clientes y valor de vida del cliente</t>
  </si>
  <si>
    <t>8.1. Cálculo del Costo de Adquisición de Clientes (CAC) y sus componentes promocionales.
8.2. Determinación del Valor de Vida del Cliente (Customer Lifetime Value).</t>
  </si>
  <si>
    <t>Práctica calificada de cálculo e interpretación de CAC y CLV</t>
  </si>
  <si>
    <t>Actividad 8 (continuación) — Rentabilidad de la cartera y proyección de ventas del primer año</t>
  </si>
  <si>
    <t>8.3. Análisis de rentabilidad de la cartera de clientes y tasas de retención.
8.4. Avance del Proyecto Integrador: justificación financiera de la fidelización.</t>
  </si>
  <si>
    <t>AVANCE 7: proyección de ventas mensualizada del primer año (punto 5.6)</t>
  </si>
  <si>
    <t>Rúbrica del avance de la proyección de ventas (punto 5.6)</t>
  </si>
  <si>
    <t>Actividad 9: Planilla comercial y sobrecostos laborales — Composición de la planilla y costo real del empleador</t>
  </si>
  <si>
    <t>9.1. Clasificación del costo de personal comercial (fuerza de ventas, community managers, analistas de CRM).
9.2. Composición de la planilla bajo el régimen laboral general peruano: EsSalud, gratificaciones, CTS y vacaciones.</t>
  </si>
  <si>
    <t>Costos fijos de personal actualizados con el factor de sobrecosto laboral</t>
  </si>
  <si>
    <t>Ficha de observación y lista de cotejo del cálculo del costo empleador</t>
  </si>
  <si>
    <t>Actividad 9 (continuación) — Modalidad de contratación y simulación del costo empleador</t>
  </si>
  <si>
    <t>9.3. Contratación por recibos por honorarios frente a contrato en planilla.
9.4. Simulación del costo real empleador mensual y anual de un equipo comercial.</t>
  </si>
  <si>
    <t>Práctica calificada de elaboración de planilla y cálculo del costo empleador</t>
  </si>
  <si>
    <t>Actividad 9 (evaluación) — Evaluación Permanente 1: sustentación del avance del capítulo 5</t>
  </si>
  <si>
    <t>9.5. Avance del Proyecto Integrador – Evaluación Permanente 1: sustentación del diagnóstico de costos actuales y del cálculo del punto de equilibrio.</t>
  </si>
  <si>
    <t>EVALUACIÓN PERMANENTE 1 (30 %): sustentación de los puntos 5.1 a 5.4</t>
  </si>
  <si>
    <t>Rúbrica de sustentación de avance (Evaluación Permanente 1 – 30 %)</t>
  </si>
  <si>
    <t>Actividad 10: Comisiones de ventas y planes de incentivos — Remuneración variable y estado de resultados proyectado</t>
  </si>
  <si>
    <t>10.1. Estructura de remuneraciones variables de la fuerza de ventas.
10.2. Modelamiento de comisiones por escala de metas e incentivos comerciales.</t>
  </si>
  <si>
    <t>5.1 y 5.6</t>
  </si>
  <si>
    <t>Estado de resultados proyectado de los doce meses (punto 5.6)</t>
  </si>
  <si>
    <t>Práctica calificada de modelamiento de comisiones en Excel</t>
  </si>
  <si>
    <t>Actividad 10 (continuación) — Costeo por objetivos, escenarios y cierre del capítulo de rentabilidad</t>
  </si>
  <si>
    <t>10.3. Filosofía del Target Costing: precio meta, utilidad deseada y costo meta.
10.4. Ingeniería de valor aplicada a la reducción de costos del empaque.
10.5. Avance del Proyecto Integrador: costo meta y cierre del capítulo de rentabilidad.</t>
  </si>
  <si>
    <t>5.3 · 5.7 · 5.8</t>
  </si>
  <si>
    <t>CAPÍTULO 5 COMPLETO: escenarios, índice costo-beneficio, periodo de recuperación y modelo financiero del Anexo A.4</t>
  </si>
  <si>
    <t>Rúbrica del cierre del capítulo 5 completo del informe</t>
  </si>
  <si>
    <t>20 sesiones · semanas 1 a 10</t>
  </si>
  <si>
    <t>MAPA ENTRE EL CURSO Y EL INFORME DEL PROYECTO INTEGRADOR</t>
  </si>
  <si>
    <t>Numeración tomada del documento «Proyecto Final MKT 3 – III Ciclo», numeral 6: Estructura del Informe Final. ADVERTENCIA: el control de avance silábico cita estos avances como «Capítulo 4.x», numeración que corresponde a una versión anterior del proyecto. La equivalencia es: lo que el sílabo llama 4.1 y 4.2 son aquí 5.1 a 5.4; lo que llama 4.3 son 5.2 y 5.5; y lo que llama 4.4 son 5.6 y 5.8.</t>
  </si>
  <si>
    <t>PUNTO DEL INFORME FINAL</t>
  </si>
  <si>
    <t>QUÉ EXIGE EL PROYECTO EN ESE PUNTO</t>
  </si>
  <si>
    <t>SESIONES EN QUE SE TRABAJA</t>
  </si>
  <si>
    <t>SESIÓN EN QUE QUEDA CERRADO</t>
  </si>
  <si>
    <t>EVIDENCIA QUE LO SUSTENTA</t>
  </si>
  <si>
    <t>PARA QUÉ CURSO SIRVE</t>
  </si>
  <si>
    <t>5.1 Clasificación de los costos de la propuesta</t>
  </si>
  <si>
    <t>Distinción de costos fijos, variables, directos e indirectos respecto del objeto de costo declarado, con justificación de los casos dudosos.</t>
  </si>
  <si>
    <t>Sesiones 1 a 4, 8, 9, 16 y 17</t>
  </si>
  <si>
    <t>Sesión 17</t>
  </si>
  <si>
    <t>Plantilla de clasificación con evidencia de cada desembolso</t>
  </si>
  <si>
    <t>Estrategia de Producto, que necesita saber qué cuesta producir la propuesta</t>
  </si>
  <si>
    <t>5.2 Determinación del costo unitario</t>
  </si>
  <si>
    <t>Costo de adquisición, valuación de inventarios, costeo por órdenes y asignación de indirectos por inductores hasta obtener el costo unitario definitivo.</t>
  </si>
  <si>
    <t>Sesiones 4 a 6, 10, 12 y 13</t>
  </si>
  <si>
    <t>Sesión 13</t>
  </si>
  <si>
    <t>Kárdex, hoja de costos por órdenes y modelo ABC</t>
  </si>
  <si>
    <t>Estrategia de Producto y Marketing de Servicios, para dimensionar el modelo de entrega</t>
  </si>
  <si>
    <t>5.3 Fijación del precio de venta y margen de contribución</t>
  </si>
  <si>
    <t>Precio por costo total y por costo meta, margen de contribución unitario y auditoría del precio actual del producto de la empresa.</t>
  </si>
  <si>
    <t>Sesiones 6, 7 y 20</t>
  </si>
  <si>
    <t>Sesión 20</t>
  </si>
  <si>
    <t>Calculadora de precios y cuadro de márgenes</t>
  </si>
  <si>
    <t>Estrategia de Producto, que fija el precio en la variable Precio de las 7P</t>
  </si>
  <si>
    <t>5.4 Punto de equilibrio en unidades y en soles</t>
  </si>
  <si>
    <t>Cálculo con su gráfico e interpretación de si el volumen requerido es alcanzable. ADELANTADO desde la semana 13 mediante microenseñanza puntual en la sesión 8.</t>
  </si>
  <si>
    <t>Sesiones 7, 13 y 16 (adelanto)</t>
  </si>
  <si>
    <t>Gráfico del punto de equilibrio y lectura del volumen requerido</t>
  </si>
  <si>
    <t>Todo el equipo: ninguna propuesta se aprueba si no alcanza su punto de equilibrio</t>
  </si>
  <si>
    <t>5.5 Presupuesto de inversión inicial y presupuesto operativo</t>
  </si>
  <si>
    <t>Hoja de costos del lanzamiento convertida en presupuesto de inversión por categorías, más el presupuesto operativo mensual. ADELANTADO desde las semanas 14 y 15 en la sesión 12.</t>
  </si>
  <si>
    <t>Sesiones 10, 11 y 14 (adelanto)</t>
  </si>
  <si>
    <t>Sesión 11</t>
  </si>
  <si>
    <t>Presupuesto de inversión y operativo en el modelo de Excel</t>
  </si>
  <si>
    <t>Marketing Relacional, que necesita el presupuesto del programa de fidelización</t>
  </si>
  <si>
    <t>5.6 Proyección de ventas y estado de resultados del primer año</t>
  </si>
  <si>
    <t>Cédula de ingresos mensualizada de doce meses y estado de resultados proyectado. ADELANTADO desde las semanas 14 y 15 en las sesiones 16 y 19.</t>
  </si>
  <si>
    <t>Sesiones 14, 15 y 19 (adelanto)</t>
  </si>
  <si>
    <t>Sesión 19</t>
  </si>
  <si>
    <t>Cédula de ingresos y estado de resultados enlazados</t>
  </si>
  <si>
    <t>Marketing Relacional, que aporta el CLV y la tasa de retención proyectada</t>
  </si>
  <si>
    <t>5.7 Análisis de escenarios y sensibilidad</t>
  </si>
  <si>
    <t>Escenarios optimista, conservador y pesimista sobre el estado de resultados, con sensibilidad al precio y al volumen. ADELANTADO desde la semana 15 en la sesión 20.</t>
  </si>
  <si>
    <t>Sesiones 7 y 20 (adelanto)</t>
  </si>
  <si>
    <t>Tabla de escenarios y de sensibilidad de doble entrada</t>
  </si>
  <si>
    <t>Estrategia de Producto, para decidir el precio de lanzamiento</t>
  </si>
  <si>
    <t>5.8 Índice costo-beneficio, periodo de recuperación y conclusión de viabilidad</t>
  </si>
  <si>
    <t>Cálculo del índice, del periodo de recuperación y redacción de la conclusión de viabilidad de la propuesta. ADELANTADO desde la semana 13 en la sesión 20.</t>
  </si>
  <si>
    <t>Sesión 20 (adelanto)</t>
  </si>
  <si>
    <t>Índice costo-beneficio calculado y conclusión redactada</t>
  </si>
  <si>
    <t>Todo el equipo: es la conclusión que define si la propuesta se aprueba</t>
  </si>
  <si>
    <t>Anexo A.4 Modelo financiero en Excel</t>
  </si>
  <si>
    <t>Hoja de cálculo funcional con fórmulas activas: clasificación de costos, costeo unitario, margen, punto de equilibrio con gráfico, presupuestos, estado de resultados y escenarios.</t>
  </si>
  <si>
    <t>Todas las sesiones</t>
  </si>
  <si>
    <t>Archivo del modelo financiero auditado</t>
  </si>
  <si>
    <t>Todo el equipo, como respaldo numérico del informe</t>
  </si>
  <si>
    <t>Al terminar la sesión 20 el capítulo 5 del informe queda cerrado en su totalidad y el modelo financiero del Anexo A.4 queda funcionando. De la semana 11 en adelante no se genera material nuevo del proyecto: el curso profundiza cada tema y los equipos vuelven sobre su propio modelo para mejorarlo, según el detalle de la hoja «SEMANAS 11 A 16».</t>
  </si>
  <si>
    <t>CONTROL DE AVANCE DEL DICTADO · SESIONES 1 A 20</t>
  </si>
  <si>
    <t>PUNTO DEL INFORME</t>
  </si>
  <si>
    <t>ESTADO</t>
  </si>
  <si>
    <t>FECHA REAL</t>
  </si>
  <si>
    <t>OBSERVACIONES DEL DOCENTE</t>
  </si>
  <si>
    <t>Pendiente</t>
  </si>
  <si>
    <t>AVANCE DEL PLAN (sesiones dictadas completas)</t>
  </si>
  <si>
    <t>ADELANTOS PUNTUALES · microenseñanzas que permiten cerrar el capítulo 5 en la semana 10</t>
  </si>
  <si>
    <t>Regla de uso: el temario de cada sesión sigue siendo el del control de avance silábico y no se altera. Estos cinco adelantos suman 75 minutos en veinte sesiones (2,8 % del tiempo lectivo) y se dictan en formato condensado, solo con el alcance mínimo que el proyecto necesita para no detenerse. El contenido completo se desarrolla igual en su semana original, y ahí los estudiantes ya llegan con la experiencia de haberlo aplicado.</t>
  </si>
  <si>
    <t>N°</t>
  </si>
  <si>
    <t>CONTENIDO QUE SE ADELANTA</t>
  </si>
  <si>
    <t>SEMANA A LA QUE PERTENECE EN EL SÍLABO</t>
  </si>
  <si>
    <t>POR QUÉ NO PUEDE ESPERAR</t>
  </si>
  <si>
    <t>PUNTO DEL INFORME QUE DESBLOQUEA</t>
  </si>
  <si>
    <t>QUÉ SE ENSEÑA EXACTAMENTE (alcance mínimo)</t>
  </si>
  <si>
    <t>QUÉ NO SE ENSEÑA TODAVÍA</t>
  </si>
  <si>
    <t>1</t>
  </si>
  <si>
    <t>Sesión 8</t>
  </si>
  <si>
    <t>Margen de contribución y punto de equilibrio en unidades y en soles</t>
  </si>
  <si>
    <t>Semana 13 · Actividad 13</t>
  </si>
  <si>
    <t>El punto 5.4 del informe lo exige y la Evaluación Permanente 1 de la semana 9 evalúa expresamente el punto de equilibrio. Sin este cálculo, el proyecto se detiene en la semana 4 y el curso no tendría qué evaluar en la semana 9.</t>
  </si>
  <si>
    <t>Tres fórmulas operativas: margen de contribución unitario como precio menos costo variable unitario, punto de equilibrio en unidades como costos fijos entre margen unitario, y punto de equilibrio en soles. Se aplican de inmediato a un caso y al proyecto.</t>
  </si>
  <si>
    <t>El análisis marginal completo, la información relevante para decisiones de corto plazo y las decisiones de tercerizar o producir, que se ven en la semana 13.</t>
  </si>
  <si>
    <t>2</t>
  </si>
  <si>
    <t>Sesión 12</t>
  </si>
  <si>
    <t>Estructura del presupuesto de inversión inicial</t>
  </si>
  <si>
    <t>Semanas 14 y 15 · Actividades 14 y 15</t>
  </si>
  <si>
    <t>El punto 5.5 del informe lo exige y los costos del lanzamiento ya quedaron calculados en esa misma sesión mediante la hoja de costos por órdenes. Postergarlo obligaría a rehacer el trabajo dos meses después.</t>
  </si>
  <si>
    <t>La diferencia entre inversión inicial y gasto operativo, y las cuatro categorías del presupuesto de inversión: activos, adecuación, lanzamiento y capital de trabajo inicial.</t>
  </si>
  <si>
    <t>El proceso completo de presupuestación corporativa, el presupuesto maestro y su vinculación con la planificación estratégica, que se ven en la semana 14.</t>
  </si>
  <si>
    <t>3</t>
  </si>
  <si>
    <t>Sesión 16</t>
  </si>
  <si>
    <t>Cédula de ingresos y proyección de ventas mensualizada</t>
  </si>
  <si>
    <t>Semana 14 · Actividad 14</t>
  </si>
  <si>
    <t>El punto 5.6 del informe exige el estado de resultados del primer año, y no hay estado de resultados sin proyección de ingresos. Además el CLV y la tasa de retención, calculados esa misma semana, son el sustento del volumen proyectado.</t>
  </si>
  <si>
    <t>Cómo se construye una proyección de doce meses: volumen inicial, tasa de crecimiento mensual, estacionalidad y precio, volcados en el formato de cédula de ingresos.</t>
  </si>
  <si>
    <t>Los métodos cuantitativos de proyección de demanda y el análisis de mezcla de productos con variaciones de precio, que se ven en la semana 14.</t>
  </si>
  <si>
    <t>4</t>
  </si>
  <si>
    <t>Estado de resultados proyectado del primer año</t>
  </si>
  <si>
    <t>Semana 15 · Actividad 15</t>
  </si>
  <si>
    <t>El punto 5.6 lo exige y la cédula de ingresos ya está construida desde la sesión 16. Es el paso que convierte los costos calculados en una cifra de utilidad.</t>
  </si>
  <si>
    <t>La estructura del estado de resultados por contribución: ingresos, menos costo variable, igual margen de contribución, menos costos fijos, igual utilidad operativa.</t>
  </si>
  <si>
    <t>La consolidación del presupuesto operativo completo, el flujo de caja proforma y el análisis de variaciones, que se ven en la semana 15.</t>
  </si>
  <si>
    <t>5</t>
  </si>
  <si>
    <t>Análisis de escenarios, índice costo-beneficio y periodo de recuperación</t>
  </si>
  <si>
    <t>Semanas 13 y 15 · Actividades 13 y 15</t>
  </si>
  <si>
    <t>Son los tres cálculos que cierran los puntos 5.7 y 5.8 del informe. Sin ellos el capítulo 5 queda sin conclusión de viabilidad, que es precisamente lo que el proyecto exige para aprobar una propuesta.</t>
  </si>
  <si>
    <t>Construcción de los tres escenarios variando volumen y precio; índice costo-beneficio como beneficios entre costos; y periodo de recuperación como inversión inicial entre flujo mensual.</t>
  </si>
  <si>
    <t>La estructuración formal del índice costo-beneficio para inversiones en CRM y fidelización y el análisis marginal de decisiones tácticas, que se ven en la semana 13.</t>
  </si>
  <si>
    <t>Total de minutos adelantados sobre 2 700 minutos lectivos</t>
  </si>
  <si>
    <t>CONTENIDO RETIRADO DEL DICTADO Y REORDENAMIENTO APLICADO</t>
  </si>
  <si>
    <t>- 1.4 Velocidad de llegada al mercado (speed-to-market) y costo de oportunidad. Se retira del dictado de la sesion 2 y se convierte en lectura asignada con una pregunta de control. Motivo: no alimenta ningun punto del capitulo 5 del informe y su tiempo se destino a la clasificacion de costos, que si lo hace y ademas es el primer entregable del proyecto.</t>
  </si>
  <si>
    <t>- Actividad 2 adelantada a la sesion 2. Efecto: todo el temario del curso corre una sesion hacia adelante y se ganan 135 minutos que se reparten en laboratorios y talleres de proyecto a lo largo de las diez semanas.</t>
  </si>
  <si>
    <t>- Resultado del reordenamiento: 25 laboratorios numerados en Excel, 6 practicas calificadas y taller de proyecto en 18 de las 20 sesiones. El capitulo 5 del informe cierra igualmente en la semana 10, pero con mas tiempo de practica por sesion.</t>
  </si>
  <si>
    <t>SEMANAS 11 A 16 · REVISIÓN Y MEJORAMIENTO DEL CAPÍTULO 5 YA TERMINADO</t>
  </si>
  <si>
    <t>En la semana 10 el capítulo 5 queda cerrado con evidencia en todos sus puntos y el modelo financiero funcionando. De aquí en adelante el sílabo desarrolla los mismos temas en profundidad y los equipos vuelven sobre su propio modelo: ya no aprenden para producir, sino que producen mejor lo que ya tienen. Esta hoja es un mapa de referencia; el plan detallado de estas semanas se elabora aparte.</t>
  </si>
  <si>
    <t>SEMANA</t>
  </si>
  <si>
    <t>SESIONES</t>
  </si>
  <si>
    <t>TEMA DEL SÍLABO</t>
  </si>
  <si>
    <t>QUÉ SE REVISA O SE PROFUNDIZA DEL PROYECTO YA TERMINADO</t>
  </si>
  <si>
    <t>NIVEL AL QUE DEBE LLEGAR LA NUEVA VERSIÓN</t>
  </si>
  <si>
    <t>PUNTO DEL INFORME QUE MEJORA</t>
  </si>
  <si>
    <t>Semana 11</t>
  </si>
  <si>
    <t>21 y 22</t>
  </si>
  <si>
    <t>Direccionamiento primario y secundario de cargos indirectos comerciales</t>
  </si>
  <si>
    <t>El modelo de asignación de indirectos por inductores construido en la sesión 14 se rehace con el método formal de direccionamiento primario y secundario entre centros de costo.</t>
  </si>
  <si>
    <t>El costo unitario deja de apoyarse en una asignación aproximada y pasa a tener un mapa de centros de costo con orden de direccionamiento documentado.</t>
  </si>
  <si>
    <t>Semana 12</t>
  </si>
  <si>
    <t>23 y 24</t>
  </si>
  <si>
    <t>Direccionamiento final, tasas predeterminadas y variaciones</t>
  </si>
  <si>
    <t>Se calcula la tasa predeterminada de aplicación de costos indirectos y se analizan las variaciones por sub o sobreaplicación sobre el modelo del equipo.</t>
  </si>
  <si>
    <t>El modelo pasa de una asignación anual estática a una tasa predeterminada que permite costear cada campaña durante el año y detectar desvíos.</t>
  </si>
  <si>
    <t>Semana 13</t>
  </si>
  <si>
    <t>25 y 26</t>
  </si>
  <si>
    <t>Toma de decisiones a corto plazo, análisis marginal e índice costo-beneficio</t>
  </si>
  <si>
    <t>Se profundiza el índice costo-beneficio calculado en la sesión 20 y se agrega el análisis marginal: qué conviene tercerizar y qué internalizar en la propuesta.</t>
  </si>
  <si>
    <t>La conclusión de viabilidad se complementa con decisiones tácticas sustentadas: cada tercerización queda justificada con números y no por comodidad.</t>
  </si>
  <si>
    <t>Semana 14</t>
  </si>
  <si>
    <t>27 y 28</t>
  </si>
  <si>
    <t>Planeación financiera, presupuesto maestro y presupuesto de ventas</t>
  </si>
  <si>
    <t>La cédula de ingresos de la sesión 16 se revisa con los métodos formales de proyección de demanda y se inserta en el esquema del presupuesto maestro.</t>
  </si>
  <si>
    <t>La proyección deja de basarse en una tasa de crecimiento asumida y pasa a sustentarse en un método de proyección declarado y defendible.</t>
  </si>
  <si>
    <t>Semana 15</t>
  </si>
  <si>
    <t>29 y 30</t>
  </si>
  <si>
    <t>Presupuesto operativo integrado, estado de resultados y flujo de caja proforma</t>
  </si>
  <si>
    <t>Se completa el modelo con el presupuesto operativo mensualizado y el flujo de caja proforma, que el capítulo 5 no exige pero que fortalece la defensa de la viabilidad. Evaluación Permanente 2.</t>
  </si>
  <si>
    <t>El modelo financiero pasa de estado de resultados a modelo integrado: se demuestra no solo que la propuesta gana, sino que tiene caja para operar mes a mes.</t>
  </si>
  <si>
    <t>5.5 y 5.6 · Anexo A.4</t>
  </si>
  <si>
    <t>Semana 16</t>
  </si>
  <si>
    <t>31 y 32</t>
  </si>
  <si>
    <t>Consolidación de la monografía, auditoría de plantillas y sustentación final</t>
  </si>
  <si>
    <t>Auditoría de la coherencia matemática de todas las plantillas del modelo y defensa técnica del capítulo 5 completo ante el jurado.</t>
  </si>
  <si>
    <t>Modelo auditado sin referencias rotas ni valores digitados donde debe haber fórmula, y sustentación preparada. Evaluación Final.</t>
  </si>
  <si>
    <t>Capítulo 5 completo y Anexo A.4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</si>
</sst>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1F3864"/>
      <name val="Arial"/>
      <family val="2"/>
    </font>
    <font>
      <i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DCE6F1"/>
      </patternFill>
    </fill>
    <fill>
      <patternFill patternType="solid">
        <fgColor rgb="FFE4DFEC"/>
        <bgColor rgb="FFD9E2F3"/>
      </patternFill>
    </fill>
    <fill>
      <patternFill patternType="solid">
        <fgColor rgb="FFF8CBAD"/>
        <bgColor rgb="FFFCE4D6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8" fillId="0" borderId="2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4DFE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2" customWidth="1"/>
    <col min="3" max="3" width="100" customWidth="1"/>
  </cols>
  <sheetData>
    <row r="2" spans="2:3" ht="33.75" customHeight="1" x14ac:dyDescent="0.3">
      <c r="B2" s="9" t="s">
        <v>0</v>
      </c>
      <c r="C2" s="9"/>
    </row>
    <row r="3" spans="2:3" ht="25.5" customHeight="1" x14ac:dyDescent="0.3">
      <c r="B3" s="8" t="s">
        <v>1</v>
      </c>
      <c r="C3" s="8"/>
    </row>
    <row r="5" spans="2:3" ht="21.75" customHeight="1" x14ac:dyDescent="0.3">
      <c r="B5" s="10" t="s">
        <v>2</v>
      </c>
      <c r="C5" s="11" t="s">
        <v>3</v>
      </c>
    </row>
    <row r="6" spans="2:3" ht="21.75" customHeight="1" x14ac:dyDescent="0.3">
      <c r="B6" s="10" t="s">
        <v>4</v>
      </c>
      <c r="C6" s="11" t="s">
        <v>5</v>
      </c>
    </row>
    <row r="7" spans="2:3" ht="21.75" customHeight="1" x14ac:dyDescent="0.3">
      <c r="B7" s="10" t="s">
        <v>6</v>
      </c>
      <c r="C7" s="11" t="s">
        <v>7</v>
      </c>
    </row>
    <row r="8" spans="2:3" ht="21.75" customHeight="1" x14ac:dyDescent="0.3">
      <c r="B8" s="10" t="s">
        <v>8</v>
      </c>
      <c r="C8" s="11" t="s">
        <v>9</v>
      </c>
    </row>
    <row r="9" spans="2:3" ht="21.75" customHeight="1" x14ac:dyDescent="0.3">
      <c r="B9" s="10" t="s">
        <v>10</v>
      </c>
      <c r="C9" s="11" t="s">
        <v>11</v>
      </c>
    </row>
    <row r="10" spans="2:3" ht="21.75" customHeight="1" x14ac:dyDescent="0.3">
      <c r="B10" s="10" t="s">
        <v>12</v>
      </c>
      <c r="C10" s="11" t="s">
        <v>13</v>
      </c>
    </row>
    <row r="11" spans="2:3" ht="21.75" customHeight="1" x14ac:dyDescent="0.3">
      <c r="B11" s="10" t="s">
        <v>14</v>
      </c>
      <c r="C11" s="11" t="s">
        <v>15</v>
      </c>
    </row>
    <row r="12" spans="2:3" ht="21.75" customHeight="1" x14ac:dyDescent="0.3">
      <c r="B12" s="10" t="s">
        <v>16</v>
      </c>
      <c r="C12" s="11" t="s">
        <v>17</v>
      </c>
    </row>
    <row r="13" spans="2:3" ht="21.75" customHeight="1" x14ac:dyDescent="0.3">
      <c r="B13" s="10" t="s">
        <v>18</v>
      </c>
      <c r="C13" s="11" t="s">
        <v>19</v>
      </c>
    </row>
    <row r="14" spans="2:3" ht="21.75" customHeight="1" x14ac:dyDescent="0.3">
      <c r="B14" s="10" t="s">
        <v>20</v>
      </c>
      <c r="C14" s="11" t="s">
        <v>21</v>
      </c>
    </row>
    <row r="15" spans="2:3" ht="21.75" customHeight="1" x14ac:dyDescent="0.3">
      <c r="B15" s="10" t="s">
        <v>22</v>
      </c>
      <c r="C15" s="11" t="s">
        <v>23</v>
      </c>
    </row>
    <row r="17" spans="2:3" ht="21.75" customHeight="1" x14ac:dyDescent="0.3">
      <c r="B17" s="7" t="s">
        <v>24</v>
      </c>
      <c r="C17" s="7"/>
    </row>
    <row r="18" spans="2:3" ht="21.75" customHeight="1" x14ac:dyDescent="0.3">
      <c r="B18" s="12" t="s">
        <v>25</v>
      </c>
      <c r="C18" s="11" t="s">
        <v>26</v>
      </c>
    </row>
    <row r="19" spans="2:3" ht="21.75" customHeight="1" x14ac:dyDescent="0.3">
      <c r="B19" s="12" t="s">
        <v>27</v>
      </c>
      <c r="C19" s="11" t="s">
        <v>28</v>
      </c>
    </row>
    <row r="20" spans="2:3" ht="21.75" customHeight="1" x14ac:dyDescent="0.3">
      <c r="B20" s="12" t="s">
        <v>29</v>
      </c>
      <c r="C20" s="11" t="s">
        <v>30</v>
      </c>
    </row>
    <row r="21" spans="2:3" ht="21.75" customHeight="1" x14ac:dyDescent="0.3">
      <c r="B21" s="12" t="s">
        <v>31</v>
      </c>
      <c r="C21" s="11" t="s">
        <v>32</v>
      </c>
    </row>
    <row r="22" spans="2:3" ht="21.75" customHeight="1" x14ac:dyDescent="0.3">
      <c r="B22" s="12" t="s">
        <v>33</v>
      </c>
      <c r="C22" s="11" t="s">
        <v>34</v>
      </c>
    </row>
    <row r="23" spans="2:3" ht="21.75" customHeight="1" x14ac:dyDescent="0.3">
      <c r="B23" s="12" t="s">
        <v>35</v>
      </c>
      <c r="C23" s="11" t="s">
        <v>36</v>
      </c>
    </row>
    <row r="24" spans="2:3" ht="21.75" customHeight="1" x14ac:dyDescent="0.3">
      <c r="B24" s="12" t="s">
        <v>37</v>
      </c>
      <c r="C24" s="11" t="s">
        <v>38</v>
      </c>
    </row>
    <row r="25" spans="2:3" ht="21.75" customHeight="1" x14ac:dyDescent="0.3">
      <c r="B25" s="12" t="s">
        <v>39</v>
      </c>
      <c r="C25" s="11" t="s">
        <v>40</v>
      </c>
    </row>
    <row r="26" spans="2:3" ht="21.75" customHeight="1" x14ac:dyDescent="0.3">
      <c r="B26" s="12" t="s">
        <v>41</v>
      </c>
      <c r="C26" s="11" t="s">
        <v>42</v>
      </c>
    </row>
    <row r="28" spans="2:3" ht="21.75" customHeight="1" x14ac:dyDescent="0.3">
      <c r="B28" s="7" t="s">
        <v>43</v>
      </c>
      <c r="C28" s="7"/>
    </row>
    <row r="29" spans="2:3" ht="21.75" customHeight="1" x14ac:dyDescent="0.3">
      <c r="B29" s="10" t="s">
        <v>44</v>
      </c>
      <c r="C29" s="11" t="s">
        <v>45</v>
      </c>
    </row>
    <row r="30" spans="2:3" ht="21.75" customHeight="1" x14ac:dyDescent="0.3">
      <c r="B30" s="10" t="s">
        <v>46</v>
      </c>
      <c r="C30" s="11" t="s">
        <v>47</v>
      </c>
    </row>
    <row r="31" spans="2:3" ht="21.75" customHeight="1" x14ac:dyDescent="0.3">
      <c r="B31" s="10" t="s">
        <v>48</v>
      </c>
      <c r="C31" s="11" t="s">
        <v>49</v>
      </c>
    </row>
    <row r="32" spans="2:3" ht="21.75" customHeight="1" x14ac:dyDescent="0.3">
      <c r="B32" s="10" t="s">
        <v>50</v>
      </c>
      <c r="C32" s="11" t="s">
        <v>51</v>
      </c>
    </row>
    <row r="33" spans="2:3" ht="21.75" customHeight="1" x14ac:dyDescent="0.3">
      <c r="B33" s="10" t="s">
        <v>52</v>
      </c>
      <c r="C33" s="11" t="s">
        <v>53</v>
      </c>
    </row>
    <row r="34" spans="2:3" ht="21.75" customHeight="1" x14ac:dyDescent="0.3">
      <c r="B34" s="10" t="s">
        <v>54</v>
      </c>
      <c r="C34" s="11" t="s">
        <v>55</v>
      </c>
    </row>
    <row r="36" spans="2:3" ht="21.75" customHeight="1" x14ac:dyDescent="0.3">
      <c r="B36" s="10" t="s">
        <v>56</v>
      </c>
      <c r="C36" s="11" t="s">
        <v>57</v>
      </c>
    </row>
    <row r="37" spans="2:3" ht="21.75" customHeight="1" x14ac:dyDescent="0.3">
      <c r="B37" s="10" t="s">
        <v>58</v>
      </c>
      <c r="C37" s="11" t="s">
        <v>59</v>
      </c>
    </row>
  </sheetData>
  <mergeCells count="4">
    <mergeCell ref="B2:C2"/>
    <mergeCell ref="B3:C3"/>
    <mergeCell ref="B17:C17"/>
    <mergeCell ref="B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93"/>
  <sheetViews>
    <sheetView showGridLines="0" tabSelected="1" zoomScaleNormal="100" workbookViewId="0">
      <selection activeCell="A14" sqref="A14:P14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1" customWidth="1"/>
    <col min="4" max="4" width="10" customWidth="1"/>
    <col min="5" max="6" width="8" customWidth="1"/>
    <col min="7" max="7" width="6" customWidth="1"/>
    <col min="8" max="8" width="12" customWidth="1"/>
    <col min="9" max="9" width="34" customWidth="1"/>
    <col min="10" max="10" width="88" customWidth="1"/>
    <col min="11" max="11" width="16" customWidth="1"/>
    <col min="12" max="12" width="30" customWidth="1"/>
    <col min="13" max="13" width="18" customWidth="1"/>
    <col min="14" max="14" width="13" customWidth="1"/>
    <col min="15" max="15" width="28" customWidth="1"/>
    <col min="16" max="16" width="34" customWidth="1"/>
  </cols>
  <sheetData>
    <row r="1" spans="1:16" ht="27.75" customHeight="1" x14ac:dyDescent="0.3">
      <c r="A1" s="6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1.5" customHeight="1" x14ac:dyDescent="0.3">
      <c r="A2" s="13" t="s">
        <v>61</v>
      </c>
      <c r="B2" s="13" t="s">
        <v>62</v>
      </c>
      <c r="C2" s="13" t="s">
        <v>63</v>
      </c>
      <c r="D2" s="13" t="s">
        <v>64</v>
      </c>
      <c r="E2" s="13" t="s">
        <v>65</v>
      </c>
      <c r="F2" s="13" t="s">
        <v>66</v>
      </c>
      <c r="G2" s="13" t="s">
        <v>67</v>
      </c>
      <c r="H2" s="13" t="s">
        <v>68</v>
      </c>
      <c r="I2" s="13" t="s">
        <v>69</v>
      </c>
      <c r="J2" s="13" t="s">
        <v>70</v>
      </c>
      <c r="K2" s="13" t="s">
        <v>71</v>
      </c>
      <c r="L2" s="13" t="s">
        <v>72</v>
      </c>
      <c r="M2" s="13" t="s">
        <v>73</v>
      </c>
      <c r="N2" s="13" t="s">
        <v>74</v>
      </c>
      <c r="O2" s="13" t="s">
        <v>75</v>
      </c>
      <c r="P2" s="13" t="s">
        <v>76</v>
      </c>
    </row>
    <row r="3" spans="1:16" ht="30" customHeight="1" x14ac:dyDescent="0.3">
      <c r="A3" s="5" t="s">
        <v>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48" customHeight="1" x14ac:dyDescent="0.3">
      <c r="A4" s="14">
        <v>1</v>
      </c>
      <c r="B4" s="14">
        <v>1</v>
      </c>
      <c r="C4" s="14" t="s">
        <v>78</v>
      </c>
      <c r="D4" s="14" t="s">
        <v>79</v>
      </c>
      <c r="E4" s="14" t="s">
        <v>80</v>
      </c>
      <c r="F4" s="14" t="s">
        <v>81</v>
      </c>
      <c r="G4" s="14">
        <v>5</v>
      </c>
      <c r="H4" s="15" t="s">
        <v>82</v>
      </c>
      <c r="I4" s="16" t="s">
        <v>83</v>
      </c>
      <c r="J4" s="17" t="s">
        <v>84</v>
      </c>
      <c r="K4" s="14" t="s">
        <v>85</v>
      </c>
      <c r="L4" s="17" t="s">
        <v>86</v>
      </c>
      <c r="M4" s="17" t="s">
        <v>87</v>
      </c>
      <c r="N4" s="17" t="s">
        <v>8</v>
      </c>
      <c r="O4" s="17" t="s">
        <v>88</v>
      </c>
      <c r="P4" s="17" t="s">
        <v>85</v>
      </c>
    </row>
    <row r="5" spans="1:16" ht="48" customHeight="1" x14ac:dyDescent="0.3">
      <c r="A5" s="14">
        <v>1</v>
      </c>
      <c r="B5" s="14">
        <v>1</v>
      </c>
      <c r="C5" s="14" t="s">
        <v>78</v>
      </c>
      <c r="D5" s="14" t="s">
        <v>79</v>
      </c>
      <c r="E5" s="14" t="s">
        <v>81</v>
      </c>
      <c r="F5" s="14" t="s">
        <v>89</v>
      </c>
      <c r="G5" s="14">
        <v>10</v>
      </c>
      <c r="H5" s="15" t="s">
        <v>82</v>
      </c>
      <c r="I5" s="16" t="s">
        <v>90</v>
      </c>
      <c r="J5" s="17" t="s">
        <v>91</v>
      </c>
      <c r="K5" s="14" t="s">
        <v>85</v>
      </c>
      <c r="L5" s="17" t="s">
        <v>92</v>
      </c>
      <c r="M5" s="17" t="s">
        <v>93</v>
      </c>
      <c r="N5" s="17" t="s">
        <v>94</v>
      </c>
      <c r="O5" s="17" t="s">
        <v>95</v>
      </c>
      <c r="P5" s="17" t="s">
        <v>96</v>
      </c>
    </row>
    <row r="6" spans="1:16" ht="48" customHeight="1" x14ac:dyDescent="0.3">
      <c r="A6" s="14">
        <v>1</v>
      </c>
      <c r="B6" s="14">
        <v>1</v>
      </c>
      <c r="C6" s="14" t="s">
        <v>78</v>
      </c>
      <c r="D6" s="14" t="s">
        <v>79</v>
      </c>
      <c r="E6" s="14" t="s">
        <v>89</v>
      </c>
      <c r="F6" s="14" t="s">
        <v>97</v>
      </c>
      <c r="G6" s="14">
        <v>15</v>
      </c>
      <c r="H6" s="18" t="s">
        <v>98</v>
      </c>
      <c r="I6" s="19" t="s">
        <v>99</v>
      </c>
      <c r="J6" s="17" t="s">
        <v>100</v>
      </c>
      <c r="K6" s="20" t="s">
        <v>25</v>
      </c>
      <c r="L6" s="17" t="s">
        <v>101</v>
      </c>
      <c r="M6" s="17" t="s">
        <v>87</v>
      </c>
      <c r="N6" s="17" t="s">
        <v>102</v>
      </c>
      <c r="O6" s="17" t="s">
        <v>103</v>
      </c>
      <c r="P6" s="17" t="s">
        <v>104</v>
      </c>
    </row>
    <row r="7" spans="1:16" ht="48" customHeight="1" x14ac:dyDescent="0.3">
      <c r="A7" s="14">
        <v>1</v>
      </c>
      <c r="B7" s="14">
        <v>1</v>
      </c>
      <c r="C7" s="14" t="s">
        <v>78</v>
      </c>
      <c r="D7" s="14" t="s">
        <v>79</v>
      </c>
      <c r="E7" s="14" t="s">
        <v>97</v>
      </c>
      <c r="F7" s="14" t="s">
        <v>105</v>
      </c>
      <c r="G7" s="14">
        <v>25</v>
      </c>
      <c r="H7" s="18" t="s">
        <v>98</v>
      </c>
      <c r="I7" s="19" t="s">
        <v>106</v>
      </c>
      <c r="J7" s="17" t="s">
        <v>107</v>
      </c>
      <c r="K7" s="20" t="s">
        <v>25</v>
      </c>
      <c r="L7" s="17" t="s">
        <v>108</v>
      </c>
      <c r="M7" s="17" t="s">
        <v>109</v>
      </c>
      <c r="N7" s="17" t="s">
        <v>94</v>
      </c>
      <c r="O7" s="17" t="s">
        <v>110</v>
      </c>
      <c r="P7" s="17" t="s">
        <v>111</v>
      </c>
    </row>
    <row r="8" spans="1:16" ht="48" customHeight="1" x14ac:dyDescent="0.3">
      <c r="A8" s="14">
        <v>1</v>
      </c>
      <c r="B8" s="14">
        <v>1</v>
      </c>
      <c r="C8" s="14" t="s">
        <v>78</v>
      </c>
      <c r="D8" s="14" t="s">
        <v>79</v>
      </c>
      <c r="E8" s="14" t="s">
        <v>105</v>
      </c>
      <c r="F8" s="14" t="s">
        <v>112</v>
      </c>
      <c r="G8" s="14">
        <v>10</v>
      </c>
      <c r="H8" s="18" t="s">
        <v>98</v>
      </c>
      <c r="I8" s="19" t="s">
        <v>113</v>
      </c>
      <c r="J8" s="17" t="s">
        <v>114</v>
      </c>
      <c r="K8" s="20" t="s">
        <v>25</v>
      </c>
      <c r="L8" s="17" t="s">
        <v>115</v>
      </c>
      <c r="M8" s="17" t="s">
        <v>87</v>
      </c>
      <c r="N8" s="17" t="s">
        <v>8</v>
      </c>
      <c r="O8" s="17" t="s">
        <v>88</v>
      </c>
      <c r="P8" s="17" t="s">
        <v>116</v>
      </c>
    </row>
    <row r="9" spans="1:16" ht="48" customHeight="1" x14ac:dyDescent="0.3">
      <c r="A9" s="14">
        <v>1</v>
      </c>
      <c r="B9" s="14">
        <v>1</v>
      </c>
      <c r="C9" s="14" t="s">
        <v>78</v>
      </c>
      <c r="D9" s="14" t="s">
        <v>79</v>
      </c>
      <c r="E9" s="14" t="s">
        <v>112</v>
      </c>
      <c r="F9" s="14" t="s">
        <v>117</v>
      </c>
      <c r="G9" s="14">
        <v>20</v>
      </c>
      <c r="H9" s="18" t="s">
        <v>98</v>
      </c>
      <c r="I9" s="19" t="s">
        <v>118</v>
      </c>
      <c r="J9" s="17" t="s">
        <v>119</v>
      </c>
      <c r="K9" s="20" t="s">
        <v>25</v>
      </c>
      <c r="L9" s="17" t="s">
        <v>120</v>
      </c>
      <c r="M9" s="17" t="s">
        <v>121</v>
      </c>
      <c r="N9" s="17" t="s">
        <v>94</v>
      </c>
      <c r="O9" s="17" t="s">
        <v>122</v>
      </c>
      <c r="P9" s="17" t="s">
        <v>123</v>
      </c>
    </row>
    <row r="10" spans="1:16" ht="48" customHeight="1" x14ac:dyDescent="0.3">
      <c r="A10" s="14">
        <v>1</v>
      </c>
      <c r="B10" s="14">
        <v>1</v>
      </c>
      <c r="C10" s="14" t="s">
        <v>78</v>
      </c>
      <c r="D10" s="14" t="s">
        <v>79</v>
      </c>
      <c r="E10" s="14" t="s">
        <v>117</v>
      </c>
      <c r="F10" s="14" t="s">
        <v>124</v>
      </c>
      <c r="G10" s="14">
        <v>5</v>
      </c>
      <c r="H10" s="18" t="s">
        <v>98</v>
      </c>
      <c r="I10" s="19" t="s">
        <v>125</v>
      </c>
      <c r="J10" s="17" t="s">
        <v>126</v>
      </c>
      <c r="K10" s="14" t="s">
        <v>85</v>
      </c>
      <c r="L10" s="17" t="s">
        <v>85</v>
      </c>
      <c r="M10" s="17" t="s">
        <v>85</v>
      </c>
      <c r="N10" s="17" t="s">
        <v>85</v>
      </c>
      <c r="O10" s="17" t="s">
        <v>85</v>
      </c>
      <c r="P10" s="17" t="s">
        <v>85</v>
      </c>
    </row>
    <row r="11" spans="1:16" ht="48" customHeight="1" x14ac:dyDescent="0.3">
      <c r="A11" s="14">
        <v>1</v>
      </c>
      <c r="B11" s="14">
        <v>1</v>
      </c>
      <c r="C11" s="14" t="s">
        <v>78</v>
      </c>
      <c r="D11" s="14" t="s">
        <v>79</v>
      </c>
      <c r="E11" s="14" t="s">
        <v>124</v>
      </c>
      <c r="F11" s="14" t="s">
        <v>127</v>
      </c>
      <c r="G11" s="14">
        <v>30</v>
      </c>
      <c r="H11" s="18" t="s">
        <v>98</v>
      </c>
      <c r="I11" s="19" t="s">
        <v>128</v>
      </c>
      <c r="J11" s="17" t="s">
        <v>129</v>
      </c>
      <c r="K11" s="20" t="s">
        <v>25</v>
      </c>
      <c r="L11" s="17" t="s">
        <v>130</v>
      </c>
      <c r="M11" s="17" t="s">
        <v>131</v>
      </c>
      <c r="N11" s="17" t="s">
        <v>94</v>
      </c>
      <c r="O11" s="17" t="s">
        <v>132</v>
      </c>
      <c r="P11" s="17" t="s">
        <v>133</v>
      </c>
    </row>
    <row r="12" spans="1:16" ht="48" customHeight="1" x14ac:dyDescent="0.3">
      <c r="A12" s="14">
        <v>1</v>
      </c>
      <c r="B12" s="14">
        <v>1</v>
      </c>
      <c r="C12" s="14" t="s">
        <v>78</v>
      </c>
      <c r="D12" s="14" t="s">
        <v>79</v>
      </c>
      <c r="E12" s="14" t="s">
        <v>127</v>
      </c>
      <c r="F12" s="14" t="s">
        <v>134</v>
      </c>
      <c r="G12" s="14">
        <v>15</v>
      </c>
      <c r="H12" s="21" t="s">
        <v>135</v>
      </c>
      <c r="I12" s="22" t="s">
        <v>136</v>
      </c>
      <c r="J12" s="17" t="s">
        <v>137</v>
      </c>
      <c r="K12" s="20" t="s">
        <v>25</v>
      </c>
      <c r="L12" s="17" t="s">
        <v>138</v>
      </c>
      <c r="M12" s="17" t="s">
        <v>87</v>
      </c>
      <c r="N12" s="17" t="s">
        <v>8</v>
      </c>
      <c r="O12" s="17" t="s">
        <v>88</v>
      </c>
      <c r="P12" s="17" t="s">
        <v>139</v>
      </c>
    </row>
    <row r="13" spans="1:16" ht="24" customHeight="1" x14ac:dyDescent="0.3">
      <c r="A13" s="23" t="s">
        <v>140</v>
      </c>
      <c r="B13" s="23"/>
      <c r="C13" s="23"/>
      <c r="D13" s="23"/>
      <c r="E13" s="23"/>
      <c r="F13" s="23"/>
      <c r="G13" s="23">
        <f>SUM(G4:G12)</f>
        <v>135</v>
      </c>
      <c r="H13" s="23"/>
      <c r="I13" s="24" t="s">
        <v>141</v>
      </c>
      <c r="J13" s="24" t="s">
        <v>142</v>
      </c>
      <c r="K13" s="23"/>
      <c r="L13" s="23"/>
      <c r="M13" s="23"/>
      <c r="N13" s="23"/>
      <c r="O13" s="23"/>
      <c r="P13" s="23"/>
    </row>
    <row r="14" spans="1:16" ht="30" customHeight="1" x14ac:dyDescent="0.3">
      <c r="A14" s="5" t="s">
        <v>143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48" customHeight="1" x14ac:dyDescent="0.3">
      <c r="A15" s="14">
        <v>1</v>
      </c>
      <c r="B15" s="14">
        <v>2</v>
      </c>
      <c r="C15" s="14" t="s">
        <v>144</v>
      </c>
      <c r="D15" s="14" t="s">
        <v>145</v>
      </c>
      <c r="E15" s="14" t="s">
        <v>146</v>
      </c>
      <c r="F15" s="14" t="s">
        <v>147</v>
      </c>
      <c r="G15" s="14">
        <v>5</v>
      </c>
      <c r="H15" s="15" t="s">
        <v>82</v>
      </c>
      <c r="I15" s="16" t="s">
        <v>148</v>
      </c>
      <c r="J15" s="17" t="s">
        <v>149</v>
      </c>
      <c r="K15" s="14" t="s">
        <v>85</v>
      </c>
      <c r="L15" s="17" t="s">
        <v>150</v>
      </c>
      <c r="M15" s="17" t="s">
        <v>93</v>
      </c>
      <c r="N15" s="17" t="s">
        <v>94</v>
      </c>
      <c r="O15" s="17" t="s">
        <v>88</v>
      </c>
      <c r="P15" s="17" t="s">
        <v>151</v>
      </c>
    </row>
    <row r="16" spans="1:16" ht="48" customHeight="1" x14ac:dyDescent="0.3">
      <c r="A16" s="14">
        <v>1</v>
      </c>
      <c r="B16" s="14">
        <v>2</v>
      </c>
      <c r="C16" s="14" t="s">
        <v>144</v>
      </c>
      <c r="D16" s="14" t="s">
        <v>145</v>
      </c>
      <c r="E16" s="14" t="s">
        <v>147</v>
      </c>
      <c r="F16" s="14" t="s">
        <v>152</v>
      </c>
      <c r="G16" s="14">
        <v>10</v>
      </c>
      <c r="H16" s="18" t="s">
        <v>98</v>
      </c>
      <c r="I16" s="19" t="s">
        <v>153</v>
      </c>
      <c r="J16" s="17" t="s">
        <v>154</v>
      </c>
      <c r="K16" s="20" t="s">
        <v>25</v>
      </c>
      <c r="L16" s="17" t="s">
        <v>155</v>
      </c>
      <c r="M16" s="17" t="s">
        <v>87</v>
      </c>
      <c r="N16" s="17" t="s">
        <v>8</v>
      </c>
      <c r="O16" s="17" t="s">
        <v>103</v>
      </c>
      <c r="P16" s="17" t="s">
        <v>156</v>
      </c>
    </row>
    <row r="17" spans="1:16" ht="48" customHeight="1" x14ac:dyDescent="0.3">
      <c r="A17" s="14">
        <v>1</v>
      </c>
      <c r="B17" s="14">
        <v>2</v>
      </c>
      <c r="C17" s="14" t="s">
        <v>144</v>
      </c>
      <c r="D17" s="14" t="s">
        <v>145</v>
      </c>
      <c r="E17" s="14" t="s">
        <v>152</v>
      </c>
      <c r="F17" s="14" t="s">
        <v>157</v>
      </c>
      <c r="G17" s="14">
        <v>30</v>
      </c>
      <c r="H17" s="18" t="s">
        <v>98</v>
      </c>
      <c r="I17" s="19" t="s">
        <v>158</v>
      </c>
      <c r="J17" s="17" t="s">
        <v>159</v>
      </c>
      <c r="K17" s="20" t="s">
        <v>25</v>
      </c>
      <c r="L17" s="17" t="s">
        <v>160</v>
      </c>
      <c r="M17" s="17" t="s">
        <v>93</v>
      </c>
      <c r="N17" s="17" t="s">
        <v>94</v>
      </c>
      <c r="O17" s="17" t="s">
        <v>122</v>
      </c>
      <c r="P17" s="17" t="s">
        <v>161</v>
      </c>
    </row>
    <row r="18" spans="1:16" ht="48" customHeight="1" x14ac:dyDescent="0.3">
      <c r="A18" s="14">
        <v>1</v>
      </c>
      <c r="B18" s="14">
        <v>2</v>
      </c>
      <c r="C18" s="14" t="s">
        <v>144</v>
      </c>
      <c r="D18" s="14" t="s">
        <v>145</v>
      </c>
      <c r="E18" s="14" t="s">
        <v>157</v>
      </c>
      <c r="F18" s="14" t="s">
        <v>162</v>
      </c>
      <c r="G18" s="14">
        <v>10</v>
      </c>
      <c r="H18" s="18" t="s">
        <v>98</v>
      </c>
      <c r="I18" s="19" t="s">
        <v>163</v>
      </c>
      <c r="J18" s="17" t="s">
        <v>164</v>
      </c>
      <c r="K18" s="20" t="s">
        <v>27</v>
      </c>
      <c r="L18" s="17" t="s">
        <v>165</v>
      </c>
      <c r="M18" s="17" t="s">
        <v>87</v>
      </c>
      <c r="N18" s="17" t="s">
        <v>8</v>
      </c>
      <c r="O18" s="17" t="s">
        <v>88</v>
      </c>
      <c r="P18" s="17" t="s">
        <v>166</v>
      </c>
    </row>
    <row r="19" spans="1:16" ht="48" customHeight="1" x14ac:dyDescent="0.3">
      <c r="A19" s="14">
        <v>1</v>
      </c>
      <c r="B19" s="14">
        <v>2</v>
      </c>
      <c r="C19" s="14" t="s">
        <v>144</v>
      </c>
      <c r="D19" s="14" t="s">
        <v>145</v>
      </c>
      <c r="E19" s="14" t="s">
        <v>162</v>
      </c>
      <c r="F19" s="14" t="s">
        <v>167</v>
      </c>
      <c r="G19" s="14">
        <v>25</v>
      </c>
      <c r="H19" s="18" t="s">
        <v>98</v>
      </c>
      <c r="I19" s="19" t="s">
        <v>168</v>
      </c>
      <c r="J19" s="17" t="s">
        <v>169</v>
      </c>
      <c r="K19" s="20" t="s">
        <v>25</v>
      </c>
      <c r="L19" s="17" t="s">
        <v>170</v>
      </c>
      <c r="M19" s="17" t="s">
        <v>121</v>
      </c>
      <c r="N19" s="17" t="s">
        <v>94</v>
      </c>
      <c r="O19" s="17" t="s">
        <v>171</v>
      </c>
      <c r="P19" s="17" t="s">
        <v>172</v>
      </c>
    </row>
    <row r="20" spans="1:16" ht="48" customHeight="1" x14ac:dyDescent="0.3">
      <c r="A20" s="14">
        <v>1</v>
      </c>
      <c r="B20" s="14">
        <v>2</v>
      </c>
      <c r="C20" s="14" t="s">
        <v>144</v>
      </c>
      <c r="D20" s="14" t="s">
        <v>145</v>
      </c>
      <c r="E20" s="14" t="s">
        <v>167</v>
      </c>
      <c r="F20" s="14" t="s">
        <v>173</v>
      </c>
      <c r="G20" s="14">
        <v>5</v>
      </c>
      <c r="H20" s="18" t="s">
        <v>98</v>
      </c>
      <c r="I20" s="19" t="s">
        <v>125</v>
      </c>
      <c r="J20" s="17" t="s">
        <v>174</v>
      </c>
      <c r="K20" s="14" t="s">
        <v>85</v>
      </c>
      <c r="L20" s="17" t="s">
        <v>85</v>
      </c>
      <c r="M20" s="17" t="s">
        <v>85</v>
      </c>
      <c r="N20" s="17" t="s">
        <v>85</v>
      </c>
      <c r="O20" s="17" t="s">
        <v>85</v>
      </c>
      <c r="P20" s="17" t="s">
        <v>85</v>
      </c>
    </row>
    <row r="21" spans="1:16" ht="48" customHeight="1" x14ac:dyDescent="0.3">
      <c r="A21" s="25">
        <v>1</v>
      </c>
      <c r="B21" s="25">
        <v>2</v>
      </c>
      <c r="C21" s="25" t="s">
        <v>144</v>
      </c>
      <c r="D21" s="25" t="s">
        <v>145</v>
      </c>
      <c r="E21" s="25" t="s">
        <v>173</v>
      </c>
      <c r="F21" s="25" t="s">
        <v>175</v>
      </c>
      <c r="G21" s="25">
        <v>40</v>
      </c>
      <c r="H21" s="26" t="s">
        <v>98</v>
      </c>
      <c r="I21" s="27" t="s">
        <v>176</v>
      </c>
      <c r="J21" s="26" t="s">
        <v>177</v>
      </c>
      <c r="K21" s="28" t="s">
        <v>25</v>
      </c>
      <c r="L21" s="26" t="s">
        <v>178</v>
      </c>
      <c r="M21" s="26" t="s">
        <v>131</v>
      </c>
      <c r="N21" s="26" t="s">
        <v>94</v>
      </c>
      <c r="O21" s="26" t="s">
        <v>179</v>
      </c>
      <c r="P21" s="26" t="s">
        <v>180</v>
      </c>
    </row>
    <row r="22" spans="1:16" ht="48" customHeight="1" x14ac:dyDescent="0.3">
      <c r="A22" s="14">
        <v>1</v>
      </c>
      <c r="B22" s="14">
        <v>2</v>
      </c>
      <c r="C22" s="14" t="s">
        <v>144</v>
      </c>
      <c r="D22" s="14" t="s">
        <v>145</v>
      </c>
      <c r="E22" s="14" t="s">
        <v>175</v>
      </c>
      <c r="F22" s="14" t="s">
        <v>181</v>
      </c>
      <c r="G22" s="14">
        <v>10</v>
      </c>
      <c r="H22" s="21" t="s">
        <v>135</v>
      </c>
      <c r="I22" s="22" t="s">
        <v>182</v>
      </c>
      <c r="J22" s="17" t="s">
        <v>183</v>
      </c>
      <c r="K22" s="20" t="s">
        <v>25</v>
      </c>
      <c r="L22" s="17" t="s">
        <v>184</v>
      </c>
      <c r="M22" s="17" t="s">
        <v>87</v>
      </c>
      <c r="N22" s="17" t="s">
        <v>102</v>
      </c>
      <c r="O22" s="17" t="s">
        <v>185</v>
      </c>
      <c r="P22" s="17" t="s">
        <v>186</v>
      </c>
    </row>
    <row r="23" spans="1:16" ht="24" customHeight="1" x14ac:dyDescent="0.3">
      <c r="A23" s="23" t="s">
        <v>140</v>
      </c>
      <c r="B23" s="23"/>
      <c r="C23" s="23"/>
      <c r="D23" s="23"/>
      <c r="E23" s="23"/>
      <c r="F23" s="23"/>
      <c r="G23" s="23">
        <f>SUM(G15:G22)</f>
        <v>135</v>
      </c>
      <c r="H23" s="23"/>
      <c r="I23" s="24" t="s">
        <v>187</v>
      </c>
      <c r="J23" s="24" t="s">
        <v>188</v>
      </c>
      <c r="K23" s="23"/>
      <c r="L23" s="23"/>
      <c r="M23" s="23"/>
      <c r="N23" s="23"/>
      <c r="O23" s="23"/>
      <c r="P23" s="23"/>
    </row>
    <row r="24" spans="1:16" ht="30" customHeight="1" x14ac:dyDescent="0.3">
      <c r="A24" s="5" t="s">
        <v>189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48" customHeight="1" x14ac:dyDescent="0.3">
      <c r="A25" s="14">
        <v>2</v>
      </c>
      <c r="B25" s="14">
        <v>3</v>
      </c>
      <c r="C25" s="14" t="s">
        <v>190</v>
      </c>
      <c r="D25" s="14" t="s">
        <v>79</v>
      </c>
      <c r="E25" s="14" t="s">
        <v>80</v>
      </c>
      <c r="F25" s="14" t="s">
        <v>81</v>
      </c>
      <c r="G25" s="14">
        <v>5</v>
      </c>
      <c r="H25" s="15" t="s">
        <v>82</v>
      </c>
      <c r="I25" s="16" t="s">
        <v>191</v>
      </c>
      <c r="J25" s="17" t="s">
        <v>192</v>
      </c>
      <c r="K25" s="20" t="s">
        <v>25</v>
      </c>
      <c r="L25" s="17" t="s">
        <v>193</v>
      </c>
      <c r="M25" s="17" t="s">
        <v>87</v>
      </c>
      <c r="N25" s="17" t="s">
        <v>102</v>
      </c>
      <c r="O25" s="17" t="s">
        <v>185</v>
      </c>
      <c r="P25" s="17" t="s">
        <v>194</v>
      </c>
    </row>
    <row r="26" spans="1:16" ht="48" customHeight="1" x14ac:dyDescent="0.3">
      <c r="A26" s="14">
        <v>2</v>
      </c>
      <c r="B26" s="14">
        <v>3</v>
      </c>
      <c r="C26" s="14" t="s">
        <v>190</v>
      </c>
      <c r="D26" s="14" t="s">
        <v>79</v>
      </c>
      <c r="E26" s="14" t="s">
        <v>81</v>
      </c>
      <c r="F26" s="14" t="s">
        <v>89</v>
      </c>
      <c r="G26" s="14">
        <v>10</v>
      </c>
      <c r="H26" s="18" t="s">
        <v>98</v>
      </c>
      <c r="I26" s="19" t="s">
        <v>195</v>
      </c>
      <c r="J26" s="17" t="s">
        <v>196</v>
      </c>
      <c r="K26" s="20" t="s">
        <v>25</v>
      </c>
      <c r="L26" s="17" t="s">
        <v>197</v>
      </c>
      <c r="M26" s="17" t="s">
        <v>87</v>
      </c>
      <c r="N26" s="17" t="s">
        <v>8</v>
      </c>
      <c r="O26" s="17" t="s">
        <v>88</v>
      </c>
      <c r="P26" s="17" t="s">
        <v>198</v>
      </c>
    </row>
    <row r="27" spans="1:16" ht="48" customHeight="1" x14ac:dyDescent="0.3">
      <c r="A27" s="14">
        <v>2</v>
      </c>
      <c r="B27" s="14">
        <v>3</v>
      </c>
      <c r="C27" s="14" t="s">
        <v>190</v>
      </c>
      <c r="D27" s="14" t="s">
        <v>79</v>
      </c>
      <c r="E27" s="14" t="s">
        <v>89</v>
      </c>
      <c r="F27" s="14" t="s">
        <v>199</v>
      </c>
      <c r="G27" s="14">
        <v>30</v>
      </c>
      <c r="H27" s="18" t="s">
        <v>98</v>
      </c>
      <c r="I27" s="19" t="s">
        <v>200</v>
      </c>
      <c r="J27" s="17" t="s">
        <v>201</v>
      </c>
      <c r="K27" s="20" t="s">
        <v>25</v>
      </c>
      <c r="L27" s="17" t="s">
        <v>120</v>
      </c>
      <c r="M27" s="17" t="s">
        <v>93</v>
      </c>
      <c r="N27" s="17" t="s">
        <v>94</v>
      </c>
      <c r="O27" s="17" t="s">
        <v>122</v>
      </c>
      <c r="P27" s="17" t="s">
        <v>202</v>
      </c>
    </row>
    <row r="28" spans="1:16" ht="48" customHeight="1" x14ac:dyDescent="0.3">
      <c r="A28" s="14">
        <v>2</v>
      </c>
      <c r="B28" s="14">
        <v>3</v>
      </c>
      <c r="C28" s="14" t="s">
        <v>190</v>
      </c>
      <c r="D28" s="14" t="s">
        <v>79</v>
      </c>
      <c r="E28" s="14" t="s">
        <v>199</v>
      </c>
      <c r="F28" s="14" t="s">
        <v>105</v>
      </c>
      <c r="G28" s="14">
        <v>10</v>
      </c>
      <c r="H28" s="18" t="s">
        <v>98</v>
      </c>
      <c r="I28" s="19" t="s">
        <v>203</v>
      </c>
      <c r="J28" s="17" t="s">
        <v>204</v>
      </c>
      <c r="K28" s="20" t="s">
        <v>27</v>
      </c>
      <c r="L28" s="17" t="s">
        <v>205</v>
      </c>
      <c r="M28" s="17" t="s">
        <v>131</v>
      </c>
      <c r="N28" s="17" t="s">
        <v>102</v>
      </c>
      <c r="O28" s="17" t="s">
        <v>88</v>
      </c>
      <c r="P28" s="17" t="s">
        <v>206</v>
      </c>
    </row>
    <row r="29" spans="1:16" ht="48" customHeight="1" x14ac:dyDescent="0.3">
      <c r="A29" s="14">
        <v>2</v>
      </c>
      <c r="B29" s="14">
        <v>3</v>
      </c>
      <c r="C29" s="14" t="s">
        <v>190</v>
      </c>
      <c r="D29" s="14" t="s">
        <v>79</v>
      </c>
      <c r="E29" s="14" t="s">
        <v>105</v>
      </c>
      <c r="F29" s="14" t="s">
        <v>207</v>
      </c>
      <c r="G29" s="14">
        <v>25</v>
      </c>
      <c r="H29" s="18" t="s">
        <v>98</v>
      </c>
      <c r="I29" s="19" t="s">
        <v>208</v>
      </c>
      <c r="J29" s="17" t="s">
        <v>209</v>
      </c>
      <c r="K29" s="20" t="s">
        <v>25</v>
      </c>
      <c r="L29" s="17" t="s">
        <v>210</v>
      </c>
      <c r="M29" s="17" t="s">
        <v>93</v>
      </c>
      <c r="N29" s="17" t="s">
        <v>94</v>
      </c>
      <c r="O29" s="17" t="s">
        <v>211</v>
      </c>
      <c r="P29" s="17" t="s">
        <v>212</v>
      </c>
    </row>
    <row r="30" spans="1:16" ht="48" customHeight="1" x14ac:dyDescent="0.3">
      <c r="A30" s="14">
        <v>2</v>
      </c>
      <c r="B30" s="14">
        <v>3</v>
      </c>
      <c r="C30" s="14" t="s">
        <v>190</v>
      </c>
      <c r="D30" s="14" t="s">
        <v>79</v>
      </c>
      <c r="E30" s="14" t="s">
        <v>207</v>
      </c>
      <c r="F30" s="14" t="s">
        <v>117</v>
      </c>
      <c r="G30" s="14">
        <v>5</v>
      </c>
      <c r="H30" s="18" t="s">
        <v>98</v>
      </c>
      <c r="I30" s="19" t="s">
        <v>125</v>
      </c>
      <c r="J30" s="17" t="s">
        <v>213</v>
      </c>
      <c r="K30" s="14" t="s">
        <v>85</v>
      </c>
      <c r="L30" s="17" t="s">
        <v>85</v>
      </c>
      <c r="M30" s="17" t="s">
        <v>85</v>
      </c>
      <c r="N30" s="17" t="s">
        <v>85</v>
      </c>
      <c r="O30" s="17" t="s">
        <v>85</v>
      </c>
      <c r="P30" s="17" t="s">
        <v>85</v>
      </c>
    </row>
    <row r="31" spans="1:16" ht="48" customHeight="1" x14ac:dyDescent="0.3">
      <c r="A31" s="25">
        <v>2</v>
      </c>
      <c r="B31" s="25">
        <v>3</v>
      </c>
      <c r="C31" s="25" t="s">
        <v>190</v>
      </c>
      <c r="D31" s="25" t="s">
        <v>79</v>
      </c>
      <c r="E31" s="25" t="s">
        <v>117</v>
      </c>
      <c r="F31" s="25" t="s">
        <v>214</v>
      </c>
      <c r="G31" s="25">
        <v>40</v>
      </c>
      <c r="H31" s="26" t="s">
        <v>98</v>
      </c>
      <c r="I31" s="27" t="s">
        <v>215</v>
      </c>
      <c r="J31" s="26" t="s">
        <v>216</v>
      </c>
      <c r="K31" s="28" t="s">
        <v>25</v>
      </c>
      <c r="L31" s="26" t="s">
        <v>217</v>
      </c>
      <c r="M31" s="26" t="s">
        <v>131</v>
      </c>
      <c r="N31" s="26" t="s">
        <v>94</v>
      </c>
      <c r="O31" s="26" t="s">
        <v>218</v>
      </c>
      <c r="P31" s="26" t="s">
        <v>219</v>
      </c>
    </row>
    <row r="32" spans="1:16" ht="48" customHeight="1" x14ac:dyDescent="0.3">
      <c r="A32" s="14">
        <v>2</v>
      </c>
      <c r="B32" s="14">
        <v>3</v>
      </c>
      <c r="C32" s="14" t="s">
        <v>190</v>
      </c>
      <c r="D32" s="14" t="s">
        <v>79</v>
      </c>
      <c r="E32" s="14" t="s">
        <v>214</v>
      </c>
      <c r="F32" s="14" t="s">
        <v>134</v>
      </c>
      <c r="G32" s="14">
        <v>10</v>
      </c>
      <c r="H32" s="21" t="s">
        <v>135</v>
      </c>
      <c r="I32" s="22" t="s">
        <v>220</v>
      </c>
      <c r="J32" s="17" t="s">
        <v>221</v>
      </c>
      <c r="K32" s="20" t="s">
        <v>25</v>
      </c>
      <c r="L32" s="17" t="s">
        <v>222</v>
      </c>
      <c r="M32" s="17" t="s">
        <v>87</v>
      </c>
      <c r="N32" s="17" t="s">
        <v>102</v>
      </c>
      <c r="O32" s="17" t="s">
        <v>88</v>
      </c>
      <c r="P32" s="17" t="s">
        <v>223</v>
      </c>
    </row>
    <row r="33" spans="1:16" ht="24" customHeight="1" x14ac:dyDescent="0.3">
      <c r="A33" s="23" t="s">
        <v>140</v>
      </c>
      <c r="B33" s="23"/>
      <c r="C33" s="23"/>
      <c r="D33" s="23"/>
      <c r="E33" s="23"/>
      <c r="F33" s="23"/>
      <c r="G33" s="23">
        <f>SUM(G25:G32)</f>
        <v>135</v>
      </c>
      <c r="H33" s="23"/>
      <c r="I33" s="24" t="s">
        <v>224</v>
      </c>
      <c r="J33" s="24" t="s">
        <v>225</v>
      </c>
      <c r="K33" s="23"/>
      <c r="L33" s="23"/>
      <c r="M33" s="23"/>
      <c r="N33" s="23"/>
      <c r="O33" s="23"/>
      <c r="P33" s="23"/>
    </row>
    <row r="34" spans="1:16" ht="30" customHeight="1" x14ac:dyDescent="0.3">
      <c r="A34" s="5" t="s">
        <v>226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48" customHeight="1" x14ac:dyDescent="0.3">
      <c r="A35" s="14">
        <v>2</v>
      </c>
      <c r="B35" s="14">
        <v>4</v>
      </c>
      <c r="C35" s="14" t="s">
        <v>227</v>
      </c>
      <c r="D35" s="14" t="s">
        <v>145</v>
      </c>
      <c r="E35" s="14" t="s">
        <v>146</v>
      </c>
      <c r="F35" s="14" t="s">
        <v>228</v>
      </c>
      <c r="G35" s="14">
        <v>10</v>
      </c>
      <c r="H35" s="15" t="s">
        <v>82</v>
      </c>
      <c r="I35" s="16" t="s">
        <v>148</v>
      </c>
      <c r="J35" s="17" t="s">
        <v>229</v>
      </c>
      <c r="K35" s="14" t="s">
        <v>85</v>
      </c>
      <c r="L35" s="17" t="s">
        <v>230</v>
      </c>
      <c r="M35" s="17" t="s">
        <v>93</v>
      </c>
      <c r="N35" s="17" t="s">
        <v>94</v>
      </c>
      <c r="O35" s="17" t="s">
        <v>88</v>
      </c>
      <c r="P35" s="17" t="s">
        <v>231</v>
      </c>
    </row>
    <row r="36" spans="1:16" ht="48" customHeight="1" x14ac:dyDescent="0.3">
      <c r="A36" s="14">
        <v>2</v>
      </c>
      <c r="B36" s="14">
        <v>4</v>
      </c>
      <c r="C36" s="14" t="s">
        <v>227</v>
      </c>
      <c r="D36" s="14" t="s">
        <v>145</v>
      </c>
      <c r="E36" s="14" t="s">
        <v>228</v>
      </c>
      <c r="F36" s="14" t="s">
        <v>232</v>
      </c>
      <c r="G36" s="14">
        <v>15</v>
      </c>
      <c r="H36" s="18" t="s">
        <v>98</v>
      </c>
      <c r="I36" s="19" t="s">
        <v>233</v>
      </c>
      <c r="J36" s="17" t="s">
        <v>234</v>
      </c>
      <c r="K36" s="20" t="s">
        <v>27</v>
      </c>
      <c r="L36" s="17" t="s">
        <v>235</v>
      </c>
      <c r="M36" s="17" t="s">
        <v>87</v>
      </c>
      <c r="N36" s="17" t="s">
        <v>8</v>
      </c>
      <c r="O36" s="17" t="s">
        <v>103</v>
      </c>
      <c r="P36" s="17" t="s">
        <v>236</v>
      </c>
    </row>
    <row r="37" spans="1:16" ht="48" customHeight="1" x14ac:dyDescent="0.3">
      <c r="A37" s="14">
        <v>2</v>
      </c>
      <c r="B37" s="14">
        <v>4</v>
      </c>
      <c r="C37" s="14" t="s">
        <v>227</v>
      </c>
      <c r="D37" s="14" t="s">
        <v>145</v>
      </c>
      <c r="E37" s="14" t="s">
        <v>232</v>
      </c>
      <c r="F37" s="14" t="s">
        <v>162</v>
      </c>
      <c r="G37" s="14">
        <v>30</v>
      </c>
      <c r="H37" s="18" t="s">
        <v>98</v>
      </c>
      <c r="I37" s="19" t="s">
        <v>237</v>
      </c>
      <c r="J37" s="17" t="s">
        <v>238</v>
      </c>
      <c r="K37" s="20" t="s">
        <v>27</v>
      </c>
      <c r="L37" s="17" t="s">
        <v>239</v>
      </c>
      <c r="M37" s="17" t="s">
        <v>121</v>
      </c>
      <c r="N37" s="17" t="s">
        <v>94</v>
      </c>
      <c r="O37" s="17" t="s">
        <v>171</v>
      </c>
      <c r="P37" s="17" t="s">
        <v>240</v>
      </c>
    </row>
    <row r="38" spans="1:16" ht="48" customHeight="1" x14ac:dyDescent="0.3">
      <c r="A38" s="14">
        <v>2</v>
      </c>
      <c r="B38" s="14">
        <v>4</v>
      </c>
      <c r="C38" s="14" t="s">
        <v>227</v>
      </c>
      <c r="D38" s="14" t="s">
        <v>145</v>
      </c>
      <c r="E38" s="14" t="s">
        <v>162</v>
      </c>
      <c r="F38" s="14" t="s">
        <v>241</v>
      </c>
      <c r="G38" s="14">
        <v>5</v>
      </c>
      <c r="H38" s="18" t="s">
        <v>98</v>
      </c>
      <c r="I38" s="19" t="s">
        <v>125</v>
      </c>
      <c r="J38" s="17" t="s">
        <v>242</v>
      </c>
      <c r="K38" s="14" t="s">
        <v>85</v>
      </c>
      <c r="L38" s="17" t="s">
        <v>85</v>
      </c>
      <c r="M38" s="17" t="s">
        <v>85</v>
      </c>
      <c r="N38" s="17" t="s">
        <v>85</v>
      </c>
      <c r="O38" s="17" t="s">
        <v>85</v>
      </c>
      <c r="P38" s="17" t="s">
        <v>85</v>
      </c>
    </row>
    <row r="39" spans="1:16" ht="48" customHeight="1" x14ac:dyDescent="0.3">
      <c r="A39" s="25">
        <v>2</v>
      </c>
      <c r="B39" s="25">
        <v>4</v>
      </c>
      <c r="C39" s="25" t="s">
        <v>227</v>
      </c>
      <c r="D39" s="25" t="s">
        <v>145</v>
      </c>
      <c r="E39" s="25" t="s">
        <v>241</v>
      </c>
      <c r="F39" s="25" t="s">
        <v>243</v>
      </c>
      <c r="G39" s="25">
        <v>45</v>
      </c>
      <c r="H39" s="26" t="s">
        <v>98</v>
      </c>
      <c r="I39" s="27" t="s">
        <v>244</v>
      </c>
      <c r="J39" s="26" t="s">
        <v>245</v>
      </c>
      <c r="K39" s="28" t="s">
        <v>25</v>
      </c>
      <c r="L39" s="26" t="s">
        <v>246</v>
      </c>
      <c r="M39" s="26" t="s">
        <v>131</v>
      </c>
      <c r="N39" s="26" t="s">
        <v>94</v>
      </c>
      <c r="O39" s="26" t="s">
        <v>247</v>
      </c>
      <c r="P39" s="26" t="s">
        <v>248</v>
      </c>
    </row>
    <row r="40" spans="1:16" ht="48" customHeight="1" x14ac:dyDescent="0.3">
      <c r="A40" s="14">
        <v>2</v>
      </c>
      <c r="B40" s="14">
        <v>4</v>
      </c>
      <c r="C40" s="14" t="s">
        <v>227</v>
      </c>
      <c r="D40" s="14" t="s">
        <v>145</v>
      </c>
      <c r="E40" s="14" t="s">
        <v>243</v>
      </c>
      <c r="F40" s="14" t="s">
        <v>249</v>
      </c>
      <c r="G40" s="14">
        <v>15</v>
      </c>
      <c r="H40" s="18" t="s">
        <v>98</v>
      </c>
      <c r="I40" s="19" t="s">
        <v>250</v>
      </c>
      <c r="J40" s="17" t="s">
        <v>251</v>
      </c>
      <c r="K40" s="20" t="s">
        <v>25</v>
      </c>
      <c r="L40" s="17" t="s">
        <v>252</v>
      </c>
      <c r="M40" s="17" t="s">
        <v>131</v>
      </c>
      <c r="N40" s="17" t="s">
        <v>94</v>
      </c>
      <c r="O40" s="17" t="s">
        <v>253</v>
      </c>
      <c r="P40" s="17" t="s">
        <v>254</v>
      </c>
    </row>
    <row r="41" spans="1:16" ht="48" customHeight="1" x14ac:dyDescent="0.3">
      <c r="A41" s="14">
        <v>2</v>
      </c>
      <c r="B41" s="14">
        <v>4</v>
      </c>
      <c r="C41" s="14" t="s">
        <v>227</v>
      </c>
      <c r="D41" s="14" t="s">
        <v>145</v>
      </c>
      <c r="E41" s="14" t="s">
        <v>249</v>
      </c>
      <c r="F41" s="14" t="s">
        <v>181</v>
      </c>
      <c r="G41" s="14">
        <v>15</v>
      </c>
      <c r="H41" s="21" t="s">
        <v>135</v>
      </c>
      <c r="I41" s="22" t="s">
        <v>255</v>
      </c>
      <c r="J41" s="17" t="s">
        <v>256</v>
      </c>
      <c r="K41" s="20" t="s">
        <v>27</v>
      </c>
      <c r="L41" s="17" t="s">
        <v>257</v>
      </c>
      <c r="M41" s="17" t="s">
        <v>87</v>
      </c>
      <c r="N41" s="17" t="s">
        <v>8</v>
      </c>
      <c r="O41" s="17" t="s">
        <v>88</v>
      </c>
      <c r="P41" s="17" t="s">
        <v>258</v>
      </c>
    </row>
    <row r="42" spans="1:16" ht="24" customHeight="1" x14ac:dyDescent="0.3">
      <c r="A42" s="23" t="s">
        <v>140</v>
      </c>
      <c r="B42" s="23"/>
      <c r="C42" s="23"/>
      <c r="D42" s="23"/>
      <c r="E42" s="23"/>
      <c r="F42" s="23"/>
      <c r="G42" s="23">
        <f>SUM(G35:G41)</f>
        <v>135</v>
      </c>
      <c r="H42" s="23"/>
      <c r="I42" s="24" t="s">
        <v>259</v>
      </c>
      <c r="J42" s="24" t="s">
        <v>260</v>
      </c>
      <c r="K42" s="23"/>
      <c r="L42" s="23"/>
      <c r="M42" s="23"/>
      <c r="N42" s="23"/>
      <c r="O42" s="23"/>
      <c r="P42" s="23"/>
    </row>
    <row r="43" spans="1:16" ht="30" customHeight="1" x14ac:dyDescent="0.3">
      <c r="A43" s="5" t="s">
        <v>261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48" customHeight="1" x14ac:dyDescent="0.3">
      <c r="A44" s="14">
        <v>3</v>
      </c>
      <c r="B44" s="14">
        <v>5</v>
      </c>
      <c r="C44" s="14" t="s">
        <v>262</v>
      </c>
      <c r="D44" s="14" t="s">
        <v>79</v>
      </c>
      <c r="E44" s="14" t="s">
        <v>80</v>
      </c>
      <c r="F44" s="14" t="s">
        <v>81</v>
      </c>
      <c r="G44" s="14">
        <v>5</v>
      </c>
      <c r="H44" s="15" t="s">
        <v>82</v>
      </c>
      <c r="I44" s="16" t="s">
        <v>263</v>
      </c>
      <c r="J44" s="17" t="s">
        <v>264</v>
      </c>
      <c r="K44" s="14" t="s">
        <v>85</v>
      </c>
      <c r="L44" s="17" t="s">
        <v>263</v>
      </c>
      <c r="M44" s="17" t="s">
        <v>87</v>
      </c>
      <c r="N44" s="17" t="s">
        <v>94</v>
      </c>
      <c r="O44" s="17" t="s">
        <v>88</v>
      </c>
      <c r="P44" s="17" t="s">
        <v>265</v>
      </c>
    </row>
    <row r="45" spans="1:16" ht="48" customHeight="1" x14ac:dyDescent="0.3">
      <c r="A45" s="14">
        <v>3</v>
      </c>
      <c r="B45" s="14">
        <v>5</v>
      </c>
      <c r="C45" s="14" t="s">
        <v>262</v>
      </c>
      <c r="D45" s="14" t="s">
        <v>79</v>
      </c>
      <c r="E45" s="14" t="s">
        <v>81</v>
      </c>
      <c r="F45" s="14" t="s">
        <v>89</v>
      </c>
      <c r="G45" s="14">
        <v>10</v>
      </c>
      <c r="H45" s="18" t="s">
        <v>98</v>
      </c>
      <c r="I45" s="19" t="s">
        <v>266</v>
      </c>
      <c r="J45" s="17" t="s">
        <v>267</v>
      </c>
      <c r="K45" s="20" t="s">
        <v>27</v>
      </c>
      <c r="L45" s="17" t="s">
        <v>268</v>
      </c>
      <c r="M45" s="17" t="s">
        <v>87</v>
      </c>
      <c r="N45" s="17" t="s">
        <v>8</v>
      </c>
      <c r="O45" s="17" t="s">
        <v>88</v>
      </c>
      <c r="P45" s="17" t="s">
        <v>269</v>
      </c>
    </row>
    <row r="46" spans="1:16" ht="48" customHeight="1" x14ac:dyDescent="0.3">
      <c r="A46" s="14">
        <v>3</v>
      </c>
      <c r="B46" s="14">
        <v>5</v>
      </c>
      <c r="C46" s="14" t="s">
        <v>262</v>
      </c>
      <c r="D46" s="14" t="s">
        <v>79</v>
      </c>
      <c r="E46" s="14" t="s">
        <v>89</v>
      </c>
      <c r="F46" s="14" t="s">
        <v>199</v>
      </c>
      <c r="G46" s="14">
        <v>30</v>
      </c>
      <c r="H46" s="18" t="s">
        <v>98</v>
      </c>
      <c r="I46" s="19" t="s">
        <v>270</v>
      </c>
      <c r="J46" s="17" t="s">
        <v>271</v>
      </c>
      <c r="K46" s="20" t="s">
        <v>27</v>
      </c>
      <c r="L46" s="17" t="s">
        <v>272</v>
      </c>
      <c r="M46" s="17" t="s">
        <v>93</v>
      </c>
      <c r="N46" s="17" t="s">
        <v>94</v>
      </c>
      <c r="O46" s="17" t="s">
        <v>122</v>
      </c>
      <c r="P46" s="17" t="s">
        <v>273</v>
      </c>
    </row>
    <row r="47" spans="1:16" ht="48" customHeight="1" x14ac:dyDescent="0.3">
      <c r="A47" s="14">
        <v>3</v>
      </c>
      <c r="B47" s="14">
        <v>5</v>
      </c>
      <c r="C47" s="14" t="s">
        <v>262</v>
      </c>
      <c r="D47" s="14" t="s">
        <v>79</v>
      </c>
      <c r="E47" s="14" t="s">
        <v>199</v>
      </c>
      <c r="F47" s="14" t="s">
        <v>274</v>
      </c>
      <c r="G47" s="14">
        <v>25</v>
      </c>
      <c r="H47" s="18" t="s">
        <v>98</v>
      </c>
      <c r="I47" s="19" t="s">
        <v>275</v>
      </c>
      <c r="J47" s="17" t="s">
        <v>276</v>
      </c>
      <c r="K47" s="20" t="s">
        <v>27</v>
      </c>
      <c r="L47" s="17" t="s">
        <v>277</v>
      </c>
      <c r="M47" s="17" t="s">
        <v>93</v>
      </c>
      <c r="N47" s="17" t="s">
        <v>94</v>
      </c>
      <c r="O47" s="17" t="s">
        <v>278</v>
      </c>
      <c r="P47" s="17" t="s">
        <v>279</v>
      </c>
    </row>
    <row r="48" spans="1:16" ht="48" customHeight="1" x14ac:dyDescent="0.3">
      <c r="A48" s="14">
        <v>3</v>
      </c>
      <c r="B48" s="14">
        <v>5</v>
      </c>
      <c r="C48" s="14" t="s">
        <v>262</v>
      </c>
      <c r="D48" s="14" t="s">
        <v>79</v>
      </c>
      <c r="E48" s="14" t="s">
        <v>274</v>
      </c>
      <c r="F48" s="14" t="s">
        <v>280</v>
      </c>
      <c r="G48" s="14">
        <v>5</v>
      </c>
      <c r="H48" s="18" t="s">
        <v>98</v>
      </c>
      <c r="I48" s="19" t="s">
        <v>125</v>
      </c>
      <c r="J48" s="17" t="s">
        <v>281</v>
      </c>
      <c r="K48" s="14" t="s">
        <v>85</v>
      </c>
      <c r="L48" s="17" t="s">
        <v>85</v>
      </c>
      <c r="M48" s="17" t="s">
        <v>85</v>
      </c>
      <c r="N48" s="17" t="s">
        <v>85</v>
      </c>
      <c r="O48" s="17" t="s">
        <v>85</v>
      </c>
      <c r="P48" s="17" t="s">
        <v>85</v>
      </c>
    </row>
    <row r="49" spans="1:16" ht="48" customHeight="1" x14ac:dyDescent="0.3">
      <c r="A49" s="25">
        <v>3</v>
      </c>
      <c r="B49" s="25">
        <v>5</v>
      </c>
      <c r="C49" s="25" t="s">
        <v>262</v>
      </c>
      <c r="D49" s="25" t="s">
        <v>79</v>
      </c>
      <c r="E49" s="25" t="s">
        <v>280</v>
      </c>
      <c r="F49" s="25" t="s">
        <v>127</v>
      </c>
      <c r="G49" s="25">
        <v>45</v>
      </c>
      <c r="H49" s="26" t="s">
        <v>98</v>
      </c>
      <c r="I49" s="27" t="s">
        <v>282</v>
      </c>
      <c r="J49" s="26" t="s">
        <v>283</v>
      </c>
      <c r="K49" s="28" t="s">
        <v>27</v>
      </c>
      <c r="L49" s="26" t="s">
        <v>246</v>
      </c>
      <c r="M49" s="26" t="s">
        <v>131</v>
      </c>
      <c r="N49" s="26" t="s">
        <v>94</v>
      </c>
      <c r="O49" s="26" t="s">
        <v>218</v>
      </c>
      <c r="P49" s="26" t="s">
        <v>284</v>
      </c>
    </row>
    <row r="50" spans="1:16" ht="48" customHeight="1" x14ac:dyDescent="0.3">
      <c r="A50" s="14">
        <v>3</v>
      </c>
      <c r="B50" s="14">
        <v>5</v>
      </c>
      <c r="C50" s="14" t="s">
        <v>262</v>
      </c>
      <c r="D50" s="14" t="s">
        <v>79</v>
      </c>
      <c r="E50" s="14" t="s">
        <v>127</v>
      </c>
      <c r="F50" s="14" t="s">
        <v>134</v>
      </c>
      <c r="G50" s="14">
        <v>15</v>
      </c>
      <c r="H50" s="21" t="s">
        <v>135</v>
      </c>
      <c r="I50" s="22" t="s">
        <v>285</v>
      </c>
      <c r="J50" s="17" t="s">
        <v>286</v>
      </c>
      <c r="K50" s="20" t="s">
        <v>27</v>
      </c>
      <c r="L50" s="17" t="s">
        <v>287</v>
      </c>
      <c r="M50" s="17" t="s">
        <v>87</v>
      </c>
      <c r="N50" s="17" t="s">
        <v>8</v>
      </c>
      <c r="O50" s="17" t="s">
        <v>288</v>
      </c>
      <c r="P50" s="17" t="s">
        <v>289</v>
      </c>
    </row>
    <row r="51" spans="1:16" ht="24" customHeight="1" x14ac:dyDescent="0.3">
      <c r="A51" s="23" t="s">
        <v>140</v>
      </c>
      <c r="B51" s="23"/>
      <c r="C51" s="23"/>
      <c r="D51" s="23"/>
      <c r="E51" s="23"/>
      <c r="F51" s="23"/>
      <c r="G51" s="23">
        <f>SUM(G44:G50)</f>
        <v>135</v>
      </c>
      <c r="H51" s="23"/>
      <c r="I51" s="24" t="s">
        <v>290</v>
      </c>
      <c r="J51" s="24" t="s">
        <v>291</v>
      </c>
      <c r="K51" s="23"/>
      <c r="L51" s="23"/>
      <c r="M51" s="23"/>
      <c r="N51" s="23"/>
      <c r="O51" s="23"/>
      <c r="P51" s="23"/>
    </row>
    <row r="52" spans="1:16" ht="30" customHeight="1" x14ac:dyDescent="0.3">
      <c r="A52" s="5" t="s">
        <v>292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48" customHeight="1" x14ac:dyDescent="0.3">
      <c r="A53" s="14">
        <v>3</v>
      </c>
      <c r="B53" s="14">
        <v>6</v>
      </c>
      <c r="C53" s="14" t="s">
        <v>293</v>
      </c>
      <c r="D53" s="14" t="s">
        <v>145</v>
      </c>
      <c r="E53" s="14" t="s">
        <v>146</v>
      </c>
      <c r="F53" s="14" t="s">
        <v>147</v>
      </c>
      <c r="G53" s="14">
        <v>5</v>
      </c>
      <c r="H53" s="15" t="s">
        <v>82</v>
      </c>
      <c r="I53" s="16" t="s">
        <v>294</v>
      </c>
      <c r="J53" s="17" t="s">
        <v>295</v>
      </c>
      <c r="K53" s="14" t="s">
        <v>85</v>
      </c>
      <c r="L53" s="17" t="s">
        <v>263</v>
      </c>
      <c r="M53" s="17" t="s">
        <v>93</v>
      </c>
      <c r="N53" s="17" t="s">
        <v>94</v>
      </c>
      <c r="O53" s="17" t="s">
        <v>88</v>
      </c>
      <c r="P53" s="17" t="s">
        <v>151</v>
      </c>
    </row>
    <row r="54" spans="1:16" ht="48" customHeight="1" x14ac:dyDescent="0.3">
      <c r="A54" s="14">
        <v>3</v>
      </c>
      <c r="B54" s="14">
        <v>6</v>
      </c>
      <c r="C54" s="14" t="s">
        <v>293</v>
      </c>
      <c r="D54" s="14" t="s">
        <v>145</v>
      </c>
      <c r="E54" s="14" t="s">
        <v>147</v>
      </c>
      <c r="F54" s="14" t="s">
        <v>296</v>
      </c>
      <c r="G54" s="14">
        <v>15</v>
      </c>
      <c r="H54" s="18" t="s">
        <v>98</v>
      </c>
      <c r="I54" s="19" t="s">
        <v>297</v>
      </c>
      <c r="J54" s="17" t="s">
        <v>298</v>
      </c>
      <c r="K54" s="20" t="s">
        <v>29</v>
      </c>
      <c r="L54" s="17" t="s">
        <v>268</v>
      </c>
      <c r="M54" s="17" t="s">
        <v>87</v>
      </c>
      <c r="N54" s="17" t="s">
        <v>8</v>
      </c>
      <c r="O54" s="17" t="s">
        <v>103</v>
      </c>
      <c r="P54" s="17" t="s">
        <v>299</v>
      </c>
    </row>
    <row r="55" spans="1:16" ht="48" customHeight="1" x14ac:dyDescent="0.3">
      <c r="A55" s="14">
        <v>3</v>
      </c>
      <c r="B55" s="14">
        <v>6</v>
      </c>
      <c r="C55" s="14" t="s">
        <v>293</v>
      </c>
      <c r="D55" s="14" t="s">
        <v>145</v>
      </c>
      <c r="E55" s="14" t="s">
        <v>296</v>
      </c>
      <c r="F55" s="14" t="s">
        <v>300</v>
      </c>
      <c r="G55" s="14">
        <v>30</v>
      </c>
      <c r="H55" s="18" t="s">
        <v>98</v>
      </c>
      <c r="I55" s="19" t="s">
        <v>301</v>
      </c>
      <c r="J55" s="17" t="s">
        <v>302</v>
      </c>
      <c r="K55" s="20" t="s">
        <v>29</v>
      </c>
      <c r="L55" s="17" t="s">
        <v>303</v>
      </c>
      <c r="M55" s="17" t="s">
        <v>93</v>
      </c>
      <c r="N55" s="17" t="s">
        <v>94</v>
      </c>
      <c r="O55" s="17" t="s">
        <v>122</v>
      </c>
      <c r="P55" s="17" t="s">
        <v>304</v>
      </c>
    </row>
    <row r="56" spans="1:16" ht="48" customHeight="1" x14ac:dyDescent="0.3">
      <c r="A56" s="14">
        <v>3</v>
      </c>
      <c r="B56" s="14">
        <v>6</v>
      </c>
      <c r="C56" s="14" t="s">
        <v>293</v>
      </c>
      <c r="D56" s="14" t="s">
        <v>145</v>
      </c>
      <c r="E56" s="14" t="s">
        <v>300</v>
      </c>
      <c r="F56" s="14" t="s">
        <v>241</v>
      </c>
      <c r="G56" s="14">
        <v>10</v>
      </c>
      <c r="H56" s="18" t="s">
        <v>98</v>
      </c>
      <c r="I56" s="19" t="s">
        <v>305</v>
      </c>
      <c r="J56" s="17" t="s">
        <v>306</v>
      </c>
      <c r="K56" s="20" t="s">
        <v>29</v>
      </c>
      <c r="L56" s="17" t="s">
        <v>307</v>
      </c>
      <c r="M56" s="17" t="s">
        <v>87</v>
      </c>
      <c r="N56" s="17" t="s">
        <v>8</v>
      </c>
      <c r="O56" s="17" t="s">
        <v>88</v>
      </c>
      <c r="P56" s="17" t="s">
        <v>308</v>
      </c>
    </row>
    <row r="57" spans="1:16" ht="48" customHeight="1" x14ac:dyDescent="0.3">
      <c r="A57" s="14">
        <v>3</v>
      </c>
      <c r="B57" s="14">
        <v>6</v>
      </c>
      <c r="C57" s="14" t="s">
        <v>293</v>
      </c>
      <c r="D57" s="14" t="s">
        <v>145</v>
      </c>
      <c r="E57" s="14" t="s">
        <v>241</v>
      </c>
      <c r="F57" s="14" t="s">
        <v>173</v>
      </c>
      <c r="G57" s="14">
        <v>25</v>
      </c>
      <c r="H57" s="18" t="s">
        <v>98</v>
      </c>
      <c r="I57" s="19" t="s">
        <v>309</v>
      </c>
      <c r="J57" s="17" t="s">
        <v>310</v>
      </c>
      <c r="K57" s="20" t="s">
        <v>29</v>
      </c>
      <c r="L57" s="17" t="s">
        <v>210</v>
      </c>
      <c r="M57" s="17" t="s">
        <v>93</v>
      </c>
      <c r="N57" s="17" t="s">
        <v>94</v>
      </c>
      <c r="O57" s="17" t="s">
        <v>211</v>
      </c>
      <c r="P57" s="17" t="s">
        <v>311</v>
      </c>
    </row>
    <row r="58" spans="1:16" ht="48" customHeight="1" x14ac:dyDescent="0.3">
      <c r="A58" s="14">
        <v>3</v>
      </c>
      <c r="B58" s="14">
        <v>6</v>
      </c>
      <c r="C58" s="14" t="s">
        <v>293</v>
      </c>
      <c r="D58" s="14" t="s">
        <v>145</v>
      </c>
      <c r="E58" s="14" t="s">
        <v>173</v>
      </c>
      <c r="F58" s="14" t="s">
        <v>312</v>
      </c>
      <c r="G58" s="14">
        <v>5</v>
      </c>
      <c r="H58" s="18" t="s">
        <v>98</v>
      </c>
      <c r="I58" s="19" t="s">
        <v>125</v>
      </c>
      <c r="J58" s="17" t="s">
        <v>313</v>
      </c>
      <c r="K58" s="14" t="s">
        <v>85</v>
      </c>
      <c r="L58" s="17" t="s">
        <v>85</v>
      </c>
      <c r="M58" s="17" t="s">
        <v>85</v>
      </c>
      <c r="N58" s="17" t="s">
        <v>85</v>
      </c>
      <c r="O58" s="17" t="s">
        <v>85</v>
      </c>
      <c r="P58" s="17" t="s">
        <v>85</v>
      </c>
    </row>
    <row r="59" spans="1:16" ht="48" customHeight="1" x14ac:dyDescent="0.3">
      <c r="A59" s="25">
        <v>3</v>
      </c>
      <c r="B59" s="25">
        <v>6</v>
      </c>
      <c r="C59" s="25" t="s">
        <v>293</v>
      </c>
      <c r="D59" s="25" t="s">
        <v>145</v>
      </c>
      <c r="E59" s="25" t="s">
        <v>312</v>
      </c>
      <c r="F59" s="25" t="s">
        <v>175</v>
      </c>
      <c r="G59" s="25">
        <v>35</v>
      </c>
      <c r="H59" s="26" t="s">
        <v>98</v>
      </c>
      <c r="I59" s="27" t="s">
        <v>314</v>
      </c>
      <c r="J59" s="26" t="s">
        <v>315</v>
      </c>
      <c r="K59" s="28" t="s">
        <v>27</v>
      </c>
      <c r="L59" s="26" t="s">
        <v>217</v>
      </c>
      <c r="M59" s="26" t="s">
        <v>131</v>
      </c>
      <c r="N59" s="26" t="s">
        <v>94</v>
      </c>
      <c r="O59" s="26" t="s">
        <v>218</v>
      </c>
      <c r="P59" s="26" t="s">
        <v>316</v>
      </c>
    </row>
    <row r="60" spans="1:16" ht="48" customHeight="1" x14ac:dyDescent="0.3">
      <c r="A60" s="14">
        <v>3</v>
      </c>
      <c r="B60" s="14">
        <v>6</v>
      </c>
      <c r="C60" s="14" t="s">
        <v>293</v>
      </c>
      <c r="D60" s="14" t="s">
        <v>145</v>
      </c>
      <c r="E60" s="14" t="s">
        <v>175</v>
      </c>
      <c r="F60" s="14" t="s">
        <v>181</v>
      </c>
      <c r="G60" s="14">
        <v>10</v>
      </c>
      <c r="H60" s="21" t="s">
        <v>135</v>
      </c>
      <c r="I60" s="22" t="s">
        <v>317</v>
      </c>
      <c r="J60" s="17" t="s">
        <v>318</v>
      </c>
      <c r="K60" s="20" t="s">
        <v>29</v>
      </c>
      <c r="L60" s="17" t="s">
        <v>319</v>
      </c>
      <c r="M60" s="17" t="s">
        <v>87</v>
      </c>
      <c r="N60" s="17" t="s">
        <v>102</v>
      </c>
      <c r="O60" s="17" t="s">
        <v>88</v>
      </c>
      <c r="P60" s="17" t="s">
        <v>223</v>
      </c>
    </row>
    <row r="61" spans="1:16" ht="24" customHeight="1" x14ac:dyDescent="0.3">
      <c r="A61" s="23" t="s">
        <v>140</v>
      </c>
      <c r="B61" s="23"/>
      <c r="C61" s="23"/>
      <c r="D61" s="23"/>
      <c r="E61" s="23"/>
      <c r="F61" s="23"/>
      <c r="G61" s="23">
        <f>SUM(G53:G60)</f>
        <v>135</v>
      </c>
      <c r="H61" s="23"/>
      <c r="I61" s="24" t="s">
        <v>320</v>
      </c>
      <c r="J61" s="24" t="s">
        <v>321</v>
      </c>
      <c r="K61" s="23"/>
      <c r="L61" s="23"/>
      <c r="M61" s="23"/>
      <c r="N61" s="23"/>
      <c r="O61" s="23"/>
      <c r="P61" s="23"/>
    </row>
    <row r="62" spans="1:16" ht="30" customHeight="1" x14ac:dyDescent="0.3">
      <c r="A62" s="5" t="s">
        <v>322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48" customHeight="1" x14ac:dyDescent="0.3">
      <c r="A63" s="14">
        <v>4</v>
      </c>
      <c r="B63" s="14">
        <v>7</v>
      </c>
      <c r="C63" s="14" t="s">
        <v>323</v>
      </c>
      <c r="D63" s="14" t="s">
        <v>79</v>
      </c>
      <c r="E63" s="14" t="s">
        <v>80</v>
      </c>
      <c r="F63" s="14" t="s">
        <v>81</v>
      </c>
      <c r="G63" s="14">
        <v>5</v>
      </c>
      <c r="H63" s="15" t="s">
        <v>82</v>
      </c>
      <c r="I63" s="16" t="s">
        <v>324</v>
      </c>
      <c r="J63" s="17" t="s">
        <v>325</v>
      </c>
      <c r="K63" s="20" t="s">
        <v>29</v>
      </c>
      <c r="L63" s="17" t="s">
        <v>86</v>
      </c>
      <c r="M63" s="17" t="s">
        <v>87</v>
      </c>
      <c r="N63" s="17" t="s">
        <v>8</v>
      </c>
      <c r="O63" s="17" t="s">
        <v>88</v>
      </c>
      <c r="P63" s="17" t="s">
        <v>326</v>
      </c>
    </row>
    <row r="64" spans="1:16" ht="48" customHeight="1" x14ac:dyDescent="0.3">
      <c r="A64" s="14">
        <v>4</v>
      </c>
      <c r="B64" s="14">
        <v>7</v>
      </c>
      <c r="C64" s="14" t="s">
        <v>323</v>
      </c>
      <c r="D64" s="14" t="s">
        <v>79</v>
      </c>
      <c r="E64" s="14" t="s">
        <v>81</v>
      </c>
      <c r="F64" s="14" t="s">
        <v>89</v>
      </c>
      <c r="G64" s="14">
        <v>10</v>
      </c>
      <c r="H64" s="18" t="s">
        <v>98</v>
      </c>
      <c r="I64" s="19" t="s">
        <v>327</v>
      </c>
      <c r="J64" s="17" t="s">
        <v>328</v>
      </c>
      <c r="K64" s="20" t="s">
        <v>37</v>
      </c>
      <c r="L64" s="17" t="s">
        <v>329</v>
      </c>
      <c r="M64" s="17" t="s">
        <v>87</v>
      </c>
      <c r="N64" s="17" t="s">
        <v>8</v>
      </c>
      <c r="O64" s="17" t="s">
        <v>103</v>
      </c>
      <c r="P64" s="17" t="s">
        <v>330</v>
      </c>
    </row>
    <row r="65" spans="1:16" ht="48" customHeight="1" x14ac:dyDescent="0.3">
      <c r="A65" s="14">
        <v>4</v>
      </c>
      <c r="B65" s="14">
        <v>7</v>
      </c>
      <c r="C65" s="14" t="s">
        <v>323</v>
      </c>
      <c r="D65" s="14" t="s">
        <v>79</v>
      </c>
      <c r="E65" s="14" t="s">
        <v>89</v>
      </c>
      <c r="F65" s="14" t="s">
        <v>331</v>
      </c>
      <c r="G65" s="14">
        <v>25</v>
      </c>
      <c r="H65" s="18" t="s">
        <v>98</v>
      </c>
      <c r="I65" s="19" t="s">
        <v>332</v>
      </c>
      <c r="J65" s="17" t="s">
        <v>333</v>
      </c>
      <c r="K65" s="20" t="s">
        <v>37</v>
      </c>
      <c r="L65" s="17" t="s">
        <v>334</v>
      </c>
      <c r="M65" s="17" t="s">
        <v>93</v>
      </c>
      <c r="N65" s="17" t="s">
        <v>94</v>
      </c>
      <c r="O65" s="17" t="s">
        <v>122</v>
      </c>
      <c r="P65" s="17" t="s">
        <v>335</v>
      </c>
    </row>
    <row r="66" spans="1:16" ht="48" customHeight="1" x14ac:dyDescent="0.3">
      <c r="A66" s="29">
        <v>4</v>
      </c>
      <c r="B66" s="29">
        <v>7</v>
      </c>
      <c r="C66" s="29" t="s">
        <v>323</v>
      </c>
      <c r="D66" s="29" t="s">
        <v>79</v>
      </c>
      <c r="E66" s="29" t="s">
        <v>331</v>
      </c>
      <c r="F66" s="29" t="s">
        <v>105</v>
      </c>
      <c r="G66" s="29">
        <v>15</v>
      </c>
      <c r="H66" s="30" t="s">
        <v>336</v>
      </c>
      <c r="I66" s="31" t="s">
        <v>337</v>
      </c>
      <c r="J66" s="30" t="s">
        <v>338</v>
      </c>
      <c r="K66" s="32" t="s">
        <v>31</v>
      </c>
      <c r="L66" s="30" t="s">
        <v>339</v>
      </c>
      <c r="M66" s="30" t="s">
        <v>87</v>
      </c>
      <c r="N66" s="30" t="s">
        <v>8</v>
      </c>
      <c r="O66" s="30" t="s">
        <v>340</v>
      </c>
      <c r="P66" s="30" t="s">
        <v>341</v>
      </c>
    </row>
    <row r="67" spans="1:16" ht="48" customHeight="1" x14ac:dyDescent="0.3">
      <c r="A67" s="14">
        <v>4</v>
      </c>
      <c r="B67" s="14">
        <v>7</v>
      </c>
      <c r="C67" s="14" t="s">
        <v>323</v>
      </c>
      <c r="D67" s="14" t="s">
        <v>79</v>
      </c>
      <c r="E67" s="14" t="s">
        <v>105</v>
      </c>
      <c r="F67" s="14" t="s">
        <v>207</v>
      </c>
      <c r="G67" s="14">
        <v>25</v>
      </c>
      <c r="H67" s="18" t="s">
        <v>98</v>
      </c>
      <c r="I67" s="19" t="s">
        <v>342</v>
      </c>
      <c r="J67" s="17" t="s">
        <v>343</v>
      </c>
      <c r="K67" s="20" t="s">
        <v>31</v>
      </c>
      <c r="L67" s="17" t="s">
        <v>344</v>
      </c>
      <c r="M67" s="17" t="s">
        <v>93</v>
      </c>
      <c r="N67" s="17" t="s">
        <v>94</v>
      </c>
      <c r="O67" s="17" t="s">
        <v>171</v>
      </c>
      <c r="P67" s="17" t="s">
        <v>345</v>
      </c>
    </row>
    <row r="68" spans="1:16" ht="48" customHeight="1" x14ac:dyDescent="0.3">
      <c r="A68" s="14">
        <v>4</v>
      </c>
      <c r="B68" s="14">
        <v>7</v>
      </c>
      <c r="C68" s="14" t="s">
        <v>323</v>
      </c>
      <c r="D68" s="14" t="s">
        <v>79</v>
      </c>
      <c r="E68" s="14" t="s">
        <v>207</v>
      </c>
      <c r="F68" s="14" t="s">
        <v>117</v>
      </c>
      <c r="G68" s="14">
        <v>5</v>
      </c>
      <c r="H68" s="18" t="s">
        <v>98</v>
      </c>
      <c r="I68" s="19" t="s">
        <v>125</v>
      </c>
      <c r="J68" s="17" t="s">
        <v>346</v>
      </c>
      <c r="K68" s="14" t="s">
        <v>85</v>
      </c>
      <c r="L68" s="17" t="s">
        <v>85</v>
      </c>
      <c r="M68" s="17" t="s">
        <v>85</v>
      </c>
      <c r="N68" s="17" t="s">
        <v>85</v>
      </c>
      <c r="O68" s="17" t="s">
        <v>85</v>
      </c>
      <c r="P68" s="17" t="s">
        <v>85</v>
      </c>
    </row>
    <row r="69" spans="1:16" ht="48" customHeight="1" x14ac:dyDescent="0.3">
      <c r="A69" s="25">
        <v>4</v>
      </c>
      <c r="B69" s="25">
        <v>7</v>
      </c>
      <c r="C69" s="25" t="s">
        <v>323</v>
      </c>
      <c r="D69" s="25" t="s">
        <v>79</v>
      </c>
      <c r="E69" s="25" t="s">
        <v>117</v>
      </c>
      <c r="F69" s="25" t="s">
        <v>214</v>
      </c>
      <c r="G69" s="25">
        <v>40</v>
      </c>
      <c r="H69" s="26" t="s">
        <v>98</v>
      </c>
      <c r="I69" s="27" t="s">
        <v>347</v>
      </c>
      <c r="J69" s="26" t="s">
        <v>348</v>
      </c>
      <c r="K69" s="28" t="s">
        <v>349</v>
      </c>
      <c r="L69" s="26" t="s">
        <v>246</v>
      </c>
      <c r="M69" s="26" t="s">
        <v>131</v>
      </c>
      <c r="N69" s="26" t="s">
        <v>94</v>
      </c>
      <c r="O69" s="26" t="s">
        <v>218</v>
      </c>
      <c r="P69" s="26" t="s">
        <v>350</v>
      </c>
    </row>
    <row r="70" spans="1:16" ht="48" customHeight="1" x14ac:dyDescent="0.3">
      <c r="A70" s="14">
        <v>4</v>
      </c>
      <c r="B70" s="14">
        <v>7</v>
      </c>
      <c r="C70" s="14" t="s">
        <v>323</v>
      </c>
      <c r="D70" s="14" t="s">
        <v>79</v>
      </c>
      <c r="E70" s="14" t="s">
        <v>214</v>
      </c>
      <c r="F70" s="14" t="s">
        <v>134</v>
      </c>
      <c r="G70" s="14">
        <v>10</v>
      </c>
      <c r="H70" s="21" t="s">
        <v>135</v>
      </c>
      <c r="I70" s="22" t="s">
        <v>351</v>
      </c>
      <c r="J70" s="17" t="s">
        <v>352</v>
      </c>
      <c r="K70" s="20" t="s">
        <v>31</v>
      </c>
      <c r="L70" s="17" t="s">
        <v>353</v>
      </c>
      <c r="M70" s="17" t="s">
        <v>87</v>
      </c>
      <c r="N70" s="17" t="s">
        <v>102</v>
      </c>
      <c r="O70" s="17" t="s">
        <v>185</v>
      </c>
      <c r="P70" s="17" t="s">
        <v>354</v>
      </c>
    </row>
    <row r="71" spans="1:16" ht="24" customHeight="1" x14ac:dyDescent="0.3">
      <c r="A71" s="23" t="s">
        <v>140</v>
      </c>
      <c r="B71" s="23"/>
      <c r="C71" s="23"/>
      <c r="D71" s="23"/>
      <c r="E71" s="23"/>
      <c r="F71" s="23"/>
      <c r="G71" s="23">
        <f>SUM(G63:G70)</f>
        <v>135</v>
      </c>
      <c r="H71" s="23"/>
      <c r="I71" s="24" t="s">
        <v>355</v>
      </c>
      <c r="J71" s="24" t="s">
        <v>356</v>
      </c>
      <c r="K71" s="23"/>
      <c r="L71" s="23"/>
      <c r="M71" s="23"/>
      <c r="N71" s="23"/>
      <c r="O71" s="23"/>
      <c r="P71" s="23"/>
    </row>
    <row r="72" spans="1:16" ht="30" customHeight="1" x14ac:dyDescent="0.3">
      <c r="A72" s="5" t="s">
        <v>357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48" customHeight="1" x14ac:dyDescent="0.3">
      <c r="A73" s="14">
        <v>4</v>
      </c>
      <c r="B73" s="14">
        <v>8</v>
      </c>
      <c r="C73" s="14" t="s">
        <v>358</v>
      </c>
      <c r="D73" s="14" t="s">
        <v>145</v>
      </c>
      <c r="E73" s="14" t="s">
        <v>146</v>
      </c>
      <c r="F73" s="14" t="s">
        <v>147</v>
      </c>
      <c r="G73" s="14">
        <v>5</v>
      </c>
      <c r="H73" s="15" t="s">
        <v>82</v>
      </c>
      <c r="I73" s="16" t="s">
        <v>148</v>
      </c>
      <c r="J73" s="17" t="s">
        <v>359</v>
      </c>
      <c r="K73" s="14" t="s">
        <v>85</v>
      </c>
      <c r="L73" s="17" t="s">
        <v>230</v>
      </c>
      <c r="M73" s="17" t="s">
        <v>93</v>
      </c>
      <c r="N73" s="17" t="s">
        <v>94</v>
      </c>
      <c r="O73" s="17" t="s">
        <v>88</v>
      </c>
      <c r="P73" s="17" t="s">
        <v>151</v>
      </c>
    </row>
    <row r="74" spans="1:16" ht="48" customHeight="1" x14ac:dyDescent="0.3">
      <c r="A74" s="14">
        <v>4</v>
      </c>
      <c r="B74" s="14">
        <v>8</v>
      </c>
      <c r="C74" s="14" t="s">
        <v>358</v>
      </c>
      <c r="D74" s="14" t="s">
        <v>145</v>
      </c>
      <c r="E74" s="14" t="s">
        <v>147</v>
      </c>
      <c r="F74" s="14" t="s">
        <v>152</v>
      </c>
      <c r="G74" s="14">
        <v>10</v>
      </c>
      <c r="H74" s="18" t="s">
        <v>98</v>
      </c>
      <c r="I74" s="19" t="s">
        <v>360</v>
      </c>
      <c r="J74" s="17" t="s">
        <v>361</v>
      </c>
      <c r="K74" s="20" t="s">
        <v>27</v>
      </c>
      <c r="L74" s="17" t="s">
        <v>362</v>
      </c>
      <c r="M74" s="17" t="s">
        <v>87</v>
      </c>
      <c r="N74" s="17" t="s">
        <v>8</v>
      </c>
      <c r="O74" s="17" t="s">
        <v>88</v>
      </c>
      <c r="P74" s="17" t="s">
        <v>363</v>
      </c>
    </row>
    <row r="75" spans="1:16" ht="48" customHeight="1" x14ac:dyDescent="0.3">
      <c r="A75" s="14">
        <v>4</v>
      </c>
      <c r="B75" s="14">
        <v>8</v>
      </c>
      <c r="C75" s="14" t="s">
        <v>358</v>
      </c>
      <c r="D75" s="14" t="s">
        <v>145</v>
      </c>
      <c r="E75" s="14" t="s">
        <v>152</v>
      </c>
      <c r="F75" s="14" t="s">
        <v>157</v>
      </c>
      <c r="G75" s="14">
        <v>30</v>
      </c>
      <c r="H75" s="18" t="s">
        <v>98</v>
      </c>
      <c r="I75" s="19" t="s">
        <v>364</v>
      </c>
      <c r="J75" s="17" t="s">
        <v>365</v>
      </c>
      <c r="K75" s="20" t="s">
        <v>27</v>
      </c>
      <c r="L75" s="17" t="s">
        <v>366</v>
      </c>
      <c r="M75" s="17" t="s">
        <v>93</v>
      </c>
      <c r="N75" s="17" t="s">
        <v>94</v>
      </c>
      <c r="O75" s="17" t="s">
        <v>122</v>
      </c>
      <c r="P75" s="17" t="s">
        <v>367</v>
      </c>
    </row>
    <row r="76" spans="1:16" ht="48" customHeight="1" x14ac:dyDescent="0.3">
      <c r="A76" s="14">
        <v>4</v>
      </c>
      <c r="B76" s="14">
        <v>8</v>
      </c>
      <c r="C76" s="14" t="s">
        <v>358</v>
      </c>
      <c r="D76" s="14" t="s">
        <v>145</v>
      </c>
      <c r="E76" s="14" t="s">
        <v>157</v>
      </c>
      <c r="F76" s="14" t="s">
        <v>162</v>
      </c>
      <c r="G76" s="14">
        <v>10</v>
      </c>
      <c r="H76" s="18" t="s">
        <v>98</v>
      </c>
      <c r="I76" s="19" t="s">
        <v>368</v>
      </c>
      <c r="J76" s="17" t="s">
        <v>369</v>
      </c>
      <c r="K76" s="20" t="s">
        <v>27</v>
      </c>
      <c r="L76" s="17" t="s">
        <v>370</v>
      </c>
      <c r="M76" s="17" t="s">
        <v>87</v>
      </c>
      <c r="N76" s="17" t="s">
        <v>102</v>
      </c>
      <c r="O76" s="17" t="s">
        <v>185</v>
      </c>
      <c r="P76" s="17" t="s">
        <v>371</v>
      </c>
    </row>
    <row r="77" spans="1:16" ht="48" customHeight="1" x14ac:dyDescent="0.3">
      <c r="A77" s="14">
        <v>4</v>
      </c>
      <c r="B77" s="14">
        <v>8</v>
      </c>
      <c r="C77" s="14" t="s">
        <v>358</v>
      </c>
      <c r="D77" s="14" t="s">
        <v>145</v>
      </c>
      <c r="E77" s="14" t="s">
        <v>162</v>
      </c>
      <c r="F77" s="14" t="s">
        <v>167</v>
      </c>
      <c r="G77" s="14">
        <v>25</v>
      </c>
      <c r="H77" s="18" t="s">
        <v>98</v>
      </c>
      <c r="I77" s="19" t="s">
        <v>372</v>
      </c>
      <c r="J77" s="17" t="s">
        <v>373</v>
      </c>
      <c r="K77" s="20" t="s">
        <v>27</v>
      </c>
      <c r="L77" s="17" t="s">
        <v>374</v>
      </c>
      <c r="M77" s="17" t="s">
        <v>121</v>
      </c>
      <c r="N77" s="17" t="s">
        <v>94</v>
      </c>
      <c r="O77" s="17" t="s">
        <v>171</v>
      </c>
      <c r="P77" s="17" t="s">
        <v>375</v>
      </c>
    </row>
    <row r="78" spans="1:16" ht="48" customHeight="1" x14ac:dyDescent="0.3">
      <c r="A78" s="14">
        <v>4</v>
      </c>
      <c r="B78" s="14">
        <v>8</v>
      </c>
      <c r="C78" s="14" t="s">
        <v>358</v>
      </c>
      <c r="D78" s="14" t="s">
        <v>145</v>
      </c>
      <c r="E78" s="14" t="s">
        <v>167</v>
      </c>
      <c r="F78" s="14" t="s">
        <v>173</v>
      </c>
      <c r="G78" s="14">
        <v>5</v>
      </c>
      <c r="H78" s="18" t="s">
        <v>98</v>
      </c>
      <c r="I78" s="19" t="s">
        <v>125</v>
      </c>
      <c r="J78" s="17" t="s">
        <v>376</v>
      </c>
      <c r="K78" s="14" t="s">
        <v>85</v>
      </c>
      <c r="L78" s="17" t="s">
        <v>85</v>
      </c>
      <c r="M78" s="17" t="s">
        <v>85</v>
      </c>
      <c r="N78" s="17" t="s">
        <v>85</v>
      </c>
      <c r="O78" s="17" t="s">
        <v>85</v>
      </c>
      <c r="P78" s="17" t="s">
        <v>85</v>
      </c>
    </row>
    <row r="79" spans="1:16" ht="48" customHeight="1" x14ac:dyDescent="0.3">
      <c r="A79" s="25">
        <v>4</v>
      </c>
      <c r="B79" s="25">
        <v>8</v>
      </c>
      <c r="C79" s="25" t="s">
        <v>358</v>
      </c>
      <c r="D79" s="25" t="s">
        <v>145</v>
      </c>
      <c r="E79" s="25" t="s">
        <v>173</v>
      </c>
      <c r="F79" s="25" t="s">
        <v>175</v>
      </c>
      <c r="G79" s="25">
        <v>40</v>
      </c>
      <c r="H79" s="26" t="s">
        <v>98</v>
      </c>
      <c r="I79" s="27" t="s">
        <v>377</v>
      </c>
      <c r="J79" s="26" t="s">
        <v>378</v>
      </c>
      <c r="K79" s="28" t="s">
        <v>379</v>
      </c>
      <c r="L79" s="26" t="s">
        <v>217</v>
      </c>
      <c r="M79" s="26" t="s">
        <v>131</v>
      </c>
      <c r="N79" s="26" t="s">
        <v>94</v>
      </c>
      <c r="O79" s="26" t="s">
        <v>218</v>
      </c>
      <c r="P79" s="26" t="s">
        <v>380</v>
      </c>
    </row>
    <row r="80" spans="1:16" ht="48" customHeight="1" x14ac:dyDescent="0.3">
      <c r="A80" s="14">
        <v>4</v>
      </c>
      <c r="B80" s="14">
        <v>8</v>
      </c>
      <c r="C80" s="14" t="s">
        <v>358</v>
      </c>
      <c r="D80" s="14" t="s">
        <v>145</v>
      </c>
      <c r="E80" s="14" t="s">
        <v>175</v>
      </c>
      <c r="F80" s="14" t="s">
        <v>181</v>
      </c>
      <c r="G80" s="14">
        <v>10</v>
      </c>
      <c r="H80" s="21" t="s">
        <v>135</v>
      </c>
      <c r="I80" s="22" t="s">
        <v>381</v>
      </c>
      <c r="J80" s="17" t="s">
        <v>382</v>
      </c>
      <c r="K80" s="20" t="s">
        <v>27</v>
      </c>
      <c r="L80" s="17" t="s">
        <v>381</v>
      </c>
      <c r="M80" s="17" t="s">
        <v>87</v>
      </c>
      <c r="N80" s="17" t="s">
        <v>8</v>
      </c>
      <c r="O80" s="17" t="s">
        <v>288</v>
      </c>
      <c r="P80" s="17" t="s">
        <v>139</v>
      </c>
    </row>
    <row r="81" spans="1:16" ht="24" customHeight="1" x14ac:dyDescent="0.3">
      <c r="A81" s="23" t="s">
        <v>140</v>
      </c>
      <c r="B81" s="23"/>
      <c r="C81" s="23"/>
      <c r="D81" s="23"/>
      <c r="E81" s="23"/>
      <c r="F81" s="23"/>
      <c r="G81" s="23">
        <f>SUM(G73:G80)</f>
        <v>135</v>
      </c>
      <c r="H81" s="23"/>
      <c r="I81" s="24" t="s">
        <v>383</v>
      </c>
      <c r="J81" s="24" t="s">
        <v>384</v>
      </c>
      <c r="K81" s="23"/>
      <c r="L81" s="23"/>
      <c r="M81" s="23"/>
      <c r="N81" s="23"/>
      <c r="O81" s="23"/>
      <c r="P81" s="23"/>
    </row>
    <row r="82" spans="1:16" ht="30" customHeight="1" x14ac:dyDescent="0.3">
      <c r="A82" s="5" t="s">
        <v>385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48" customHeight="1" x14ac:dyDescent="0.3">
      <c r="A83" s="14">
        <v>5</v>
      </c>
      <c r="B83" s="14">
        <v>9</v>
      </c>
      <c r="C83" s="14" t="s">
        <v>386</v>
      </c>
      <c r="D83" s="14" t="s">
        <v>79</v>
      </c>
      <c r="E83" s="14" t="s">
        <v>80</v>
      </c>
      <c r="F83" s="14" t="s">
        <v>81</v>
      </c>
      <c r="G83" s="14">
        <v>5</v>
      </c>
      <c r="H83" s="15" t="s">
        <v>82</v>
      </c>
      <c r="I83" s="16" t="s">
        <v>387</v>
      </c>
      <c r="J83" s="17" t="s">
        <v>388</v>
      </c>
      <c r="K83" s="14" t="s">
        <v>85</v>
      </c>
      <c r="L83" s="17" t="s">
        <v>387</v>
      </c>
      <c r="M83" s="17" t="s">
        <v>87</v>
      </c>
      <c r="N83" s="17" t="s">
        <v>94</v>
      </c>
      <c r="O83" s="17" t="s">
        <v>88</v>
      </c>
      <c r="P83" s="17" t="s">
        <v>265</v>
      </c>
    </row>
    <row r="84" spans="1:16" ht="48" customHeight="1" x14ac:dyDescent="0.3">
      <c r="A84" s="14">
        <v>5</v>
      </c>
      <c r="B84" s="14">
        <v>9</v>
      </c>
      <c r="C84" s="14" t="s">
        <v>386</v>
      </c>
      <c r="D84" s="14" t="s">
        <v>79</v>
      </c>
      <c r="E84" s="14" t="s">
        <v>81</v>
      </c>
      <c r="F84" s="14" t="s">
        <v>89</v>
      </c>
      <c r="G84" s="14">
        <v>10</v>
      </c>
      <c r="H84" s="18" t="s">
        <v>98</v>
      </c>
      <c r="I84" s="19" t="s">
        <v>389</v>
      </c>
      <c r="J84" s="17" t="s">
        <v>390</v>
      </c>
      <c r="K84" s="20" t="s">
        <v>29</v>
      </c>
      <c r="L84" s="17" t="s">
        <v>391</v>
      </c>
      <c r="M84" s="17" t="s">
        <v>87</v>
      </c>
      <c r="N84" s="17" t="s">
        <v>8</v>
      </c>
      <c r="O84" s="17" t="s">
        <v>88</v>
      </c>
      <c r="P84" s="17" t="s">
        <v>392</v>
      </c>
    </row>
    <row r="85" spans="1:16" ht="48" customHeight="1" x14ac:dyDescent="0.3">
      <c r="A85" s="14">
        <v>5</v>
      </c>
      <c r="B85" s="14">
        <v>9</v>
      </c>
      <c r="C85" s="14" t="s">
        <v>386</v>
      </c>
      <c r="D85" s="14" t="s">
        <v>79</v>
      </c>
      <c r="E85" s="14" t="s">
        <v>89</v>
      </c>
      <c r="F85" s="14" t="s">
        <v>393</v>
      </c>
      <c r="G85" s="14">
        <v>35</v>
      </c>
      <c r="H85" s="18" t="s">
        <v>98</v>
      </c>
      <c r="I85" s="19" t="s">
        <v>394</v>
      </c>
      <c r="J85" s="17" t="s">
        <v>395</v>
      </c>
      <c r="K85" s="20" t="s">
        <v>29</v>
      </c>
      <c r="L85" s="17" t="s">
        <v>396</v>
      </c>
      <c r="M85" s="17" t="s">
        <v>131</v>
      </c>
      <c r="N85" s="17" t="s">
        <v>94</v>
      </c>
      <c r="O85" s="17" t="s">
        <v>122</v>
      </c>
      <c r="P85" s="17" t="s">
        <v>397</v>
      </c>
    </row>
    <row r="86" spans="1:16" ht="48" customHeight="1" x14ac:dyDescent="0.3">
      <c r="A86" s="14">
        <v>5</v>
      </c>
      <c r="B86" s="14">
        <v>9</v>
      </c>
      <c r="C86" s="14" t="s">
        <v>386</v>
      </c>
      <c r="D86" s="14" t="s">
        <v>79</v>
      </c>
      <c r="E86" s="14" t="s">
        <v>393</v>
      </c>
      <c r="F86" s="14" t="s">
        <v>398</v>
      </c>
      <c r="G86" s="14">
        <v>10</v>
      </c>
      <c r="H86" s="18" t="s">
        <v>98</v>
      </c>
      <c r="I86" s="19" t="s">
        <v>399</v>
      </c>
      <c r="J86" s="17" t="s">
        <v>400</v>
      </c>
      <c r="K86" s="20" t="s">
        <v>29</v>
      </c>
      <c r="L86" s="17" t="s">
        <v>401</v>
      </c>
      <c r="M86" s="17" t="s">
        <v>87</v>
      </c>
      <c r="N86" s="17" t="s">
        <v>102</v>
      </c>
      <c r="O86" s="17" t="s">
        <v>185</v>
      </c>
      <c r="P86" s="17" t="s">
        <v>402</v>
      </c>
    </row>
    <row r="87" spans="1:16" ht="48" customHeight="1" x14ac:dyDescent="0.3">
      <c r="A87" s="14">
        <v>5</v>
      </c>
      <c r="B87" s="14">
        <v>9</v>
      </c>
      <c r="C87" s="14" t="s">
        <v>386</v>
      </c>
      <c r="D87" s="14" t="s">
        <v>79</v>
      </c>
      <c r="E87" s="14" t="s">
        <v>398</v>
      </c>
      <c r="F87" s="14" t="s">
        <v>112</v>
      </c>
      <c r="G87" s="14">
        <v>5</v>
      </c>
      <c r="H87" s="18" t="s">
        <v>98</v>
      </c>
      <c r="I87" s="19" t="s">
        <v>125</v>
      </c>
      <c r="J87" s="17" t="s">
        <v>403</v>
      </c>
      <c r="K87" s="14" t="s">
        <v>85</v>
      </c>
      <c r="L87" s="17" t="s">
        <v>85</v>
      </c>
      <c r="M87" s="17" t="s">
        <v>85</v>
      </c>
      <c r="N87" s="17" t="s">
        <v>85</v>
      </c>
      <c r="O87" s="17" t="s">
        <v>85</v>
      </c>
      <c r="P87" s="17" t="s">
        <v>85</v>
      </c>
    </row>
    <row r="88" spans="1:16" ht="48" customHeight="1" x14ac:dyDescent="0.3">
      <c r="A88" s="25">
        <v>5</v>
      </c>
      <c r="B88" s="25">
        <v>9</v>
      </c>
      <c r="C88" s="25" t="s">
        <v>386</v>
      </c>
      <c r="D88" s="25" t="s">
        <v>79</v>
      </c>
      <c r="E88" s="25" t="s">
        <v>112</v>
      </c>
      <c r="F88" s="25" t="s">
        <v>404</v>
      </c>
      <c r="G88" s="25">
        <v>50</v>
      </c>
      <c r="H88" s="26" t="s">
        <v>98</v>
      </c>
      <c r="I88" s="27" t="s">
        <v>405</v>
      </c>
      <c r="J88" s="26" t="s">
        <v>406</v>
      </c>
      <c r="K88" s="28" t="s">
        <v>379</v>
      </c>
      <c r="L88" s="26" t="s">
        <v>246</v>
      </c>
      <c r="M88" s="26" t="s">
        <v>131</v>
      </c>
      <c r="N88" s="26" t="s">
        <v>94</v>
      </c>
      <c r="O88" s="26" t="s">
        <v>218</v>
      </c>
      <c r="P88" s="26" t="s">
        <v>407</v>
      </c>
    </row>
    <row r="89" spans="1:16" ht="48" customHeight="1" x14ac:dyDescent="0.3">
      <c r="A89" s="14">
        <v>5</v>
      </c>
      <c r="B89" s="14">
        <v>9</v>
      </c>
      <c r="C89" s="14" t="s">
        <v>386</v>
      </c>
      <c r="D89" s="14" t="s">
        <v>79</v>
      </c>
      <c r="E89" s="14" t="s">
        <v>404</v>
      </c>
      <c r="F89" s="14" t="s">
        <v>134</v>
      </c>
      <c r="G89" s="14">
        <v>20</v>
      </c>
      <c r="H89" s="21" t="s">
        <v>135</v>
      </c>
      <c r="I89" s="22" t="s">
        <v>408</v>
      </c>
      <c r="J89" s="17" t="s">
        <v>409</v>
      </c>
      <c r="K89" s="20" t="s">
        <v>410</v>
      </c>
      <c r="L89" s="17" t="s">
        <v>411</v>
      </c>
      <c r="M89" s="17" t="s">
        <v>87</v>
      </c>
      <c r="N89" s="17" t="s">
        <v>102</v>
      </c>
      <c r="O89" s="17" t="s">
        <v>412</v>
      </c>
      <c r="P89" s="17" t="s">
        <v>413</v>
      </c>
    </row>
    <row r="90" spans="1:16" ht="24" customHeight="1" x14ac:dyDescent="0.3">
      <c r="A90" s="23" t="s">
        <v>140</v>
      </c>
      <c r="B90" s="23"/>
      <c r="C90" s="23"/>
      <c r="D90" s="23"/>
      <c r="E90" s="23"/>
      <c r="F90" s="23"/>
      <c r="G90" s="23">
        <f>SUM(G83:G89)</f>
        <v>135</v>
      </c>
      <c r="H90" s="23"/>
      <c r="I90" s="24" t="s">
        <v>414</v>
      </c>
      <c r="J90" s="24" t="s">
        <v>415</v>
      </c>
      <c r="K90" s="23"/>
      <c r="L90" s="23"/>
      <c r="M90" s="23"/>
      <c r="N90" s="23"/>
      <c r="O90" s="23"/>
      <c r="P90" s="23"/>
    </row>
    <row r="91" spans="1:16" ht="30" customHeight="1" x14ac:dyDescent="0.3">
      <c r="A91" s="5" t="s">
        <v>416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48" customHeight="1" x14ac:dyDescent="0.3">
      <c r="A92" s="14">
        <v>5</v>
      </c>
      <c r="B92" s="14">
        <v>10</v>
      </c>
      <c r="C92" s="14" t="s">
        <v>417</v>
      </c>
      <c r="D92" s="14" t="s">
        <v>145</v>
      </c>
      <c r="E92" s="14" t="s">
        <v>146</v>
      </c>
      <c r="F92" s="14" t="s">
        <v>147</v>
      </c>
      <c r="G92" s="14">
        <v>5</v>
      </c>
      <c r="H92" s="15" t="s">
        <v>82</v>
      </c>
      <c r="I92" s="16" t="s">
        <v>148</v>
      </c>
      <c r="J92" s="17" t="s">
        <v>418</v>
      </c>
      <c r="K92" s="14" t="s">
        <v>85</v>
      </c>
      <c r="L92" s="17" t="s">
        <v>150</v>
      </c>
      <c r="M92" s="17" t="s">
        <v>87</v>
      </c>
      <c r="N92" s="17" t="s">
        <v>94</v>
      </c>
      <c r="O92" s="17" t="s">
        <v>88</v>
      </c>
      <c r="P92" s="17" t="s">
        <v>419</v>
      </c>
    </row>
    <row r="93" spans="1:16" ht="48" customHeight="1" x14ac:dyDescent="0.3">
      <c r="A93" s="14">
        <v>5</v>
      </c>
      <c r="B93" s="14">
        <v>10</v>
      </c>
      <c r="C93" s="14" t="s">
        <v>417</v>
      </c>
      <c r="D93" s="14" t="s">
        <v>145</v>
      </c>
      <c r="E93" s="14" t="s">
        <v>147</v>
      </c>
      <c r="F93" s="14" t="s">
        <v>152</v>
      </c>
      <c r="G93" s="14">
        <v>10</v>
      </c>
      <c r="H93" s="18" t="s">
        <v>98</v>
      </c>
      <c r="I93" s="19" t="s">
        <v>420</v>
      </c>
      <c r="J93" s="17" t="s">
        <v>421</v>
      </c>
      <c r="K93" s="20" t="s">
        <v>27</v>
      </c>
      <c r="L93" s="17" t="s">
        <v>422</v>
      </c>
      <c r="M93" s="17" t="s">
        <v>87</v>
      </c>
      <c r="N93" s="17" t="s">
        <v>8</v>
      </c>
      <c r="O93" s="17" t="s">
        <v>88</v>
      </c>
      <c r="P93" s="17" t="s">
        <v>423</v>
      </c>
    </row>
    <row r="94" spans="1:16" ht="48" customHeight="1" x14ac:dyDescent="0.3">
      <c r="A94" s="14">
        <v>5</v>
      </c>
      <c r="B94" s="14">
        <v>10</v>
      </c>
      <c r="C94" s="14" t="s">
        <v>417</v>
      </c>
      <c r="D94" s="14" t="s">
        <v>145</v>
      </c>
      <c r="E94" s="14" t="s">
        <v>152</v>
      </c>
      <c r="F94" s="14" t="s">
        <v>157</v>
      </c>
      <c r="G94" s="14">
        <v>30</v>
      </c>
      <c r="H94" s="18" t="s">
        <v>98</v>
      </c>
      <c r="I94" s="19" t="s">
        <v>424</v>
      </c>
      <c r="J94" s="17" t="s">
        <v>425</v>
      </c>
      <c r="K94" s="20" t="s">
        <v>27</v>
      </c>
      <c r="L94" s="17" t="s">
        <v>303</v>
      </c>
      <c r="M94" s="17" t="s">
        <v>93</v>
      </c>
      <c r="N94" s="17" t="s">
        <v>94</v>
      </c>
      <c r="O94" s="17" t="s">
        <v>122</v>
      </c>
      <c r="P94" s="17" t="s">
        <v>426</v>
      </c>
    </row>
    <row r="95" spans="1:16" ht="48" customHeight="1" x14ac:dyDescent="0.3">
      <c r="A95" s="14">
        <v>5</v>
      </c>
      <c r="B95" s="14">
        <v>10</v>
      </c>
      <c r="C95" s="14" t="s">
        <v>417</v>
      </c>
      <c r="D95" s="14" t="s">
        <v>145</v>
      </c>
      <c r="E95" s="14" t="s">
        <v>157</v>
      </c>
      <c r="F95" s="14" t="s">
        <v>427</v>
      </c>
      <c r="G95" s="14">
        <v>25</v>
      </c>
      <c r="H95" s="18" t="s">
        <v>98</v>
      </c>
      <c r="I95" s="19" t="s">
        <v>428</v>
      </c>
      <c r="J95" s="17" t="s">
        <v>429</v>
      </c>
      <c r="K95" s="20" t="s">
        <v>27</v>
      </c>
      <c r="L95" s="17" t="s">
        <v>374</v>
      </c>
      <c r="M95" s="17" t="s">
        <v>121</v>
      </c>
      <c r="N95" s="17" t="s">
        <v>94</v>
      </c>
      <c r="O95" s="17" t="s">
        <v>171</v>
      </c>
      <c r="P95" s="17" t="s">
        <v>430</v>
      </c>
    </row>
    <row r="96" spans="1:16" ht="48" customHeight="1" x14ac:dyDescent="0.3">
      <c r="A96" s="14">
        <v>5</v>
      </c>
      <c r="B96" s="14">
        <v>10</v>
      </c>
      <c r="C96" s="14" t="s">
        <v>417</v>
      </c>
      <c r="D96" s="14" t="s">
        <v>145</v>
      </c>
      <c r="E96" s="14" t="s">
        <v>427</v>
      </c>
      <c r="F96" s="14" t="s">
        <v>167</v>
      </c>
      <c r="G96" s="14">
        <v>10</v>
      </c>
      <c r="H96" s="18" t="s">
        <v>98</v>
      </c>
      <c r="I96" s="19" t="s">
        <v>368</v>
      </c>
      <c r="J96" s="17" t="s">
        <v>431</v>
      </c>
      <c r="K96" s="20" t="s">
        <v>27</v>
      </c>
      <c r="L96" s="17" t="s">
        <v>432</v>
      </c>
      <c r="M96" s="17" t="s">
        <v>87</v>
      </c>
      <c r="N96" s="17" t="s">
        <v>102</v>
      </c>
      <c r="O96" s="17" t="s">
        <v>185</v>
      </c>
      <c r="P96" s="17" t="s">
        <v>433</v>
      </c>
    </row>
    <row r="97" spans="1:16" ht="48" customHeight="1" x14ac:dyDescent="0.3">
      <c r="A97" s="14">
        <v>5</v>
      </c>
      <c r="B97" s="14">
        <v>10</v>
      </c>
      <c r="C97" s="14" t="s">
        <v>417</v>
      </c>
      <c r="D97" s="14" t="s">
        <v>145</v>
      </c>
      <c r="E97" s="14" t="s">
        <v>167</v>
      </c>
      <c r="F97" s="14" t="s">
        <v>173</v>
      </c>
      <c r="G97" s="14">
        <v>5</v>
      </c>
      <c r="H97" s="18" t="s">
        <v>98</v>
      </c>
      <c r="I97" s="19" t="s">
        <v>125</v>
      </c>
      <c r="J97" s="17" t="s">
        <v>434</v>
      </c>
      <c r="K97" s="14" t="s">
        <v>85</v>
      </c>
      <c r="L97" s="17" t="s">
        <v>85</v>
      </c>
      <c r="M97" s="17" t="s">
        <v>85</v>
      </c>
      <c r="N97" s="17" t="s">
        <v>85</v>
      </c>
      <c r="O97" s="17" t="s">
        <v>85</v>
      </c>
      <c r="P97" s="17" t="s">
        <v>85</v>
      </c>
    </row>
    <row r="98" spans="1:16" ht="48" customHeight="1" x14ac:dyDescent="0.3">
      <c r="A98" s="25">
        <v>5</v>
      </c>
      <c r="B98" s="25">
        <v>10</v>
      </c>
      <c r="C98" s="25" t="s">
        <v>417</v>
      </c>
      <c r="D98" s="25" t="s">
        <v>145</v>
      </c>
      <c r="E98" s="25" t="s">
        <v>173</v>
      </c>
      <c r="F98" s="25" t="s">
        <v>175</v>
      </c>
      <c r="G98" s="25">
        <v>40</v>
      </c>
      <c r="H98" s="26" t="s">
        <v>98</v>
      </c>
      <c r="I98" s="27" t="s">
        <v>435</v>
      </c>
      <c r="J98" s="26" t="s">
        <v>436</v>
      </c>
      <c r="K98" s="28" t="s">
        <v>33</v>
      </c>
      <c r="L98" s="26" t="s">
        <v>217</v>
      </c>
      <c r="M98" s="26" t="s">
        <v>131</v>
      </c>
      <c r="N98" s="26" t="s">
        <v>94</v>
      </c>
      <c r="O98" s="26" t="s">
        <v>218</v>
      </c>
      <c r="P98" s="26" t="s">
        <v>437</v>
      </c>
    </row>
    <row r="99" spans="1:16" ht="48" customHeight="1" x14ac:dyDescent="0.3">
      <c r="A99" s="14">
        <v>5</v>
      </c>
      <c r="B99" s="14">
        <v>10</v>
      </c>
      <c r="C99" s="14" t="s">
        <v>417</v>
      </c>
      <c r="D99" s="14" t="s">
        <v>145</v>
      </c>
      <c r="E99" s="14" t="s">
        <v>175</v>
      </c>
      <c r="F99" s="14" t="s">
        <v>181</v>
      </c>
      <c r="G99" s="14">
        <v>10</v>
      </c>
      <c r="H99" s="21" t="s">
        <v>135</v>
      </c>
      <c r="I99" s="22" t="s">
        <v>438</v>
      </c>
      <c r="J99" s="17" t="s">
        <v>439</v>
      </c>
      <c r="K99" s="20" t="s">
        <v>33</v>
      </c>
      <c r="L99" s="17" t="s">
        <v>381</v>
      </c>
      <c r="M99" s="17" t="s">
        <v>87</v>
      </c>
      <c r="N99" s="17" t="s">
        <v>8</v>
      </c>
      <c r="O99" s="17" t="s">
        <v>288</v>
      </c>
      <c r="P99" s="17" t="s">
        <v>139</v>
      </c>
    </row>
    <row r="100" spans="1:16" ht="24" customHeight="1" x14ac:dyDescent="0.3">
      <c r="A100" s="23" t="s">
        <v>140</v>
      </c>
      <c r="B100" s="23"/>
      <c r="C100" s="23"/>
      <c r="D100" s="23"/>
      <c r="E100" s="23"/>
      <c r="F100" s="23"/>
      <c r="G100" s="23">
        <f>SUM(G92:G99)</f>
        <v>135</v>
      </c>
      <c r="H100" s="23"/>
      <c r="I100" s="24" t="s">
        <v>440</v>
      </c>
      <c r="J100" s="24" t="s">
        <v>441</v>
      </c>
      <c r="K100" s="23"/>
      <c r="L100" s="23"/>
      <c r="M100" s="23"/>
      <c r="N100" s="23"/>
      <c r="O100" s="23"/>
      <c r="P100" s="23"/>
    </row>
    <row r="101" spans="1:16" ht="30" customHeight="1" x14ac:dyDescent="0.3">
      <c r="A101" s="5" t="s">
        <v>442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48" customHeight="1" x14ac:dyDescent="0.3">
      <c r="A102" s="14">
        <v>6</v>
      </c>
      <c r="B102" s="14">
        <v>11</v>
      </c>
      <c r="C102" s="14" t="s">
        <v>443</v>
      </c>
      <c r="D102" s="14" t="s">
        <v>79</v>
      </c>
      <c r="E102" s="14" t="s">
        <v>80</v>
      </c>
      <c r="F102" s="14" t="s">
        <v>81</v>
      </c>
      <c r="G102" s="14">
        <v>5</v>
      </c>
      <c r="H102" s="15" t="s">
        <v>82</v>
      </c>
      <c r="I102" s="16" t="s">
        <v>191</v>
      </c>
      <c r="J102" s="17" t="s">
        <v>444</v>
      </c>
      <c r="K102" s="20" t="s">
        <v>33</v>
      </c>
      <c r="L102" s="17" t="s">
        <v>445</v>
      </c>
      <c r="M102" s="17" t="s">
        <v>87</v>
      </c>
      <c r="N102" s="17" t="s">
        <v>102</v>
      </c>
      <c r="O102" s="17" t="s">
        <v>185</v>
      </c>
      <c r="P102" s="17" t="s">
        <v>446</v>
      </c>
    </row>
    <row r="103" spans="1:16" ht="48" customHeight="1" x14ac:dyDescent="0.3">
      <c r="A103" s="14">
        <v>6</v>
      </c>
      <c r="B103" s="14">
        <v>11</v>
      </c>
      <c r="C103" s="14" t="s">
        <v>443</v>
      </c>
      <c r="D103" s="14" t="s">
        <v>79</v>
      </c>
      <c r="E103" s="14" t="s">
        <v>81</v>
      </c>
      <c r="F103" s="14" t="s">
        <v>89</v>
      </c>
      <c r="G103" s="14">
        <v>10</v>
      </c>
      <c r="H103" s="18" t="s">
        <v>98</v>
      </c>
      <c r="I103" s="19" t="s">
        <v>447</v>
      </c>
      <c r="J103" s="17" t="s">
        <v>448</v>
      </c>
      <c r="K103" s="20" t="s">
        <v>33</v>
      </c>
      <c r="L103" s="17" t="s">
        <v>449</v>
      </c>
      <c r="M103" s="17" t="s">
        <v>87</v>
      </c>
      <c r="N103" s="17" t="s">
        <v>8</v>
      </c>
      <c r="O103" s="17" t="s">
        <v>88</v>
      </c>
      <c r="P103" s="17" t="s">
        <v>450</v>
      </c>
    </row>
    <row r="104" spans="1:16" ht="48" customHeight="1" x14ac:dyDescent="0.3">
      <c r="A104" s="14">
        <v>6</v>
      </c>
      <c r="B104" s="14">
        <v>11</v>
      </c>
      <c r="C104" s="14" t="s">
        <v>443</v>
      </c>
      <c r="D104" s="14" t="s">
        <v>79</v>
      </c>
      <c r="E104" s="14" t="s">
        <v>89</v>
      </c>
      <c r="F104" s="14" t="s">
        <v>199</v>
      </c>
      <c r="G104" s="14">
        <v>30</v>
      </c>
      <c r="H104" s="18" t="s">
        <v>98</v>
      </c>
      <c r="I104" s="19" t="s">
        <v>451</v>
      </c>
      <c r="J104" s="17" t="s">
        <v>452</v>
      </c>
      <c r="K104" s="20" t="s">
        <v>33</v>
      </c>
      <c r="L104" s="17" t="s">
        <v>453</v>
      </c>
      <c r="M104" s="17" t="s">
        <v>93</v>
      </c>
      <c r="N104" s="17" t="s">
        <v>94</v>
      </c>
      <c r="O104" s="17" t="s">
        <v>122</v>
      </c>
      <c r="P104" s="17" t="s">
        <v>454</v>
      </c>
    </row>
    <row r="105" spans="1:16" ht="48" customHeight="1" x14ac:dyDescent="0.3">
      <c r="A105" s="29">
        <v>6</v>
      </c>
      <c r="B105" s="29">
        <v>11</v>
      </c>
      <c r="C105" s="29" t="s">
        <v>443</v>
      </c>
      <c r="D105" s="29" t="s">
        <v>79</v>
      </c>
      <c r="E105" s="29" t="s">
        <v>199</v>
      </c>
      <c r="F105" s="29" t="s">
        <v>398</v>
      </c>
      <c r="G105" s="29">
        <v>15</v>
      </c>
      <c r="H105" s="30" t="s">
        <v>336</v>
      </c>
      <c r="I105" s="31" t="s">
        <v>455</v>
      </c>
      <c r="J105" s="30" t="s">
        <v>456</v>
      </c>
      <c r="K105" s="32" t="s">
        <v>33</v>
      </c>
      <c r="L105" s="30" t="s">
        <v>457</v>
      </c>
      <c r="M105" s="30" t="s">
        <v>87</v>
      </c>
      <c r="N105" s="30" t="s">
        <v>8</v>
      </c>
      <c r="O105" s="30" t="s">
        <v>458</v>
      </c>
      <c r="P105" s="30" t="s">
        <v>459</v>
      </c>
    </row>
    <row r="106" spans="1:16" ht="48" customHeight="1" x14ac:dyDescent="0.3">
      <c r="A106" s="14">
        <v>6</v>
      </c>
      <c r="B106" s="14">
        <v>11</v>
      </c>
      <c r="C106" s="14" t="s">
        <v>443</v>
      </c>
      <c r="D106" s="14" t="s">
        <v>79</v>
      </c>
      <c r="E106" s="14" t="s">
        <v>398</v>
      </c>
      <c r="F106" s="14" t="s">
        <v>112</v>
      </c>
      <c r="G106" s="14">
        <v>5</v>
      </c>
      <c r="H106" s="18" t="s">
        <v>98</v>
      </c>
      <c r="I106" s="19" t="s">
        <v>125</v>
      </c>
      <c r="J106" s="17" t="s">
        <v>460</v>
      </c>
      <c r="K106" s="14" t="s">
        <v>85</v>
      </c>
      <c r="L106" s="17" t="s">
        <v>85</v>
      </c>
      <c r="M106" s="17" t="s">
        <v>85</v>
      </c>
      <c r="N106" s="17" t="s">
        <v>85</v>
      </c>
      <c r="O106" s="17" t="s">
        <v>85</v>
      </c>
      <c r="P106" s="17" t="s">
        <v>85</v>
      </c>
    </row>
    <row r="107" spans="1:16" ht="48" customHeight="1" x14ac:dyDescent="0.3">
      <c r="A107" s="25">
        <v>6</v>
      </c>
      <c r="B107" s="25">
        <v>11</v>
      </c>
      <c r="C107" s="25" t="s">
        <v>443</v>
      </c>
      <c r="D107" s="25" t="s">
        <v>79</v>
      </c>
      <c r="E107" s="25" t="s">
        <v>112</v>
      </c>
      <c r="F107" s="25" t="s">
        <v>404</v>
      </c>
      <c r="G107" s="25">
        <v>50</v>
      </c>
      <c r="H107" s="26" t="s">
        <v>98</v>
      </c>
      <c r="I107" s="27" t="s">
        <v>461</v>
      </c>
      <c r="J107" s="26" t="s">
        <v>462</v>
      </c>
      <c r="K107" s="28" t="s">
        <v>33</v>
      </c>
      <c r="L107" s="26" t="s">
        <v>246</v>
      </c>
      <c r="M107" s="26" t="s">
        <v>131</v>
      </c>
      <c r="N107" s="26" t="s">
        <v>94</v>
      </c>
      <c r="O107" s="26" t="s">
        <v>218</v>
      </c>
      <c r="P107" s="26" t="s">
        <v>463</v>
      </c>
    </row>
    <row r="108" spans="1:16" ht="48" customHeight="1" x14ac:dyDescent="0.3">
      <c r="A108" s="14">
        <v>6</v>
      </c>
      <c r="B108" s="14">
        <v>11</v>
      </c>
      <c r="C108" s="14" t="s">
        <v>443</v>
      </c>
      <c r="D108" s="14" t="s">
        <v>79</v>
      </c>
      <c r="E108" s="14" t="s">
        <v>404</v>
      </c>
      <c r="F108" s="14" t="s">
        <v>214</v>
      </c>
      <c r="G108" s="14">
        <v>10</v>
      </c>
      <c r="H108" s="21" t="s">
        <v>135</v>
      </c>
      <c r="I108" s="22" t="s">
        <v>464</v>
      </c>
      <c r="J108" s="17" t="s">
        <v>465</v>
      </c>
      <c r="K108" s="20" t="s">
        <v>33</v>
      </c>
      <c r="L108" s="17" t="s">
        <v>466</v>
      </c>
      <c r="M108" s="17" t="s">
        <v>131</v>
      </c>
      <c r="N108" s="17" t="s">
        <v>94</v>
      </c>
      <c r="O108" s="17" t="s">
        <v>253</v>
      </c>
      <c r="P108" s="17" t="s">
        <v>467</v>
      </c>
    </row>
    <row r="109" spans="1:16" ht="48" customHeight="1" x14ac:dyDescent="0.3">
      <c r="A109" s="14">
        <v>6</v>
      </c>
      <c r="B109" s="14">
        <v>11</v>
      </c>
      <c r="C109" s="14" t="s">
        <v>443</v>
      </c>
      <c r="D109" s="14" t="s">
        <v>79</v>
      </c>
      <c r="E109" s="14" t="s">
        <v>214</v>
      </c>
      <c r="F109" s="14" t="s">
        <v>134</v>
      </c>
      <c r="G109" s="14">
        <v>10</v>
      </c>
      <c r="H109" s="21" t="s">
        <v>135</v>
      </c>
      <c r="I109" s="22" t="s">
        <v>287</v>
      </c>
      <c r="J109" s="17" t="s">
        <v>468</v>
      </c>
      <c r="K109" s="20" t="s">
        <v>33</v>
      </c>
      <c r="L109" s="17" t="s">
        <v>287</v>
      </c>
      <c r="M109" s="17" t="s">
        <v>87</v>
      </c>
      <c r="N109" s="17" t="s">
        <v>8</v>
      </c>
      <c r="O109" s="17" t="s">
        <v>288</v>
      </c>
      <c r="P109" s="17" t="s">
        <v>289</v>
      </c>
    </row>
    <row r="110" spans="1:16" ht="24" customHeight="1" x14ac:dyDescent="0.3">
      <c r="A110" s="23" t="s">
        <v>140</v>
      </c>
      <c r="B110" s="23"/>
      <c r="C110" s="23"/>
      <c r="D110" s="23"/>
      <c r="E110" s="23"/>
      <c r="F110" s="23"/>
      <c r="G110" s="23">
        <f>SUM(G102:G109)</f>
        <v>135</v>
      </c>
      <c r="H110" s="23"/>
      <c r="I110" s="24" t="s">
        <v>469</v>
      </c>
      <c r="J110" s="24" t="s">
        <v>470</v>
      </c>
      <c r="K110" s="23"/>
      <c r="L110" s="23"/>
      <c r="M110" s="23"/>
      <c r="N110" s="23"/>
      <c r="O110" s="23"/>
      <c r="P110" s="23"/>
    </row>
    <row r="111" spans="1:16" ht="30" customHeight="1" x14ac:dyDescent="0.3">
      <c r="A111" s="5" t="s">
        <v>471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48" customHeight="1" x14ac:dyDescent="0.3">
      <c r="A112" s="14">
        <v>6</v>
      </c>
      <c r="B112" s="14">
        <v>12</v>
      </c>
      <c r="C112" s="14" t="s">
        <v>472</v>
      </c>
      <c r="D112" s="14" t="s">
        <v>145</v>
      </c>
      <c r="E112" s="14" t="s">
        <v>146</v>
      </c>
      <c r="F112" s="14" t="s">
        <v>147</v>
      </c>
      <c r="G112" s="14">
        <v>5</v>
      </c>
      <c r="H112" s="15" t="s">
        <v>82</v>
      </c>
      <c r="I112" s="16" t="s">
        <v>263</v>
      </c>
      <c r="J112" s="17" t="s">
        <v>473</v>
      </c>
      <c r="K112" s="14" t="s">
        <v>85</v>
      </c>
      <c r="L112" s="17" t="s">
        <v>263</v>
      </c>
      <c r="M112" s="17" t="s">
        <v>87</v>
      </c>
      <c r="N112" s="17" t="s">
        <v>94</v>
      </c>
      <c r="O112" s="17" t="s">
        <v>88</v>
      </c>
      <c r="P112" s="17" t="s">
        <v>265</v>
      </c>
    </row>
    <row r="113" spans="1:16" ht="48" customHeight="1" x14ac:dyDescent="0.3">
      <c r="A113" s="14">
        <v>6</v>
      </c>
      <c r="B113" s="14">
        <v>12</v>
      </c>
      <c r="C113" s="14" t="s">
        <v>472</v>
      </c>
      <c r="D113" s="14" t="s">
        <v>145</v>
      </c>
      <c r="E113" s="14" t="s">
        <v>147</v>
      </c>
      <c r="F113" s="14" t="s">
        <v>152</v>
      </c>
      <c r="G113" s="14">
        <v>10</v>
      </c>
      <c r="H113" s="18" t="s">
        <v>98</v>
      </c>
      <c r="I113" s="19" t="s">
        <v>474</v>
      </c>
      <c r="J113" s="17" t="s">
        <v>475</v>
      </c>
      <c r="K113" s="20" t="s">
        <v>27</v>
      </c>
      <c r="L113" s="17" t="s">
        <v>329</v>
      </c>
      <c r="M113" s="17" t="s">
        <v>87</v>
      </c>
      <c r="N113" s="17" t="s">
        <v>8</v>
      </c>
      <c r="O113" s="17" t="s">
        <v>103</v>
      </c>
      <c r="P113" s="17" t="s">
        <v>476</v>
      </c>
    </row>
    <row r="114" spans="1:16" ht="48" customHeight="1" x14ac:dyDescent="0.3">
      <c r="A114" s="14">
        <v>6</v>
      </c>
      <c r="B114" s="14">
        <v>12</v>
      </c>
      <c r="C114" s="14" t="s">
        <v>472</v>
      </c>
      <c r="D114" s="14" t="s">
        <v>145</v>
      </c>
      <c r="E114" s="14" t="s">
        <v>152</v>
      </c>
      <c r="F114" s="14" t="s">
        <v>477</v>
      </c>
      <c r="G114" s="14">
        <v>20</v>
      </c>
      <c r="H114" s="18" t="s">
        <v>98</v>
      </c>
      <c r="I114" s="19" t="s">
        <v>478</v>
      </c>
      <c r="J114" s="17" t="s">
        <v>479</v>
      </c>
      <c r="K114" s="20" t="s">
        <v>27</v>
      </c>
      <c r="L114" s="17" t="s">
        <v>480</v>
      </c>
      <c r="M114" s="17" t="s">
        <v>121</v>
      </c>
      <c r="N114" s="17" t="s">
        <v>94</v>
      </c>
      <c r="O114" s="17" t="s">
        <v>481</v>
      </c>
      <c r="P114" s="17" t="s">
        <v>482</v>
      </c>
    </row>
    <row r="115" spans="1:16" ht="48" customHeight="1" x14ac:dyDescent="0.3">
      <c r="A115" s="14">
        <v>6</v>
      </c>
      <c r="B115" s="14">
        <v>12</v>
      </c>
      <c r="C115" s="14" t="s">
        <v>472</v>
      </c>
      <c r="D115" s="14" t="s">
        <v>145</v>
      </c>
      <c r="E115" s="14" t="s">
        <v>477</v>
      </c>
      <c r="F115" s="14" t="s">
        <v>483</v>
      </c>
      <c r="G115" s="14">
        <v>30</v>
      </c>
      <c r="H115" s="18" t="s">
        <v>98</v>
      </c>
      <c r="I115" s="19" t="s">
        <v>484</v>
      </c>
      <c r="J115" s="17" t="s">
        <v>485</v>
      </c>
      <c r="K115" s="20" t="s">
        <v>27</v>
      </c>
      <c r="L115" s="17" t="s">
        <v>486</v>
      </c>
      <c r="M115" s="17" t="s">
        <v>93</v>
      </c>
      <c r="N115" s="17" t="s">
        <v>94</v>
      </c>
      <c r="O115" s="17" t="s">
        <v>171</v>
      </c>
      <c r="P115" s="17" t="s">
        <v>487</v>
      </c>
    </row>
    <row r="116" spans="1:16" ht="48" customHeight="1" x14ac:dyDescent="0.3">
      <c r="A116" s="14">
        <v>6</v>
      </c>
      <c r="B116" s="14">
        <v>12</v>
      </c>
      <c r="C116" s="14" t="s">
        <v>472</v>
      </c>
      <c r="D116" s="14" t="s">
        <v>145</v>
      </c>
      <c r="E116" s="14" t="s">
        <v>483</v>
      </c>
      <c r="F116" s="14" t="s">
        <v>312</v>
      </c>
      <c r="G116" s="14">
        <v>25</v>
      </c>
      <c r="H116" s="18" t="s">
        <v>98</v>
      </c>
      <c r="I116" s="19" t="s">
        <v>488</v>
      </c>
      <c r="J116" s="17" t="s">
        <v>489</v>
      </c>
      <c r="K116" s="20" t="s">
        <v>27</v>
      </c>
      <c r="L116" s="17" t="s">
        <v>210</v>
      </c>
      <c r="M116" s="17" t="s">
        <v>93</v>
      </c>
      <c r="N116" s="17" t="s">
        <v>94</v>
      </c>
      <c r="O116" s="17" t="s">
        <v>211</v>
      </c>
      <c r="P116" s="17" t="s">
        <v>490</v>
      </c>
    </row>
    <row r="117" spans="1:16" ht="48" customHeight="1" x14ac:dyDescent="0.3">
      <c r="A117" s="14">
        <v>6</v>
      </c>
      <c r="B117" s="14">
        <v>12</v>
      </c>
      <c r="C117" s="14" t="s">
        <v>472</v>
      </c>
      <c r="D117" s="14" t="s">
        <v>145</v>
      </c>
      <c r="E117" s="14" t="s">
        <v>312</v>
      </c>
      <c r="F117" s="14" t="s">
        <v>491</v>
      </c>
      <c r="G117" s="14">
        <v>5</v>
      </c>
      <c r="H117" s="18" t="s">
        <v>98</v>
      </c>
      <c r="I117" s="19" t="s">
        <v>125</v>
      </c>
      <c r="J117" s="17" t="s">
        <v>313</v>
      </c>
      <c r="K117" s="14" t="s">
        <v>85</v>
      </c>
      <c r="L117" s="17" t="s">
        <v>85</v>
      </c>
      <c r="M117" s="17" t="s">
        <v>85</v>
      </c>
      <c r="N117" s="17" t="s">
        <v>85</v>
      </c>
      <c r="O117" s="17" t="s">
        <v>85</v>
      </c>
      <c r="P117" s="17" t="s">
        <v>85</v>
      </c>
    </row>
    <row r="118" spans="1:16" ht="48" customHeight="1" x14ac:dyDescent="0.3">
      <c r="A118" s="25">
        <v>6</v>
      </c>
      <c r="B118" s="25">
        <v>12</v>
      </c>
      <c r="C118" s="25" t="s">
        <v>472</v>
      </c>
      <c r="D118" s="25" t="s">
        <v>145</v>
      </c>
      <c r="E118" s="25" t="s">
        <v>491</v>
      </c>
      <c r="F118" s="25" t="s">
        <v>175</v>
      </c>
      <c r="G118" s="25">
        <v>30</v>
      </c>
      <c r="H118" s="26" t="s">
        <v>98</v>
      </c>
      <c r="I118" s="27" t="s">
        <v>492</v>
      </c>
      <c r="J118" s="26" t="s">
        <v>493</v>
      </c>
      <c r="K118" s="28" t="s">
        <v>27</v>
      </c>
      <c r="L118" s="26" t="s">
        <v>217</v>
      </c>
      <c r="M118" s="26" t="s">
        <v>131</v>
      </c>
      <c r="N118" s="26" t="s">
        <v>94</v>
      </c>
      <c r="O118" s="26" t="s">
        <v>218</v>
      </c>
      <c r="P118" s="26" t="s">
        <v>494</v>
      </c>
    </row>
    <row r="119" spans="1:16" ht="48" customHeight="1" x14ac:dyDescent="0.3">
      <c r="A119" s="14">
        <v>6</v>
      </c>
      <c r="B119" s="14">
        <v>12</v>
      </c>
      <c r="C119" s="14" t="s">
        <v>472</v>
      </c>
      <c r="D119" s="14" t="s">
        <v>145</v>
      </c>
      <c r="E119" s="14" t="s">
        <v>175</v>
      </c>
      <c r="F119" s="14" t="s">
        <v>181</v>
      </c>
      <c r="G119" s="14">
        <v>10</v>
      </c>
      <c r="H119" s="21" t="s">
        <v>135</v>
      </c>
      <c r="I119" s="22" t="s">
        <v>317</v>
      </c>
      <c r="J119" s="17" t="s">
        <v>495</v>
      </c>
      <c r="K119" s="20" t="s">
        <v>27</v>
      </c>
      <c r="L119" s="17" t="s">
        <v>319</v>
      </c>
      <c r="M119" s="17" t="s">
        <v>87</v>
      </c>
      <c r="N119" s="17" t="s">
        <v>102</v>
      </c>
      <c r="O119" s="17" t="s">
        <v>88</v>
      </c>
      <c r="P119" s="17" t="s">
        <v>223</v>
      </c>
    </row>
    <row r="120" spans="1:16" ht="24" customHeight="1" x14ac:dyDescent="0.3">
      <c r="A120" s="23" t="s">
        <v>140</v>
      </c>
      <c r="B120" s="23"/>
      <c r="C120" s="23"/>
      <c r="D120" s="23"/>
      <c r="E120" s="23"/>
      <c r="F120" s="23"/>
      <c r="G120" s="23">
        <f>SUM(G112:G119)</f>
        <v>135</v>
      </c>
      <c r="H120" s="23"/>
      <c r="I120" s="24" t="s">
        <v>496</v>
      </c>
      <c r="J120" s="24" t="s">
        <v>497</v>
      </c>
      <c r="K120" s="23"/>
      <c r="L120" s="23"/>
      <c r="M120" s="23"/>
      <c r="N120" s="23"/>
      <c r="O120" s="23"/>
      <c r="P120" s="23"/>
    </row>
    <row r="121" spans="1:16" ht="30" customHeight="1" x14ac:dyDescent="0.3">
      <c r="A121" s="5" t="s">
        <v>498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48" customHeight="1" x14ac:dyDescent="0.3">
      <c r="A122" s="14">
        <v>7</v>
      </c>
      <c r="B122" s="14">
        <v>13</v>
      </c>
      <c r="C122" s="14" t="s">
        <v>499</v>
      </c>
      <c r="D122" s="14" t="s">
        <v>79</v>
      </c>
      <c r="E122" s="14" t="s">
        <v>80</v>
      </c>
      <c r="F122" s="14" t="s">
        <v>81</v>
      </c>
      <c r="G122" s="14">
        <v>5</v>
      </c>
      <c r="H122" s="15" t="s">
        <v>82</v>
      </c>
      <c r="I122" s="16" t="s">
        <v>324</v>
      </c>
      <c r="J122" s="17" t="s">
        <v>500</v>
      </c>
      <c r="K122" s="20" t="s">
        <v>27</v>
      </c>
      <c r="L122" s="17" t="s">
        <v>86</v>
      </c>
      <c r="M122" s="17" t="s">
        <v>87</v>
      </c>
      <c r="N122" s="17" t="s">
        <v>8</v>
      </c>
      <c r="O122" s="17" t="s">
        <v>88</v>
      </c>
      <c r="P122" s="17" t="s">
        <v>326</v>
      </c>
    </row>
    <row r="123" spans="1:16" ht="48" customHeight="1" x14ac:dyDescent="0.3">
      <c r="A123" s="14">
        <v>7</v>
      </c>
      <c r="B123" s="14">
        <v>13</v>
      </c>
      <c r="C123" s="14" t="s">
        <v>499</v>
      </c>
      <c r="D123" s="14" t="s">
        <v>79</v>
      </c>
      <c r="E123" s="14" t="s">
        <v>81</v>
      </c>
      <c r="F123" s="14" t="s">
        <v>89</v>
      </c>
      <c r="G123" s="14">
        <v>10</v>
      </c>
      <c r="H123" s="18" t="s">
        <v>98</v>
      </c>
      <c r="I123" s="19" t="s">
        <v>501</v>
      </c>
      <c r="J123" s="17" t="s">
        <v>502</v>
      </c>
      <c r="K123" s="20" t="s">
        <v>27</v>
      </c>
      <c r="L123" s="17" t="s">
        <v>503</v>
      </c>
      <c r="M123" s="17" t="s">
        <v>87</v>
      </c>
      <c r="N123" s="17" t="s">
        <v>8</v>
      </c>
      <c r="O123" s="17" t="s">
        <v>88</v>
      </c>
      <c r="P123" s="17" t="s">
        <v>504</v>
      </c>
    </row>
    <row r="124" spans="1:16" ht="48" customHeight="1" x14ac:dyDescent="0.3">
      <c r="A124" s="14">
        <v>7</v>
      </c>
      <c r="B124" s="14">
        <v>13</v>
      </c>
      <c r="C124" s="14" t="s">
        <v>499</v>
      </c>
      <c r="D124" s="14" t="s">
        <v>79</v>
      </c>
      <c r="E124" s="14" t="s">
        <v>89</v>
      </c>
      <c r="F124" s="14" t="s">
        <v>199</v>
      </c>
      <c r="G124" s="14">
        <v>30</v>
      </c>
      <c r="H124" s="18" t="s">
        <v>98</v>
      </c>
      <c r="I124" s="19" t="s">
        <v>505</v>
      </c>
      <c r="J124" s="17" t="s">
        <v>506</v>
      </c>
      <c r="K124" s="20" t="s">
        <v>27</v>
      </c>
      <c r="L124" s="17" t="s">
        <v>507</v>
      </c>
      <c r="M124" s="17" t="s">
        <v>93</v>
      </c>
      <c r="N124" s="17" t="s">
        <v>94</v>
      </c>
      <c r="O124" s="17" t="s">
        <v>171</v>
      </c>
      <c r="P124" s="17" t="s">
        <v>508</v>
      </c>
    </row>
    <row r="125" spans="1:16" ht="48" customHeight="1" x14ac:dyDescent="0.3">
      <c r="A125" s="14">
        <v>7</v>
      </c>
      <c r="B125" s="14">
        <v>13</v>
      </c>
      <c r="C125" s="14" t="s">
        <v>499</v>
      </c>
      <c r="D125" s="14" t="s">
        <v>79</v>
      </c>
      <c r="E125" s="14" t="s">
        <v>199</v>
      </c>
      <c r="F125" s="14" t="s">
        <v>105</v>
      </c>
      <c r="G125" s="14">
        <v>10</v>
      </c>
      <c r="H125" s="18" t="s">
        <v>98</v>
      </c>
      <c r="I125" s="19" t="s">
        <v>368</v>
      </c>
      <c r="J125" s="17" t="s">
        <v>509</v>
      </c>
      <c r="K125" s="20" t="s">
        <v>27</v>
      </c>
      <c r="L125" s="17" t="s">
        <v>510</v>
      </c>
      <c r="M125" s="17" t="s">
        <v>87</v>
      </c>
      <c r="N125" s="17" t="s">
        <v>102</v>
      </c>
      <c r="O125" s="17" t="s">
        <v>185</v>
      </c>
      <c r="P125" s="17" t="s">
        <v>511</v>
      </c>
    </row>
    <row r="126" spans="1:16" ht="48" customHeight="1" x14ac:dyDescent="0.3">
      <c r="A126" s="14">
        <v>7</v>
      </c>
      <c r="B126" s="14">
        <v>13</v>
      </c>
      <c r="C126" s="14" t="s">
        <v>499</v>
      </c>
      <c r="D126" s="14" t="s">
        <v>79</v>
      </c>
      <c r="E126" s="14" t="s">
        <v>105</v>
      </c>
      <c r="F126" s="14" t="s">
        <v>398</v>
      </c>
      <c r="G126" s="14">
        <v>5</v>
      </c>
      <c r="H126" s="18" t="s">
        <v>98</v>
      </c>
      <c r="I126" s="19" t="s">
        <v>125</v>
      </c>
      <c r="J126" s="17" t="s">
        <v>460</v>
      </c>
      <c r="K126" s="14" t="s">
        <v>85</v>
      </c>
      <c r="L126" s="17" t="s">
        <v>85</v>
      </c>
      <c r="M126" s="17" t="s">
        <v>85</v>
      </c>
      <c r="N126" s="17" t="s">
        <v>85</v>
      </c>
      <c r="O126" s="17" t="s">
        <v>85</v>
      </c>
      <c r="P126" s="17" t="s">
        <v>85</v>
      </c>
    </row>
    <row r="127" spans="1:16" ht="48" customHeight="1" x14ac:dyDescent="0.3">
      <c r="A127" s="25">
        <v>7</v>
      </c>
      <c r="B127" s="25">
        <v>13</v>
      </c>
      <c r="C127" s="25" t="s">
        <v>499</v>
      </c>
      <c r="D127" s="25" t="s">
        <v>79</v>
      </c>
      <c r="E127" s="25" t="s">
        <v>398</v>
      </c>
      <c r="F127" s="25" t="s">
        <v>404</v>
      </c>
      <c r="G127" s="25">
        <v>55</v>
      </c>
      <c r="H127" s="26" t="s">
        <v>98</v>
      </c>
      <c r="I127" s="27" t="s">
        <v>512</v>
      </c>
      <c r="J127" s="26" t="s">
        <v>513</v>
      </c>
      <c r="K127" s="28" t="s">
        <v>514</v>
      </c>
      <c r="L127" s="26" t="s">
        <v>246</v>
      </c>
      <c r="M127" s="26" t="s">
        <v>131</v>
      </c>
      <c r="N127" s="26" t="s">
        <v>94</v>
      </c>
      <c r="O127" s="26" t="s">
        <v>218</v>
      </c>
      <c r="P127" s="26" t="s">
        <v>515</v>
      </c>
    </row>
    <row r="128" spans="1:16" ht="48" customHeight="1" x14ac:dyDescent="0.3">
      <c r="A128" s="14">
        <v>7</v>
      </c>
      <c r="B128" s="14">
        <v>13</v>
      </c>
      <c r="C128" s="14" t="s">
        <v>499</v>
      </c>
      <c r="D128" s="14" t="s">
        <v>79</v>
      </c>
      <c r="E128" s="14" t="s">
        <v>404</v>
      </c>
      <c r="F128" s="14" t="s">
        <v>134</v>
      </c>
      <c r="G128" s="14">
        <v>20</v>
      </c>
      <c r="H128" s="21" t="s">
        <v>135</v>
      </c>
      <c r="I128" s="22" t="s">
        <v>516</v>
      </c>
      <c r="J128" s="17" t="s">
        <v>517</v>
      </c>
      <c r="K128" s="20" t="s">
        <v>31</v>
      </c>
      <c r="L128" s="17" t="s">
        <v>518</v>
      </c>
      <c r="M128" s="17" t="s">
        <v>87</v>
      </c>
      <c r="N128" s="17" t="s">
        <v>102</v>
      </c>
      <c r="O128" s="17" t="s">
        <v>185</v>
      </c>
      <c r="P128" s="17" t="s">
        <v>519</v>
      </c>
    </row>
    <row r="129" spans="1:16" ht="24" customHeight="1" x14ac:dyDescent="0.3">
      <c r="A129" s="23" t="s">
        <v>140</v>
      </c>
      <c r="B129" s="23"/>
      <c r="C129" s="23"/>
      <c r="D129" s="23"/>
      <c r="E129" s="23"/>
      <c r="F129" s="23"/>
      <c r="G129" s="23">
        <f>SUM(G122:G128)</f>
        <v>135</v>
      </c>
      <c r="H129" s="23"/>
      <c r="I129" s="24" t="s">
        <v>520</v>
      </c>
      <c r="J129" s="24" t="s">
        <v>521</v>
      </c>
      <c r="K129" s="23"/>
      <c r="L129" s="23"/>
      <c r="M129" s="23"/>
      <c r="N129" s="23"/>
      <c r="O129" s="23"/>
      <c r="P129" s="23"/>
    </row>
    <row r="130" spans="1:16" ht="30" customHeight="1" x14ac:dyDescent="0.3">
      <c r="A130" s="5" t="s">
        <v>522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48" customHeight="1" x14ac:dyDescent="0.3">
      <c r="A131" s="14">
        <v>7</v>
      </c>
      <c r="B131" s="14">
        <v>14</v>
      </c>
      <c r="C131" s="14" t="s">
        <v>523</v>
      </c>
      <c r="D131" s="14" t="s">
        <v>145</v>
      </c>
      <c r="E131" s="14" t="s">
        <v>146</v>
      </c>
      <c r="F131" s="14" t="s">
        <v>147</v>
      </c>
      <c r="G131" s="14">
        <v>5</v>
      </c>
      <c r="H131" s="15" t="s">
        <v>82</v>
      </c>
      <c r="I131" s="16" t="s">
        <v>148</v>
      </c>
      <c r="J131" s="17" t="s">
        <v>524</v>
      </c>
      <c r="K131" s="14" t="s">
        <v>85</v>
      </c>
      <c r="L131" s="17" t="s">
        <v>230</v>
      </c>
      <c r="M131" s="17" t="s">
        <v>93</v>
      </c>
      <c r="N131" s="17" t="s">
        <v>94</v>
      </c>
      <c r="O131" s="17" t="s">
        <v>88</v>
      </c>
      <c r="P131" s="17" t="s">
        <v>151</v>
      </c>
    </row>
    <row r="132" spans="1:16" ht="48" customHeight="1" x14ac:dyDescent="0.3">
      <c r="A132" s="14">
        <v>7</v>
      </c>
      <c r="B132" s="14">
        <v>14</v>
      </c>
      <c r="C132" s="14" t="s">
        <v>523</v>
      </c>
      <c r="D132" s="14" t="s">
        <v>145</v>
      </c>
      <c r="E132" s="14" t="s">
        <v>147</v>
      </c>
      <c r="F132" s="14" t="s">
        <v>152</v>
      </c>
      <c r="G132" s="14">
        <v>10</v>
      </c>
      <c r="H132" s="18" t="s">
        <v>98</v>
      </c>
      <c r="I132" s="19" t="s">
        <v>525</v>
      </c>
      <c r="J132" s="17" t="s">
        <v>526</v>
      </c>
      <c r="K132" s="20" t="s">
        <v>33</v>
      </c>
      <c r="L132" s="17" t="s">
        <v>527</v>
      </c>
      <c r="M132" s="17" t="s">
        <v>87</v>
      </c>
      <c r="N132" s="17" t="s">
        <v>8</v>
      </c>
      <c r="O132" s="17" t="s">
        <v>88</v>
      </c>
      <c r="P132" s="17" t="s">
        <v>528</v>
      </c>
    </row>
    <row r="133" spans="1:16" ht="48" customHeight="1" x14ac:dyDescent="0.3">
      <c r="A133" s="14">
        <v>7</v>
      </c>
      <c r="B133" s="14">
        <v>14</v>
      </c>
      <c r="C133" s="14" t="s">
        <v>523</v>
      </c>
      <c r="D133" s="14" t="s">
        <v>145</v>
      </c>
      <c r="E133" s="14" t="s">
        <v>152</v>
      </c>
      <c r="F133" s="14" t="s">
        <v>529</v>
      </c>
      <c r="G133" s="14">
        <v>25</v>
      </c>
      <c r="H133" s="18" t="s">
        <v>98</v>
      </c>
      <c r="I133" s="19" t="s">
        <v>530</v>
      </c>
      <c r="J133" s="17" t="s">
        <v>531</v>
      </c>
      <c r="K133" s="20" t="s">
        <v>33</v>
      </c>
      <c r="L133" s="17" t="s">
        <v>532</v>
      </c>
      <c r="M133" s="17" t="s">
        <v>93</v>
      </c>
      <c r="N133" s="17" t="s">
        <v>94</v>
      </c>
      <c r="O133" s="17" t="s">
        <v>122</v>
      </c>
      <c r="P133" s="17" t="s">
        <v>533</v>
      </c>
    </row>
    <row r="134" spans="1:16" ht="48" customHeight="1" x14ac:dyDescent="0.3">
      <c r="A134" s="14">
        <v>7</v>
      </c>
      <c r="B134" s="14">
        <v>14</v>
      </c>
      <c r="C134" s="14" t="s">
        <v>523</v>
      </c>
      <c r="D134" s="14" t="s">
        <v>145</v>
      </c>
      <c r="E134" s="14" t="s">
        <v>529</v>
      </c>
      <c r="F134" s="14" t="s">
        <v>162</v>
      </c>
      <c r="G134" s="14">
        <v>15</v>
      </c>
      <c r="H134" s="18" t="s">
        <v>98</v>
      </c>
      <c r="I134" s="19" t="s">
        <v>534</v>
      </c>
      <c r="J134" s="17" t="s">
        <v>535</v>
      </c>
      <c r="K134" s="20" t="s">
        <v>35</v>
      </c>
      <c r="L134" s="17" t="s">
        <v>235</v>
      </c>
      <c r="M134" s="17" t="s">
        <v>87</v>
      </c>
      <c r="N134" s="17" t="s">
        <v>8</v>
      </c>
      <c r="O134" s="17" t="s">
        <v>103</v>
      </c>
      <c r="P134" s="17" t="s">
        <v>536</v>
      </c>
    </row>
    <row r="135" spans="1:16" ht="48" customHeight="1" x14ac:dyDescent="0.3">
      <c r="A135" s="14">
        <v>7</v>
      </c>
      <c r="B135" s="14">
        <v>14</v>
      </c>
      <c r="C135" s="14" t="s">
        <v>523</v>
      </c>
      <c r="D135" s="14" t="s">
        <v>145</v>
      </c>
      <c r="E135" s="14" t="s">
        <v>162</v>
      </c>
      <c r="F135" s="14" t="s">
        <v>167</v>
      </c>
      <c r="G135" s="14">
        <v>25</v>
      </c>
      <c r="H135" s="18" t="s">
        <v>98</v>
      </c>
      <c r="I135" s="19" t="s">
        <v>537</v>
      </c>
      <c r="J135" s="17" t="s">
        <v>538</v>
      </c>
      <c r="K135" s="20" t="s">
        <v>35</v>
      </c>
      <c r="L135" s="17" t="s">
        <v>539</v>
      </c>
      <c r="M135" s="17" t="s">
        <v>121</v>
      </c>
      <c r="N135" s="17" t="s">
        <v>94</v>
      </c>
      <c r="O135" s="17" t="s">
        <v>171</v>
      </c>
      <c r="P135" s="17" t="s">
        <v>540</v>
      </c>
    </row>
    <row r="136" spans="1:16" ht="48" customHeight="1" x14ac:dyDescent="0.3">
      <c r="A136" s="14">
        <v>7</v>
      </c>
      <c r="B136" s="14">
        <v>14</v>
      </c>
      <c r="C136" s="14" t="s">
        <v>523</v>
      </c>
      <c r="D136" s="14" t="s">
        <v>145</v>
      </c>
      <c r="E136" s="14" t="s">
        <v>167</v>
      </c>
      <c r="F136" s="14" t="s">
        <v>541</v>
      </c>
      <c r="G136" s="14">
        <v>20</v>
      </c>
      <c r="H136" s="18" t="s">
        <v>98</v>
      </c>
      <c r="I136" s="19" t="s">
        <v>542</v>
      </c>
      <c r="J136" s="17" t="s">
        <v>543</v>
      </c>
      <c r="K136" s="20" t="s">
        <v>544</v>
      </c>
      <c r="L136" s="17" t="s">
        <v>210</v>
      </c>
      <c r="M136" s="17" t="s">
        <v>93</v>
      </c>
      <c r="N136" s="17" t="s">
        <v>94</v>
      </c>
      <c r="O136" s="17" t="s">
        <v>211</v>
      </c>
      <c r="P136" s="17" t="s">
        <v>545</v>
      </c>
    </row>
    <row r="137" spans="1:16" ht="48" customHeight="1" x14ac:dyDescent="0.3">
      <c r="A137" s="14">
        <v>7</v>
      </c>
      <c r="B137" s="14">
        <v>14</v>
      </c>
      <c r="C137" s="14" t="s">
        <v>523</v>
      </c>
      <c r="D137" s="14" t="s">
        <v>145</v>
      </c>
      <c r="E137" s="14" t="s">
        <v>541</v>
      </c>
      <c r="F137" s="14" t="s">
        <v>243</v>
      </c>
      <c r="G137" s="14">
        <v>5</v>
      </c>
      <c r="H137" s="18" t="s">
        <v>98</v>
      </c>
      <c r="I137" s="19" t="s">
        <v>125</v>
      </c>
      <c r="J137" s="17" t="s">
        <v>313</v>
      </c>
      <c r="K137" s="14" t="s">
        <v>85</v>
      </c>
      <c r="L137" s="17" t="s">
        <v>85</v>
      </c>
      <c r="M137" s="17" t="s">
        <v>85</v>
      </c>
      <c r="N137" s="17" t="s">
        <v>85</v>
      </c>
      <c r="O137" s="17" t="s">
        <v>85</v>
      </c>
      <c r="P137" s="17" t="s">
        <v>85</v>
      </c>
    </row>
    <row r="138" spans="1:16" ht="48" customHeight="1" x14ac:dyDescent="0.3">
      <c r="A138" s="25">
        <v>7</v>
      </c>
      <c r="B138" s="25">
        <v>14</v>
      </c>
      <c r="C138" s="25" t="s">
        <v>523</v>
      </c>
      <c r="D138" s="25" t="s">
        <v>145</v>
      </c>
      <c r="E138" s="25" t="s">
        <v>243</v>
      </c>
      <c r="F138" s="25" t="s">
        <v>181</v>
      </c>
      <c r="G138" s="25">
        <v>30</v>
      </c>
      <c r="H138" s="26" t="s">
        <v>98</v>
      </c>
      <c r="I138" s="27" t="s">
        <v>546</v>
      </c>
      <c r="J138" s="26" t="s">
        <v>547</v>
      </c>
      <c r="K138" s="28" t="s">
        <v>544</v>
      </c>
      <c r="L138" s="26" t="s">
        <v>217</v>
      </c>
      <c r="M138" s="26" t="s">
        <v>131</v>
      </c>
      <c r="N138" s="26" t="s">
        <v>94</v>
      </c>
      <c r="O138" s="26" t="s">
        <v>218</v>
      </c>
      <c r="P138" s="26" t="s">
        <v>548</v>
      </c>
    </row>
    <row r="139" spans="1:16" ht="24" customHeight="1" x14ac:dyDescent="0.3">
      <c r="A139" s="23" t="s">
        <v>140</v>
      </c>
      <c r="B139" s="23"/>
      <c r="C139" s="23"/>
      <c r="D139" s="23"/>
      <c r="E139" s="23"/>
      <c r="F139" s="23"/>
      <c r="G139" s="23">
        <f>SUM(G131:G138)</f>
        <v>135</v>
      </c>
      <c r="H139" s="23"/>
      <c r="I139" s="24" t="s">
        <v>549</v>
      </c>
      <c r="J139" s="24" t="s">
        <v>550</v>
      </c>
      <c r="K139" s="23"/>
      <c r="L139" s="23"/>
      <c r="M139" s="23"/>
      <c r="N139" s="23"/>
      <c r="O139" s="23"/>
      <c r="P139" s="23"/>
    </row>
    <row r="140" spans="1:16" ht="30" customHeight="1" x14ac:dyDescent="0.3">
      <c r="A140" s="5" t="s">
        <v>551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48" customHeight="1" x14ac:dyDescent="0.3">
      <c r="A141" s="14">
        <v>8</v>
      </c>
      <c r="B141" s="14">
        <v>15</v>
      </c>
      <c r="C141" s="14" t="s">
        <v>552</v>
      </c>
      <c r="D141" s="14" t="s">
        <v>79</v>
      </c>
      <c r="E141" s="14" t="s">
        <v>80</v>
      </c>
      <c r="F141" s="14" t="s">
        <v>81</v>
      </c>
      <c r="G141" s="14">
        <v>5</v>
      </c>
      <c r="H141" s="15" t="s">
        <v>82</v>
      </c>
      <c r="I141" s="16" t="s">
        <v>324</v>
      </c>
      <c r="J141" s="17" t="s">
        <v>553</v>
      </c>
      <c r="K141" s="20" t="s">
        <v>35</v>
      </c>
      <c r="L141" s="17" t="s">
        <v>86</v>
      </c>
      <c r="M141" s="17" t="s">
        <v>87</v>
      </c>
      <c r="N141" s="17" t="s">
        <v>8</v>
      </c>
      <c r="O141" s="17" t="s">
        <v>88</v>
      </c>
      <c r="P141" s="17" t="s">
        <v>326</v>
      </c>
    </row>
    <row r="142" spans="1:16" ht="48" customHeight="1" x14ac:dyDescent="0.3">
      <c r="A142" s="14">
        <v>8</v>
      </c>
      <c r="B142" s="14">
        <v>15</v>
      </c>
      <c r="C142" s="14" t="s">
        <v>552</v>
      </c>
      <c r="D142" s="14" t="s">
        <v>79</v>
      </c>
      <c r="E142" s="14" t="s">
        <v>81</v>
      </c>
      <c r="F142" s="14" t="s">
        <v>89</v>
      </c>
      <c r="G142" s="14">
        <v>10</v>
      </c>
      <c r="H142" s="18" t="s">
        <v>98</v>
      </c>
      <c r="I142" s="19" t="s">
        <v>554</v>
      </c>
      <c r="J142" s="17" t="s">
        <v>555</v>
      </c>
      <c r="K142" s="20" t="s">
        <v>35</v>
      </c>
      <c r="L142" s="17" t="s">
        <v>329</v>
      </c>
      <c r="M142" s="17" t="s">
        <v>87</v>
      </c>
      <c r="N142" s="17" t="s">
        <v>8</v>
      </c>
      <c r="O142" s="17" t="s">
        <v>103</v>
      </c>
      <c r="P142" s="17" t="s">
        <v>556</v>
      </c>
    </row>
    <row r="143" spans="1:16" ht="48" customHeight="1" x14ac:dyDescent="0.3">
      <c r="A143" s="14">
        <v>8</v>
      </c>
      <c r="B143" s="14">
        <v>15</v>
      </c>
      <c r="C143" s="14" t="s">
        <v>552</v>
      </c>
      <c r="D143" s="14" t="s">
        <v>79</v>
      </c>
      <c r="E143" s="14" t="s">
        <v>89</v>
      </c>
      <c r="F143" s="14" t="s">
        <v>199</v>
      </c>
      <c r="G143" s="14">
        <v>30</v>
      </c>
      <c r="H143" s="18" t="s">
        <v>98</v>
      </c>
      <c r="I143" s="19" t="s">
        <v>557</v>
      </c>
      <c r="J143" s="17" t="s">
        <v>558</v>
      </c>
      <c r="K143" s="20" t="s">
        <v>35</v>
      </c>
      <c r="L143" s="17" t="s">
        <v>559</v>
      </c>
      <c r="M143" s="17" t="s">
        <v>93</v>
      </c>
      <c r="N143" s="17" t="s">
        <v>94</v>
      </c>
      <c r="O143" s="17" t="s">
        <v>122</v>
      </c>
      <c r="P143" s="17" t="s">
        <v>560</v>
      </c>
    </row>
    <row r="144" spans="1:16" ht="48" customHeight="1" x14ac:dyDescent="0.3">
      <c r="A144" s="29">
        <v>8</v>
      </c>
      <c r="B144" s="29">
        <v>15</v>
      </c>
      <c r="C144" s="29" t="s">
        <v>552</v>
      </c>
      <c r="D144" s="29" t="s">
        <v>79</v>
      </c>
      <c r="E144" s="29" t="s">
        <v>199</v>
      </c>
      <c r="F144" s="29" t="s">
        <v>398</v>
      </c>
      <c r="G144" s="29">
        <v>15</v>
      </c>
      <c r="H144" s="30" t="s">
        <v>336</v>
      </c>
      <c r="I144" s="31" t="s">
        <v>561</v>
      </c>
      <c r="J144" s="30" t="s">
        <v>562</v>
      </c>
      <c r="K144" s="32" t="s">
        <v>35</v>
      </c>
      <c r="L144" s="30" t="s">
        <v>457</v>
      </c>
      <c r="M144" s="30" t="s">
        <v>87</v>
      </c>
      <c r="N144" s="30" t="s">
        <v>8</v>
      </c>
      <c r="O144" s="30" t="s">
        <v>458</v>
      </c>
      <c r="P144" s="30" t="s">
        <v>563</v>
      </c>
    </row>
    <row r="145" spans="1:16" ht="48" customHeight="1" x14ac:dyDescent="0.3">
      <c r="A145" s="14">
        <v>8</v>
      </c>
      <c r="B145" s="14">
        <v>15</v>
      </c>
      <c r="C145" s="14" t="s">
        <v>552</v>
      </c>
      <c r="D145" s="14" t="s">
        <v>79</v>
      </c>
      <c r="E145" s="14" t="s">
        <v>398</v>
      </c>
      <c r="F145" s="14" t="s">
        <v>112</v>
      </c>
      <c r="G145" s="14">
        <v>5</v>
      </c>
      <c r="H145" s="18" t="s">
        <v>98</v>
      </c>
      <c r="I145" s="19" t="s">
        <v>125</v>
      </c>
      <c r="J145" s="17" t="s">
        <v>460</v>
      </c>
      <c r="K145" s="14" t="s">
        <v>85</v>
      </c>
      <c r="L145" s="17" t="s">
        <v>85</v>
      </c>
      <c r="M145" s="17" t="s">
        <v>85</v>
      </c>
      <c r="N145" s="17" t="s">
        <v>85</v>
      </c>
      <c r="O145" s="17" t="s">
        <v>85</v>
      </c>
      <c r="P145" s="17" t="s">
        <v>85</v>
      </c>
    </row>
    <row r="146" spans="1:16" ht="48" customHeight="1" x14ac:dyDescent="0.3">
      <c r="A146" s="25">
        <v>8</v>
      </c>
      <c r="B146" s="25">
        <v>15</v>
      </c>
      <c r="C146" s="25" t="s">
        <v>552</v>
      </c>
      <c r="D146" s="25" t="s">
        <v>79</v>
      </c>
      <c r="E146" s="25" t="s">
        <v>112</v>
      </c>
      <c r="F146" s="25" t="s">
        <v>404</v>
      </c>
      <c r="G146" s="25">
        <v>50</v>
      </c>
      <c r="H146" s="26" t="s">
        <v>98</v>
      </c>
      <c r="I146" s="27" t="s">
        <v>564</v>
      </c>
      <c r="J146" s="26" t="s">
        <v>565</v>
      </c>
      <c r="K146" s="28" t="s">
        <v>35</v>
      </c>
      <c r="L146" s="26" t="s">
        <v>246</v>
      </c>
      <c r="M146" s="26" t="s">
        <v>131</v>
      </c>
      <c r="N146" s="26" t="s">
        <v>94</v>
      </c>
      <c r="O146" s="26" t="s">
        <v>218</v>
      </c>
      <c r="P146" s="26" t="s">
        <v>566</v>
      </c>
    </row>
    <row r="147" spans="1:16" ht="48" customHeight="1" x14ac:dyDescent="0.3">
      <c r="A147" s="14">
        <v>8</v>
      </c>
      <c r="B147" s="14">
        <v>15</v>
      </c>
      <c r="C147" s="14" t="s">
        <v>552</v>
      </c>
      <c r="D147" s="14" t="s">
        <v>79</v>
      </c>
      <c r="E147" s="14" t="s">
        <v>404</v>
      </c>
      <c r="F147" s="14" t="s">
        <v>134</v>
      </c>
      <c r="G147" s="14">
        <v>20</v>
      </c>
      <c r="H147" s="21" t="s">
        <v>135</v>
      </c>
      <c r="I147" s="22" t="s">
        <v>567</v>
      </c>
      <c r="J147" s="17" t="s">
        <v>568</v>
      </c>
      <c r="K147" s="20" t="s">
        <v>35</v>
      </c>
      <c r="L147" s="17" t="s">
        <v>569</v>
      </c>
      <c r="M147" s="17" t="s">
        <v>131</v>
      </c>
      <c r="N147" s="17" t="s">
        <v>94</v>
      </c>
      <c r="O147" s="17" t="s">
        <v>253</v>
      </c>
      <c r="P147" s="17" t="s">
        <v>570</v>
      </c>
    </row>
    <row r="148" spans="1:16" ht="24" customHeight="1" x14ac:dyDescent="0.3">
      <c r="A148" s="23" t="s">
        <v>140</v>
      </c>
      <c r="B148" s="23"/>
      <c r="C148" s="23"/>
      <c r="D148" s="23"/>
      <c r="E148" s="23"/>
      <c r="F148" s="23"/>
      <c r="G148" s="23">
        <f>SUM(G141:G147)</f>
        <v>135</v>
      </c>
      <c r="H148" s="23"/>
      <c r="I148" s="24" t="s">
        <v>571</v>
      </c>
      <c r="J148" s="24" t="s">
        <v>572</v>
      </c>
      <c r="K148" s="23"/>
      <c r="L148" s="23"/>
      <c r="M148" s="23"/>
      <c r="N148" s="23"/>
      <c r="O148" s="23"/>
      <c r="P148" s="23"/>
    </row>
    <row r="149" spans="1:16" ht="30" customHeight="1" x14ac:dyDescent="0.3">
      <c r="A149" s="5" t="s">
        <v>573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48" customHeight="1" x14ac:dyDescent="0.3">
      <c r="A150" s="14">
        <v>8</v>
      </c>
      <c r="B150" s="14">
        <v>16</v>
      </c>
      <c r="C150" s="14" t="s">
        <v>574</v>
      </c>
      <c r="D150" s="14" t="s">
        <v>145</v>
      </c>
      <c r="E150" s="14" t="s">
        <v>146</v>
      </c>
      <c r="F150" s="14" t="s">
        <v>147</v>
      </c>
      <c r="G150" s="14">
        <v>5</v>
      </c>
      <c r="H150" s="15" t="s">
        <v>82</v>
      </c>
      <c r="I150" s="16" t="s">
        <v>148</v>
      </c>
      <c r="J150" s="17" t="s">
        <v>575</v>
      </c>
      <c r="K150" s="14" t="s">
        <v>85</v>
      </c>
      <c r="L150" s="17" t="s">
        <v>230</v>
      </c>
      <c r="M150" s="17" t="s">
        <v>93</v>
      </c>
      <c r="N150" s="17" t="s">
        <v>94</v>
      </c>
      <c r="O150" s="17" t="s">
        <v>88</v>
      </c>
      <c r="P150" s="17" t="s">
        <v>231</v>
      </c>
    </row>
    <row r="151" spans="1:16" ht="48" customHeight="1" x14ac:dyDescent="0.3">
      <c r="A151" s="14">
        <v>8</v>
      </c>
      <c r="B151" s="14">
        <v>16</v>
      </c>
      <c r="C151" s="14" t="s">
        <v>574</v>
      </c>
      <c r="D151" s="14" t="s">
        <v>145</v>
      </c>
      <c r="E151" s="14" t="s">
        <v>147</v>
      </c>
      <c r="F151" s="14" t="s">
        <v>152</v>
      </c>
      <c r="G151" s="14">
        <v>10</v>
      </c>
      <c r="H151" s="18" t="s">
        <v>98</v>
      </c>
      <c r="I151" s="19" t="s">
        <v>576</v>
      </c>
      <c r="J151" s="17" t="s">
        <v>577</v>
      </c>
      <c r="K151" s="20" t="s">
        <v>25</v>
      </c>
      <c r="L151" s="17" t="s">
        <v>578</v>
      </c>
      <c r="M151" s="17" t="s">
        <v>87</v>
      </c>
      <c r="N151" s="17" t="s">
        <v>8</v>
      </c>
      <c r="O151" s="17" t="s">
        <v>88</v>
      </c>
      <c r="P151" s="17" t="s">
        <v>579</v>
      </c>
    </row>
    <row r="152" spans="1:16" ht="48" customHeight="1" x14ac:dyDescent="0.3">
      <c r="A152" s="14">
        <v>8</v>
      </c>
      <c r="B152" s="14">
        <v>16</v>
      </c>
      <c r="C152" s="14" t="s">
        <v>574</v>
      </c>
      <c r="D152" s="14" t="s">
        <v>145</v>
      </c>
      <c r="E152" s="14" t="s">
        <v>152</v>
      </c>
      <c r="F152" s="14" t="s">
        <v>580</v>
      </c>
      <c r="G152" s="14">
        <v>15</v>
      </c>
      <c r="H152" s="18" t="s">
        <v>98</v>
      </c>
      <c r="I152" s="19" t="s">
        <v>581</v>
      </c>
      <c r="J152" s="17" t="s">
        <v>582</v>
      </c>
      <c r="K152" s="20" t="s">
        <v>25</v>
      </c>
      <c r="L152" s="17" t="s">
        <v>583</v>
      </c>
      <c r="M152" s="17" t="s">
        <v>87</v>
      </c>
      <c r="N152" s="17" t="s">
        <v>8</v>
      </c>
      <c r="O152" s="17" t="s">
        <v>103</v>
      </c>
      <c r="P152" s="17" t="s">
        <v>584</v>
      </c>
    </row>
    <row r="153" spans="1:16" ht="48" customHeight="1" x14ac:dyDescent="0.3">
      <c r="A153" s="14">
        <v>8</v>
      </c>
      <c r="B153" s="14">
        <v>16</v>
      </c>
      <c r="C153" s="14" t="s">
        <v>574</v>
      </c>
      <c r="D153" s="14" t="s">
        <v>145</v>
      </c>
      <c r="E153" s="14" t="s">
        <v>580</v>
      </c>
      <c r="F153" s="14" t="s">
        <v>427</v>
      </c>
      <c r="G153" s="14">
        <v>40</v>
      </c>
      <c r="H153" s="18" t="s">
        <v>98</v>
      </c>
      <c r="I153" s="19" t="s">
        <v>585</v>
      </c>
      <c r="J153" s="17" t="s">
        <v>586</v>
      </c>
      <c r="K153" s="20" t="s">
        <v>25</v>
      </c>
      <c r="L153" s="17" t="s">
        <v>272</v>
      </c>
      <c r="M153" s="17" t="s">
        <v>93</v>
      </c>
      <c r="N153" s="17" t="s">
        <v>94</v>
      </c>
      <c r="O153" s="17" t="s">
        <v>587</v>
      </c>
      <c r="P153" s="17" t="s">
        <v>588</v>
      </c>
    </row>
    <row r="154" spans="1:16" ht="48" customHeight="1" x14ac:dyDescent="0.3">
      <c r="A154" s="14">
        <v>8</v>
      </c>
      <c r="B154" s="14">
        <v>16</v>
      </c>
      <c r="C154" s="14" t="s">
        <v>574</v>
      </c>
      <c r="D154" s="14" t="s">
        <v>145</v>
      </c>
      <c r="E154" s="14" t="s">
        <v>427</v>
      </c>
      <c r="F154" s="14" t="s">
        <v>589</v>
      </c>
      <c r="G154" s="14">
        <v>5</v>
      </c>
      <c r="H154" s="18" t="s">
        <v>98</v>
      </c>
      <c r="I154" s="19" t="s">
        <v>125</v>
      </c>
      <c r="J154" s="17" t="s">
        <v>281</v>
      </c>
      <c r="K154" s="14" t="s">
        <v>85</v>
      </c>
      <c r="L154" s="17" t="s">
        <v>85</v>
      </c>
      <c r="M154" s="17" t="s">
        <v>85</v>
      </c>
      <c r="N154" s="17" t="s">
        <v>85</v>
      </c>
      <c r="O154" s="17" t="s">
        <v>85</v>
      </c>
      <c r="P154" s="17" t="s">
        <v>85</v>
      </c>
    </row>
    <row r="155" spans="1:16" ht="48" customHeight="1" x14ac:dyDescent="0.3">
      <c r="A155" s="25">
        <v>8</v>
      </c>
      <c r="B155" s="25">
        <v>16</v>
      </c>
      <c r="C155" s="25" t="s">
        <v>574</v>
      </c>
      <c r="D155" s="25" t="s">
        <v>145</v>
      </c>
      <c r="E155" s="25" t="s">
        <v>589</v>
      </c>
      <c r="F155" s="25" t="s">
        <v>175</v>
      </c>
      <c r="G155" s="25">
        <v>50</v>
      </c>
      <c r="H155" s="26" t="s">
        <v>98</v>
      </c>
      <c r="I155" s="27" t="s">
        <v>590</v>
      </c>
      <c r="J155" s="26" t="s">
        <v>591</v>
      </c>
      <c r="K155" s="28" t="s">
        <v>592</v>
      </c>
      <c r="L155" s="26" t="s">
        <v>217</v>
      </c>
      <c r="M155" s="26" t="s">
        <v>131</v>
      </c>
      <c r="N155" s="26" t="s">
        <v>94</v>
      </c>
      <c r="O155" s="26" t="s">
        <v>218</v>
      </c>
      <c r="P155" s="26" t="s">
        <v>593</v>
      </c>
    </row>
    <row r="156" spans="1:16" ht="48" customHeight="1" x14ac:dyDescent="0.3">
      <c r="A156" s="14">
        <v>8</v>
      </c>
      <c r="B156" s="14">
        <v>16</v>
      </c>
      <c r="C156" s="14" t="s">
        <v>574</v>
      </c>
      <c r="D156" s="14" t="s">
        <v>145</v>
      </c>
      <c r="E156" s="14" t="s">
        <v>175</v>
      </c>
      <c r="F156" s="14" t="s">
        <v>181</v>
      </c>
      <c r="G156" s="14">
        <v>10</v>
      </c>
      <c r="H156" s="21" t="s">
        <v>135</v>
      </c>
      <c r="I156" s="22" t="s">
        <v>594</v>
      </c>
      <c r="J156" s="17" t="s">
        <v>595</v>
      </c>
      <c r="K156" s="20" t="s">
        <v>31</v>
      </c>
      <c r="L156" s="17" t="s">
        <v>596</v>
      </c>
      <c r="M156" s="17" t="s">
        <v>87</v>
      </c>
      <c r="N156" s="17" t="s">
        <v>102</v>
      </c>
      <c r="O156" s="17" t="s">
        <v>185</v>
      </c>
      <c r="P156" s="17" t="s">
        <v>446</v>
      </c>
    </row>
    <row r="157" spans="1:16" ht="24" customHeight="1" x14ac:dyDescent="0.3">
      <c r="A157" s="23" t="s">
        <v>140</v>
      </c>
      <c r="B157" s="23"/>
      <c r="C157" s="23"/>
      <c r="D157" s="23"/>
      <c r="E157" s="23"/>
      <c r="F157" s="23"/>
      <c r="G157" s="23">
        <f>SUM(G150:G156)</f>
        <v>135</v>
      </c>
      <c r="H157" s="23"/>
      <c r="I157" s="24" t="s">
        <v>597</v>
      </c>
      <c r="J157" s="24" t="s">
        <v>598</v>
      </c>
      <c r="K157" s="23"/>
      <c r="L157" s="23"/>
      <c r="M157" s="23"/>
      <c r="N157" s="23"/>
      <c r="O157" s="23"/>
      <c r="P157" s="23"/>
    </row>
    <row r="158" spans="1:16" ht="30" customHeight="1" x14ac:dyDescent="0.3">
      <c r="A158" s="5" t="s">
        <v>599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48" customHeight="1" x14ac:dyDescent="0.3">
      <c r="A159" s="14">
        <v>9</v>
      </c>
      <c r="B159" s="14">
        <v>17</v>
      </c>
      <c r="C159" s="14" t="s">
        <v>600</v>
      </c>
      <c r="D159" s="14" t="s">
        <v>79</v>
      </c>
      <c r="E159" s="14" t="s">
        <v>80</v>
      </c>
      <c r="F159" s="14" t="s">
        <v>81</v>
      </c>
      <c r="G159" s="14">
        <v>5</v>
      </c>
      <c r="H159" s="15" t="s">
        <v>82</v>
      </c>
      <c r="I159" s="16" t="s">
        <v>601</v>
      </c>
      <c r="J159" s="17" t="s">
        <v>602</v>
      </c>
      <c r="K159" s="20" t="s">
        <v>25</v>
      </c>
      <c r="L159" s="17" t="s">
        <v>86</v>
      </c>
      <c r="M159" s="17" t="s">
        <v>87</v>
      </c>
      <c r="N159" s="17" t="s">
        <v>8</v>
      </c>
      <c r="O159" s="17" t="s">
        <v>88</v>
      </c>
      <c r="P159" s="17" t="s">
        <v>326</v>
      </c>
    </row>
    <row r="160" spans="1:16" ht="48" customHeight="1" x14ac:dyDescent="0.3">
      <c r="A160" s="14">
        <v>9</v>
      </c>
      <c r="B160" s="14">
        <v>17</v>
      </c>
      <c r="C160" s="14" t="s">
        <v>600</v>
      </c>
      <c r="D160" s="14" t="s">
        <v>79</v>
      </c>
      <c r="E160" s="14" t="s">
        <v>81</v>
      </c>
      <c r="F160" s="14" t="s">
        <v>603</v>
      </c>
      <c r="G160" s="14">
        <v>15</v>
      </c>
      <c r="H160" s="18" t="s">
        <v>98</v>
      </c>
      <c r="I160" s="19" t="s">
        <v>604</v>
      </c>
      <c r="J160" s="17" t="s">
        <v>605</v>
      </c>
      <c r="K160" s="20" t="s">
        <v>25</v>
      </c>
      <c r="L160" s="17" t="s">
        <v>606</v>
      </c>
      <c r="M160" s="17" t="s">
        <v>87</v>
      </c>
      <c r="N160" s="17" t="s">
        <v>8</v>
      </c>
      <c r="O160" s="17" t="s">
        <v>88</v>
      </c>
      <c r="P160" s="17" t="s">
        <v>607</v>
      </c>
    </row>
    <row r="161" spans="1:16" ht="48" customHeight="1" x14ac:dyDescent="0.3">
      <c r="A161" s="14">
        <v>9</v>
      </c>
      <c r="B161" s="14">
        <v>17</v>
      </c>
      <c r="C161" s="14" t="s">
        <v>600</v>
      </c>
      <c r="D161" s="14" t="s">
        <v>79</v>
      </c>
      <c r="E161" s="14" t="s">
        <v>603</v>
      </c>
      <c r="F161" s="14" t="s">
        <v>393</v>
      </c>
      <c r="G161" s="14">
        <v>30</v>
      </c>
      <c r="H161" s="18" t="s">
        <v>98</v>
      </c>
      <c r="I161" s="19" t="s">
        <v>608</v>
      </c>
      <c r="J161" s="17" t="s">
        <v>609</v>
      </c>
      <c r="K161" s="20" t="s">
        <v>25</v>
      </c>
      <c r="L161" s="17" t="s">
        <v>610</v>
      </c>
      <c r="M161" s="17" t="s">
        <v>93</v>
      </c>
      <c r="N161" s="17" t="s">
        <v>94</v>
      </c>
      <c r="O161" s="17" t="s">
        <v>171</v>
      </c>
      <c r="P161" s="17" t="s">
        <v>611</v>
      </c>
    </row>
    <row r="162" spans="1:16" ht="48" customHeight="1" x14ac:dyDescent="0.3">
      <c r="A162" s="14">
        <v>9</v>
      </c>
      <c r="B162" s="14">
        <v>17</v>
      </c>
      <c r="C162" s="14" t="s">
        <v>600</v>
      </c>
      <c r="D162" s="14" t="s">
        <v>79</v>
      </c>
      <c r="E162" s="14" t="s">
        <v>393</v>
      </c>
      <c r="F162" s="14" t="s">
        <v>280</v>
      </c>
      <c r="G162" s="14">
        <v>25</v>
      </c>
      <c r="H162" s="18" t="s">
        <v>98</v>
      </c>
      <c r="I162" s="19" t="s">
        <v>612</v>
      </c>
      <c r="J162" s="17" t="s">
        <v>613</v>
      </c>
      <c r="K162" s="20" t="s">
        <v>25</v>
      </c>
      <c r="L162" s="17" t="s">
        <v>210</v>
      </c>
      <c r="M162" s="17" t="s">
        <v>93</v>
      </c>
      <c r="N162" s="17" t="s">
        <v>94</v>
      </c>
      <c r="O162" s="17" t="s">
        <v>211</v>
      </c>
      <c r="P162" s="17" t="s">
        <v>614</v>
      </c>
    </row>
    <row r="163" spans="1:16" ht="48" customHeight="1" x14ac:dyDescent="0.3">
      <c r="A163" s="14">
        <v>9</v>
      </c>
      <c r="B163" s="14">
        <v>17</v>
      </c>
      <c r="C163" s="14" t="s">
        <v>600</v>
      </c>
      <c r="D163" s="14" t="s">
        <v>79</v>
      </c>
      <c r="E163" s="14" t="s">
        <v>280</v>
      </c>
      <c r="F163" s="14" t="s">
        <v>207</v>
      </c>
      <c r="G163" s="14">
        <v>5</v>
      </c>
      <c r="H163" s="18" t="s">
        <v>98</v>
      </c>
      <c r="I163" s="19" t="s">
        <v>125</v>
      </c>
      <c r="J163" s="17" t="s">
        <v>313</v>
      </c>
      <c r="K163" s="14" t="s">
        <v>85</v>
      </c>
      <c r="L163" s="17" t="s">
        <v>85</v>
      </c>
      <c r="M163" s="17" t="s">
        <v>85</v>
      </c>
      <c r="N163" s="17" t="s">
        <v>85</v>
      </c>
      <c r="O163" s="17" t="s">
        <v>85</v>
      </c>
      <c r="P163" s="17" t="s">
        <v>85</v>
      </c>
    </row>
    <row r="164" spans="1:16" ht="48" customHeight="1" x14ac:dyDescent="0.3">
      <c r="A164" s="25">
        <v>9</v>
      </c>
      <c r="B164" s="25">
        <v>17</v>
      </c>
      <c r="C164" s="25" t="s">
        <v>600</v>
      </c>
      <c r="D164" s="25" t="s">
        <v>79</v>
      </c>
      <c r="E164" s="25" t="s">
        <v>207</v>
      </c>
      <c r="F164" s="25" t="s">
        <v>127</v>
      </c>
      <c r="G164" s="25">
        <v>40</v>
      </c>
      <c r="H164" s="26" t="s">
        <v>98</v>
      </c>
      <c r="I164" s="27" t="s">
        <v>615</v>
      </c>
      <c r="J164" s="26" t="s">
        <v>616</v>
      </c>
      <c r="K164" s="28" t="s">
        <v>410</v>
      </c>
      <c r="L164" s="26" t="s">
        <v>617</v>
      </c>
      <c r="M164" s="26" t="s">
        <v>131</v>
      </c>
      <c r="N164" s="26" t="s">
        <v>94</v>
      </c>
      <c r="O164" s="26" t="s">
        <v>218</v>
      </c>
      <c r="P164" s="26" t="s">
        <v>618</v>
      </c>
    </row>
    <row r="165" spans="1:16" ht="48" customHeight="1" x14ac:dyDescent="0.3">
      <c r="A165" s="14">
        <v>9</v>
      </c>
      <c r="B165" s="14">
        <v>17</v>
      </c>
      <c r="C165" s="14" t="s">
        <v>600</v>
      </c>
      <c r="D165" s="14" t="s">
        <v>79</v>
      </c>
      <c r="E165" s="14" t="s">
        <v>127</v>
      </c>
      <c r="F165" s="14" t="s">
        <v>134</v>
      </c>
      <c r="G165" s="14">
        <v>15</v>
      </c>
      <c r="H165" s="21" t="s">
        <v>135</v>
      </c>
      <c r="I165" s="22" t="s">
        <v>619</v>
      </c>
      <c r="J165" s="17" t="s">
        <v>620</v>
      </c>
      <c r="K165" s="20" t="s">
        <v>410</v>
      </c>
      <c r="L165" s="17" t="s">
        <v>621</v>
      </c>
      <c r="M165" s="17" t="s">
        <v>87</v>
      </c>
      <c r="N165" s="17" t="s">
        <v>8</v>
      </c>
      <c r="O165" s="17" t="s">
        <v>622</v>
      </c>
      <c r="P165" s="17" t="s">
        <v>623</v>
      </c>
    </row>
    <row r="166" spans="1:16" ht="24" customHeight="1" x14ac:dyDescent="0.3">
      <c r="A166" s="23" t="s">
        <v>140</v>
      </c>
      <c r="B166" s="23"/>
      <c r="C166" s="23"/>
      <c r="D166" s="23"/>
      <c r="E166" s="23"/>
      <c r="F166" s="23"/>
      <c r="G166" s="23">
        <f>SUM(G159:G165)</f>
        <v>135</v>
      </c>
      <c r="H166" s="23"/>
      <c r="I166" s="24" t="s">
        <v>624</v>
      </c>
      <c r="J166" s="24" t="s">
        <v>625</v>
      </c>
      <c r="K166" s="23"/>
      <c r="L166" s="23"/>
      <c r="M166" s="23"/>
      <c r="N166" s="23"/>
      <c r="O166" s="23"/>
      <c r="P166" s="23"/>
    </row>
    <row r="167" spans="1:16" ht="30" customHeight="1" x14ac:dyDescent="0.3">
      <c r="A167" s="5" t="s">
        <v>626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48" customHeight="1" x14ac:dyDescent="0.3">
      <c r="A168" s="14">
        <v>9</v>
      </c>
      <c r="B168" s="14">
        <v>18</v>
      </c>
      <c r="C168" s="14" t="s">
        <v>627</v>
      </c>
      <c r="D168" s="14" t="s">
        <v>145</v>
      </c>
      <c r="E168" s="14" t="s">
        <v>146</v>
      </c>
      <c r="F168" s="14" t="s">
        <v>147</v>
      </c>
      <c r="G168" s="14">
        <v>5</v>
      </c>
      <c r="H168" s="15" t="s">
        <v>82</v>
      </c>
      <c r="I168" s="16" t="s">
        <v>628</v>
      </c>
      <c r="J168" s="17" t="s">
        <v>629</v>
      </c>
      <c r="K168" s="14" t="s">
        <v>85</v>
      </c>
      <c r="L168" s="17" t="s">
        <v>621</v>
      </c>
      <c r="M168" s="17" t="s">
        <v>87</v>
      </c>
      <c r="N168" s="17" t="s">
        <v>8</v>
      </c>
      <c r="O168" s="17" t="s">
        <v>630</v>
      </c>
      <c r="P168" s="17" t="s">
        <v>631</v>
      </c>
    </row>
    <row r="169" spans="1:16" ht="48" customHeight="1" x14ac:dyDescent="0.3">
      <c r="A169" s="33">
        <v>9</v>
      </c>
      <c r="B169" s="33">
        <v>18</v>
      </c>
      <c r="C169" s="33" t="s">
        <v>627</v>
      </c>
      <c r="D169" s="33" t="s">
        <v>145</v>
      </c>
      <c r="E169" s="33" t="s">
        <v>147</v>
      </c>
      <c r="F169" s="33" t="s">
        <v>491</v>
      </c>
      <c r="G169" s="33">
        <v>90</v>
      </c>
      <c r="H169" s="34" t="s">
        <v>98</v>
      </c>
      <c r="I169" s="35" t="s">
        <v>632</v>
      </c>
      <c r="J169" s="34" t="s">
        <v>633</v>
      </c>
      <c r="K169" s="36" t="s">
        <v>410</v>
      </c>
      <c r="L169" s="34" t="s">
        <v>634</v>
      </c>
      <c r="M169" s="34" t="s">
        <v>131</v>
      </c>
      <c r="N169" s="34" t="s">
        <v>94</v>
      </c>
      <c r="O169" s="34" t="s">
        <v>635</v>
      </c>
      <c r="P169" s="34" t="s">
        <v>636</v>
      </c>
    </row>
    <row r="170" spans="1:16" ht="48" customHeight="1" x14ac:dyDescent="0.3">
      <c r="A170" s="14">
        <v>9</v>
      </c>
      <c r="B170" s="14">
        <v>18</v>
      </c>
      <c r="C170" s="14" t="s">
        <v>627</v>
      </c>
      <c r="D170" s="14" t="s">
        <v>145</v>
      </c>
      <c r="E170" s="14" t="s">
        <v>491</v>
      </c>
      <c r="F170" s="14" t="s">
        <v>541</v>
      </c>
      <c r="G170" s="14">
        <v>5</v>
      </c>
      <c r="H170" s="18" t="s">
        <v>98</v>
      </c>
      <c r="I170" s="19" t="s">
        <v>125</v>
      </c>
      <c r="J170" s="17" t="s">
        <v>637</v>
      </c>
      <c r="K170" s="14" t="s">
        <v>85</v>
      </c>
      <c r="L170" s="17" t="s">
        <v>85</v>
      </c>
      <c r="M170" s="17" t="s">
        <v>85</v>
      </c>
      <c r="N170" s="17" t="s">
        <v>85</v>
      </c>
      <c r="O170" s="17" t="s">
        <v>85</v>
      </c>
      <c r="P170" s="17" t="s">
        <v>85</v>
      </c>
    </row>
    <row r="171" spans="1:16" ht="48" customHeight="1" x14ac:dyDescent="0.3">
      <c r="A171" s="14">
        <v>9</v>
      </c>
      <c r="B171" s="14">
        <v>18</v>
      </c>
      <c r="C171" s="14" t="s">
        <v>627</v>
      </c>
      <c r="D171" s="14" t="s">
        <v>145</v>
      </c>
      <c r="E171" s="14" t="s">
        <v>541</v>
      </c>
      <c r="F171" s="14" t="s">
        <v>175</v>
      </c>
      <c r="G171" s="14">
        <v>25</v>
      </c>
      <c r="H171" s="21" t="s">
        <v>135</v>
      </c>
      <c r="I171" s="22" t="s">
        <v>638</v>
      </c>
      <c r="J171" s="17" t="s">
        <v>639</v>
      </c>
      <c r="K171" s="20" t="s">
        <v>410</v>
      </c>
      <c r="L171" s="17" t="s">
        <v>640</v>
      </c>
      <c r="M171" s="17" t="s">
        <v>131</v>
      </c>
      <c r="N171" s="17" t="s">
        <v>8</v>
      </c>
      <c r="O171" s="17" t="s">
        <v>641</v>
      </c>
      <c r="P171" s="17" t="s">
        <v>642</v>
      </c>
    </row>
    <row r="172" spans="1:16" ht="48" customHeight="1" x14ac:dyDescent="0.3">
      <c r="A172" s="14">
        <v>9</v>
      </c>
      <c r="B172" s="14">
        <v>18</v>
      </c>
      <c r="C172" s="14" t="s">
        <v>627</v>
      </c>
      <c r="D172" s="14" t="s">
        <v>145</v>
      </c>
      <c r="E172" s="14" t="s">
        <v>175</v>
      </c>
      <c r="F172" s="14" t="s">
        <v>181</v>
      </c>
      <c r="G172" s="14">
        <v>10</v>
      </c>
      <c r="H172" s="21" t="s">
        <v>135</v>
      </c>
      <c r="I172" s="22" t="s">
        <v>643</v>
      </c>
      <c r="J172" s="17" t="s">
        <v>644</v>
      </c>
      <c r="K172" s="20" t="s">
        <v>645</v>
      </c>
      <c r="L172" s="17" t="s">
        <v>646</v>
      </c>
      <c r="M172" s="17" t="s">
        <v>87</v>
      </c>
      <c r="N172" s="17" t="s">
        <v>8</v>
      </c>
      <c r="O172" s="17" t="s">
        <v>288</v>
      </c>
      <c r="P172" s="17" t="s">
        <v>139</v>
      </c>
    </row>
    <row r="173" spans="1:16" ht="24" customHeight="1" x14ac:dyDescent="0.3">
      <c r="A173" s="23" t="s">
        <v>140</v>
      </c>
      <c r="B173" s="23"/>
      <c r="C173" s="23"/>
      <c r="D173" s="23"/>
      <c r="E173" s="23"/>
      <c r="F173" s="23"/>
      <c r="G173" s="23">
        <f>SUM(G168:G172)</f>
        <v>135</v>
      </c>
      <c r="H173" s="23"/>
      <c r="I173" s="24" t="s">
        <v>647</v>
      </c>
      <c r="J173" s="24" t="s">
        <v>648</v>
      </c>
      <c r="K173" s="23"/>
      <c r="L173" s="23"/>
      <c r="M173" s="23"/>
      <c r="N173" s="23"/>
      <c r="O173" s="23"/>
      <c r="P173" s="23"/>
    </row>
    <row r="174" spans="1:16" ht="30" customHeight="1" x14ac:dyDescent="0.3">
      <c r="A174" s="5" t="s">
        <v>649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48" customHeight="1" x14ac:dyDescent="0.3">
      <c r="A175" s="14">
        <v>10</v>
      </c>
      <c r="B175" s="14">
        <v>19</v>
      </c>
      <c r="C175" s="14" t="s">
        <v>650</v>
      </c>
      <c r="D175" s="14" t="s">
        <v>79</v>
      </c>
      <c r="E175" s="14" t="s">
        <v>80</v>
      </c>
      <c r="F175" s="14" t="s">
        <v>81</v>
      </c>
      <c r="G175" s="14">
        <v>5</v>
      </c>
      <c r="H175" s="15" t="s">
        <v>82</v>
      </c>
      <c r="I175" s="16" t="s">
        <v>148</v>
      </c>
      <c r="J175" s="17" t="s">
        <v>651</v>
      </c>
      <c r="K175" s="14" t="s">
        <v>85</v>
      </c>
      <c r="L175" s="17" t="s">
        <v>652</v>
      </c>
      <c r="M175" s="17" t="s">
        <v>93</v>
      </c>
      <c r="N175" s="17" t="s">
        <v>94</v>
      </c>
      <c r="O175" s="17" t="s">
        <v>88</v>
      </c>
      <c r="P175" s="17" t="s">
        <v>653</v>
      </c>
    </row>
    <row r="176" spans="1:16" ht="48" customHeight="1" x14ac:dyDescent="0.3">
      <c r="A176" s="14">
        <v>10</v>
      </c>
      <c r="B176" s="14">
        <v>19</v>
      </c>
      <c r="C176" s="14" t="s">
        <v>650</v>
      </c>
      <c r="D176" s="14" t="s">
        <v>79</v>
      </c>
      <c r="E176" s="14" t="s">
        <v>81</v>
      </c>
      <c r="F176" s="14" t="s">
        <v>89</v>
      </c>
      <c r="G176" s="14">
        <v>10</v>
      </c>
      <c r="H176" s="18" t="s">
        <v>98</v>
      </c>
      <c r="I176" s="19" t="s">
        <v>654</v>
      </c>
      <c r="J176" s="17" t="s">
        <v>655</v>
      </c>
      <c r="K176" s="20" t="s">
        <v>25</v>
      </c>
      <c r="L176" s="17" t="s">
        <v>656</v>
      </c>
      <c r="M176" s="17" t="s">
        <v>87</v>
      </c>
      <c r="N176" s="17" t="s">
        <v>8</v>
      </c>
      <c r="O176" s="17" t="s">
        <v>88</v>
      </c>
      <c r="P176" s="17" t="s">
        <v>657</v>
      </c>
    </row>
    <row r="177" spans="1:16" ht="48" customHeight="1" x14ac:dyDescent="0.3">
      <c r="A177" s="14">
        <v>10</v>
      </c>
      <c r="B177" s="14">
        <v>19</v>
      </c>
      <c r="C177" s="14" t="s">
        <v>650</v>
      </c>
      <c r="D177" s="14" t="s">
        <v>79</v>
      </c>
      <c r="E177" s="14" t="s">
        <v>89</v>
      </c>
      <c r="F177" s="14" t="s">
        <v>199</v>
      </c>
      <c r="G177" s="14">
        <v>30</v>
      </c>
      <c r="H177" s="18" t="s">
        <v>98</v>
      </c>
      <c r="I177" s="19" t="s">
        <v>658</v>
      </c>
      <c r="J177" s="17" t="s">
        <v>659</v>
      </c>
      <c r="K177" s="20" t="s">
        <v>25</v>
      </c>
      <c r="L177" s="17" t="s">
        <v>660</v>
      </c>
      <c r="M177" s="17" t="s">
        <v>93</v>
      </c>
      <c r="N177" s="17" t="s">
        <v>94</v>
      </c>
      <c r="O177" s="17" t="s">
        <v>171</v>
      </c>
      <c r="P177" s="17" t="s">
        <v>661</v>
      </c>
    </row>
    <row r="178" spans="1:16" ht="48" customHeight="1" x14ac:dyDescent="0.3">
      <c r="A178" s="14">
        <v>10</v>
      </c>
      <c r="B178" s="14">
        <v>19</v>
      </c>
      <c r="C178" s="14" t="s">
        <v>650</v>
      </c>
      <c r="D178" s="14" t="s">
        <v>79</v>
      </c>
      <c r="E178" s="14" t="s">
        <v>199</v>
      </c>
      <c r="F178" s="14" t="s">
        <v>112</v>
      </c>
      <c r="G178" s="14">
        <v>20</v>
      </c>
      <c r="H178" s="18" t="s">
        <v>98</v>
      </c>
      <c r="I178" s="19" t="s">
        <v>662</v>
      </c>
      <c r="J178" s="17" t="s">
        <v>663</v>
      </c>
      <c r="K178" s="20" t="s">
        <v>25</v>
      </c>
      <c r="L178" s="17" t="s">
        <v>210</v>
      </c>
      <c r="M178" s="17" t="s">
        <v>93</v>
      </c>
      <c r="N178" s="17" t="s">
        <v>94</v>
      </c>
      <c r="O178" s="17" t="s">
        <v>211</v>
      </c>
      <c r="P178" s="17" t="s">
        <v>664</v>
      </c>
    </row>
    <row r="179" spans="1:16" ht="48" customHeight="1" x14ac:dyDescent="0.3">
      <c r="A179" s="29">
        <v>10</v>
      </c>
      <c r="B179" s="29">
        <v>19</v>
      </c>
      <c r="C179" s="29" t="s">
        <v>650</v>
      </c>
      <c r="D179" s="29" t="s">
        <v>79</v>
      </c>
      <c r="E179" s="29" t="s">
        <v>112</v>
      </c>
      <c r="F179" s="29" t="s">
        <v>207</v>
      </c>
      <c r="G179" s="29">
        <v>15</v>
      </c>
      <c r="H179" s="30" t="s">
        <v>336</v>
      </c>
      <c r="I179" s="31" t="s">
        <v>665</v>
      </c>
      <c r="J179" s="30" t="s">
        <v>666</v>
      </c>
      <c r="K179" s="32" t="s">
        <v>35</v>
      </c>
      <c r="L179" s="30" t="s">
        <v>457</v>
      </c>
      <c r="M179" s="30" t="s">
        <v>87</v>
      </c>
      <c r="N179" s="30" t="s">
        <v>8</v>
      </c>
      <c r="O179" s="30" t="s">
        <v>458</v>
      </c>
      <c r="P179" s="30" t="s">
        <v>667</v>
      </c>
    </row>
    <row r="180" spans="1:16" ht="48" customHeight="1" x14ac:dyDescent="0.3">
      <c r="A180" s="14">
        <v>10</v>
      </c>
      <c r="B180" s="14">
        <v>19</v>
      </c>
      <c r="C180" s="14" t="s">
        <v>650</v>
      </c>
      <c r="D180" s="14" t="s">
        <v>79</v>
      </c>
      <c r="E180" s="14" t="s">
        <v>207</v>
      </c>
      <c r="F180" s="14" t="s">
        <v>117</v>
      </c>
      <c r="G180" s="14">
        <v>5</v>
      </c>
      <c r="H180" s="18" t="s">
        <v>98</v>
      </c>
      <c r="I180" s="19" t="s">
        <v>125</v>
      </c>
      <c r="J180" s="17" t="s">
        <v>313</v>
      </c>
      <c r="K180" s="14" t="s">
        <v>85</v>
      </c>
      <c r="L180" s="17" t="s">
        <v>85</v>
      </c>
      <c r="M180" s="17" t="s">
        <v>85</v>
      </c>
      <c r="N180" s="17" t="s">
        <v>85</v>
      </c>
      <c r="O180" s="17" t="s">
        <v>85</v>
      </c>
      <c r="P180" s="17" t="s">
        <v>85</v>
      </c>
    </row>
    <row r="181" spans="1:16" ht="48" customHeight="1" x14ac:dyDescent="0.3">
      <c r="A181" s="25">
        <v>10</v>
      </c>
      <c r="B181" s="25">
        <v>19</v>
      </c>
      <c r="C181" s="25" t="s">
        <v>650</v>
      </c>
      <c r="D181" s="25" t="s">
        <v>79</v>
      </c>
      <c r="E181" s="25" t="s">
        <v>117</v>
      </c>
      <c r="F181" s="25" t="s">
        <v>214</v>
      </c>
      <c r="G181" s="25">
        <v>40</v>
      </c>
      <c r="H181" s="26" t="s">
        <v>98</v>
      </c>
      <c r="I181" s="27" t="s">
        <v>668</v>
      </c>
      <c r="J181" s="26" t="s">
        <v>669</v>
      </c>
      <c r="K181" s="28" t="s">
        <v>35</v>
      </c>
      <c r="L181" s="26" t="s">
        <v>217</v>
      </c>
      <c r="M181" s="26" t="s">
        <v>131</v>
      </c>
      <c r="N181" s="26" t="s">
        <v>94</v>
      </c>
      <c r="O181" s="26" t="s">
        <v>218</v>
      </c>
      <c r="P181" s="26" t="s">
        <v>670</v>
      </c>
    </row>
    <row r="182" spans="1:16" ht="48" customHeight="1" x14ac:dyDescent="0.3">
      <c r="A182" s="14">
        <v>10</v>
      </c>
      <c r="B182" s="14">
        <v>19</v>
      </c>
      <c r="C182" s="14" t="s">
        <v>650</v>
      </c>
      <c r="D182" s="14" t="s">
        <v>79</v>
      </c>
      <c r="E182" s="14" t="s">
        <v>214</v>
      </c>
      <c r="F182" s="14" t="s">
        <v>134</v>
      </c>
      <c r="G182" s="14">
        <v>10</v>
      </c>
      <c r="H182" s="21" t="s">
        <v>135</v>
      </c>
      <c r="I182" s="22" t="s">
        <v>671</v>
      </c>
      <c r="J182" s="17" t="s">
        <v>672</v>
      </c>
      <c r="K182" s="20" t="s">
        <v>35</v>
      </c>
      <c r="L182" s="17" t="s">
        <v>673</v>
      </c>
      <c r="M182" s="17" t="s">
        <v>131</v>
      </c>
      <c r="N182" s="17" t="s">
        <v>94</v>
      </c>
      <c r="O182" s="17" t="s">
        <v>253</v>
      </c>
      <c r="P182" s="17" t="s">
        <v>674</v>
      </c>
    </row>
    <row r="183" spans="1:16" ht="24" customHeight="1" x14ac:dyDescent="0.3">
      <c r="A183" s="23" t="s">
        <v>140</v>
      </c>
      <c r="B183" s="23"/>
      <c r="C183" s="23"/>
      <c r="D183" s="23"/>
      <c r="E183" s="23"/>
      <c r="F183" s="23"/>
      <c r="G183" s="23">
        <f>SUM(G175:G182)</f>
        <v>135</v>
      </c>
      <c r="H183" s="23"/>
      <c r="I183" s="24" t="s">
        <v>675</v>
      </c>
      <c r="J183" s="24" t="s">
        <v>676</v>
      </c>
      <c r="K183" s="23"/>
      <c r="L183" s="23"/>
      <c r="M183" s="23"/>
      <c r="N183" s="23"/>
      <c r="O183" s="23"/>
      <c r="P183" s="23"/>
    </row>
    <row r="184" spans="1:16" ht="30" customHeight="1" x14ac:dyDescent="0.3">
      <c r="A184" s="5" t="s">
        <v>677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48" customHeight="1" x14ac:dyDescent="0.3">
      <c r="A185" s="14">
        <v>10</v>
      </c>
      <c r="B185" s="14">
        <v>20</v>
      </c>
      <c r="C185" s="14" t="s">
        <v>678</v>
      </c>
      <c r="D185" s="14" t="s">
        <v>145</v>
      </c>
      <c r="E185" s="14" t="s">
        <v>146</v>
      </c>
      <c r="F185" s="14" t="s">
        <v>147</v>
      </c>
      <c r="G185" s="14">
        <v>5</v>
      </c>
      <c r="H185" s="15" t="s">
        <v>82</v>
      </c>
      <c r="I185" s="16" t="s">
        <v>679</v>
      </c>
      <c r="J185" s="17" t="s">
        <v>680</v>
      </c>
      <c r="K185" s="20" t="s">
        <v>681</v>
      </c>
      <c r="L185" s="17" t="s">
        <v>86</v>
      </c>
      <c r="M185" s="17" t="s">
        <v>87</v>
      </c>
      <c r="N185" s="17" t="s">
        <v>8</v>
      </c>
      <c r="O185" s="17" t="s">
        <v>88</v>
      </c>
      <c r="P185" s="17" t="s">
        <v>326</v>
      </c>
    </row>
    <row r="186" spans="1:16" ht="48" customHeight="1" x14ac:dyDescent="0.3">
      <c r="A186" s="14">
        <v>10</v>
      </c>
      <c r="B186" s="14">
        <v>20</v>
      </c>
      <c r="C186" s="14" t="s">
        <v>678</v>
      </c>
      <c r="D186" s="14" t="s">
        <v>145</v>
      </c>
      <c r="E186" s="14" t="s">
        <v>147</v>
      </c>
      <c r="F186" s="14" t="s">
        <v>152</v>
      </c>
      <c r="G186" s="14">
        <v>10</v>
      </c>
      <c r="H186" s="18" t="s">
        <v>98</v>
      </c>
      <c r="I186" s="19" t="s">
        <v>682</v>
      </c>
      <c r="J186" s="17" t="s">
        <v>683</v>
      </c>
      <c r="K186" s="20" t="s">
        <v>29</v>
      </c>
      <c r="L186" s="17" t="s">
        <v>684</v>
      </c>
      <c r="M186" s="17" t="s">
        <v>87</v>
      </c>
      <c r="N186" s="17" t="s">
        <v>8</v>
      </c>
      <c r="O186" s="17" t="s">
        <v>103</v>
      </c>
      <c r="P186" s="17" t="s">
        <v>685</v>
      </c>
    </row>
    <row r="187" spans="1:16" ht="48" customHeight="1" x14ac:dyDescent="0.3">
      <c r="A187" s="14">
        <v>10</v>
      </c>
      <c r="B187" s="14">
        <v>20</v>
      </c>
      <c r="C187" s="14" t="s">
        <v>678</v>
      </c>
      <c r="D187" s="14" t="s">
        <v>145</v>
      </c>
      <c r="E187" s="14" t="s">
        <v>152</v>
      </c>
      <c r="F187" s="14" t="s">
        <v>477</v>
      </c>
      <c r="G187" s="14">
        <v>20</v>
      </c>
      <c r="H187" s="18" t="s">
        <v>98</v>
      </c>
      <c r="I187" s="19" t="s">
        <v>686</v>
      </c>
      <c r="J187" s="17" t="s">
        <v>687</v>
      </c>
      <c r="K187" s="20" t="s">
        <v>29</v>
      </c>
      <c r="L187" s="17" t="s">
        <v>688</v>
      </c>
      <c r="M187" s="17" t="s">
        <v>121</v>
      </c>
      <c r="N187" s="17" t="s">
        <v>94</v>
      </c>
      <c r="O187" s="17" t="s">
        <v>110</v>
      </c>
      <c r="P187" s="17" t="s">
        <v>689</v>
      </c>
    </row>
    <row r="188" spans="1:16" ht="48" customHeight="1" x14ac:dyDescent="0.3">
      <c r="A188" s="29">
        <v>10</v>
      </c>
      <c r="B188" s="29">
        <v>20</v>
      </c>
      <c r="C188" s="29" t="s">
        <v>678</v>
      </c>
      <c r="D188" s="29" t="s">
        <v>145</v>
      </c>
      <c r="E188" s="29" t="s">
        <v>477</v>
      </c>
      <c r="F188" s="29" t="s">
        <v>300</v>
      </c>
      <c r="G188" s="29">
        <v>15</v>
      </c>
      <c r="H188" s="30" t="s">
        <v>336</v>
      </c>
      <c r="I188" s="31" t="s">
        <v>690</v>
      </c>
      <c r="J188" s="30" t="s">
        <v>691</v>
      </c>
      <c r="K188" s="32" t="s">
        <v>692</v>
      </c>
      <c r="L188" s="30" t="s">
        <v>693</v>
      </c>
      <c r="M188" s="30" t="s">
        <v>87</v>
      </c>
      <c r="N188" s="30" t="s">
        <v>8</v>
      </c>
      <c r="O188" s="30" t="s">
        <v>458</v>
      </c>
      <c r="P188" s="30" t="s">
        <v>694</v>
      </c>
    </row>
    <row r="189" spans="1:16" ht="48" customHeight="1" x14ac:dyDescent="0.3">
      <c r="A189" s="14">
        <v>10</v>
      </c>
      <c r="B189" s="14">
        <v>20</v>
      </c>
      <c r="C189" s="14" t="s">
        <v>678</v>
      </c>
      <c r="D189" s="14" t="s">
        <v>145</v>
      </c>
      <c r="E189" s="14" t="s">
        <v>300</v>
      </c>
      <c r="F189" s="14" t="s">
        <v>162</v>
      </c>
      <c r="G189" s="14">
        <v>5</v>
      </c>
      <c r="H189" s="18" t="s">
        <v>98</v>
      </c>
      <c r="I189" s="19" t="s">
        <v>125</v>
      </c>
      <c r="J189" s="17" t="s">
        <v>695</v>
      </c>
      <c r="K189" s="14" t="s">
        <v>85</v>
      </c>
      <c r="L189" s="17" t="s">
        <v>85</v>
      </c>
      <c r="M189" s="17" t="s">
        <v>85</v>
      </c>
      <c r="N189" s="17" t="s">
        <v>85</v>
      </c>
      <c r="O189" s="17" t="s">
        <v>85</v>
      </c>
      <c r="P189" s="17" t="s">
        <v>85</v>
      </c>
    </row>
    <row r="190" spans="1:16" ht="48" customHeight="1" x14ac:dyDescent="0.3">
      <c r="A190" s="25">
        <v>10</v>
      </c>
      <c r="B190" s="25">
        <v>20</v>
      </c>
      <c r="C190" s="25" t="s">
        <v>678</v>
      </c>
      <c r="D190" s="25" t="s">
        <v>145</v>
      </c>
      <c r="E190" s="25" t="s">
        <v>162</v>
      </c>
      <c r="F190" s="25" t="s">
        <v>696</v>
      </c>
      <c r="G190" s="25">
        <v>60</v>
      </c>
      <c r="H190" s="26" t="s">
        <v>98</v>
      </c>
      <c r="I190" s="27" t="s">
        <v>697</v>
      </c>
      <c r="J190" s="26" t="s">
        <v>698</v>
      </c>
      <c r="K190" s="28" t="s">
        <v>692</v>
      </c>
      <c r="L190" s="26" t="s">
        <v>699</v>
      </c>
      <c r="M190" s="26" t="s">
        <v>131</v>
      </c>
      <c r="N190" s="26" t="s">
        <v>94</v>
      </c>
      <c r="O190" s="26" t="s">
        <v>218</v>
      </c>
      <c r="P190" s="26" t="s">
        <v>700</v>
      </c>
    </row>
    <row r="191" spans="1:16" ht="48" customHeight="1" x14ac:dyDescent="0.3">
      <c r="A191" s="14">
        <v>10</v>
      </c>
      <c r="B191" s="14">
        <v>20</v>
      </c>
      <c r="C191" s="14" t="s">
        <v>678</v>
      </c>
      <c r="D191" s="14" t="s">
        <v>145</v>
      </c>
      <c r="E191" s="14" t="s">
        <v>696</v>
      </c>
      <c r="F191" s="14" t="s">
        <v>175</v>
      </c>
      <c r="G191" s="14">
        <v>10</v>
      </c>
      <c r="H191" s="21" t="s">
        <v>135</v>
      </c>
      <c r="I191" s="22" t="s">
        <v>701</v>
      </c>
      <c r="J191" s="17" t="s">
        <v>702</v>
      </c>
      <c r="K191" s="20" t="s">
        <v>39</v>
      </c>
      <c r="L191" s="17" t="s">
        <v>353</v>
      </c>
      <c r="M191" s="17" t="s">
        <v>87</v>
      </c>
      <c r="N191" s="17" t="s">
        <v>102</v>
      </c>
      <c r="O191" s="17" t="s">
        <v>185</v>
      </c>
      <c r="P191" s="17" t="s">
        <v>703</v>
      </c>
    </row>
    <row r="192" spans="1:16" ht="48" customHeight="1" x14ac:dyDescent="0.3">
      <c r="A192" s="14">
        <v>10</v>
      </c>
      <c r="B192" s="14">
        <v>20</v>
      </c>
      <c r="C192" s="14" t="s">
        <v>678</v>
      </c>
      <c r="D192" s="14" t="s">
        <v>145</v>
      </c>
      <c r="E192" s="14" t="s">
        <v>175</v>
      </c>
      <c r="F192" s="14" t="s">
        <v>181</v>
      </c>
      <c r="G192" s="14">
        <v>10</v>
      </c>
      <c r="H192" s="21" t="s">
        <v>135</v>
      </c>
      <c r="I192" s="22" t="s">
        <v>704</v>
      </c>
      <c r="J192" s="17" t="s">
        <v>705</v>
      </c>
      <c r="K192" s="20" t="s">
        <v>681</v>
      </c>
      <c r="L192" s="17" t="s">
        <v>287</v>
      </c>
      <c r="M192" s="17" t="s">
        <v>87</v>
      </c>
      <c r="N192" s="17" t="s">
        <v>8</v>
      </c>
      <c r="O192" s="17" t="s">
        <v>288</v>
      </c>
      <c r="P192" s="17" t="s">
        <v>706</v>
      </c>
    </row>
    <row r="193" spans="1:16" ht="24" customHeight="1" x14ac:dyDescent="0.3">
      <c r="A193" s="23" t="s">
        <v>140</v>
      </c>
      <c r="B193" s="23"/>
      <c r="C193" s="23"/>
      <c r="D193" s="23"/>
      <c r="E193" s="23"/>
      <c r="F193" s="23"/>
      <c r="G193" s="23">
        <f>SUM(G185:G192)</f>
        <v>135</v>
      </c>
      <c r="H193" s="23"/>
      <c r="I193" s="24" t="s">
        <v>707</v>
      </c>
      <c r="J193" s="24" t="s">
        <v>708</v>
      </c>
      <c r="K193" s="23"/>
      <c r="L193" s="23"/>
      <c r="M193" s="23"/>
      <c r="N193" s="23"/>
      <c r="O193" s="23"/>
      <c r="P193" s="23"/>
    </row>
  </sheetData>
  <mergeCells count="21">
    <mergeCell ref="A184:P184"/>
    <mergeCell ref="A140:P140"/>
    <mergeCell ref="A149:P149"/>
    <mergeCell ref="A158:P158"/>
    <mergeCell ref="A167:P167"/>
    <mergeCell ref="A174:P174"/>
    <mergeCell ref="A91:P91"/>
    <mergeCell ref="A101:P101"/>
    <mergeCell ref="A111:P111"/>
    <mergeCell ref="A121:P121"/>
    <mergeCell ref="A130:P130"/>
    <mergeCell ref="A43:P43"/>
    <mergeCell ref="A52:P52"/>
    <mergeCell ref="A62:P62"/>
    <mergeCell ref="A72:P72"/>
    <mergeCell ref="A82:P82"/>
    <mergeCell ref="A1:P1"/>
    <mergeCell ref="A3:P3"/>
    <mergeCell ref="A14:P14"/>
    <mergeCell ref="A24:P24"/>
    <mergeCell ref="A34:P3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3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1" customWidth="1"/>
    <col min="4" max="4" width="10" customWidth="1"/>
    <col min="5" max="5" width="7" customWidth="1"/>
    <col min="6" max="6" width="44" customWidth="1"/>
    <col min="7" max="7" width="54" customWidth="1"/>
    <col min="8" max="8" width="20" customWidth="1"/>
    <col min="9" max="10" width="42" customWidth="1"/>
    <col min="11" max="11" width="11" customWidth="1"/>
    <col min="12" max="12" width="13" customWidth="1"/>
    <col min="13" max="15" width="12" customWidth="1"/>
  </cols>
  <sheetData>
    <row r="1" spans="1:15" ht="25.5" customHeight="1" x14ac:dyDescent="0.3">
      <c r="A1" s="6" t="s">
        <v>709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3.75" customHeight="1" x14ac:dyDescent="0.3">
      <c r="A2" s="13" t="s">
        <v>61</v>
      </c>
      <c r="B2" s="13" t="s">
        <v>62</v>
      </c>
      <c r="C2" s="13" t="s">
        <v>63</v>
      </c>
      <c r="D2" s="13" t="s">
        <v>64</v>
      </c>
      <c r="E2" s="13" t="s">
        <v>67</v>
      </c>
      <c r="F2" s="13" t="s">
        <v>710</v>
      </c>
      <c r="G2" s="13" t="s">
        <v>711</v>
      </c>
      <c r="H2" s="13" t="s">
        <v>71</v>
      </c>
      <c r="I2" s="13" t="s">
        <v>712</v>
      </c>
      <c r="J2" s="13" t="s">
        <v>713</v>
      </c>
      <c r="K2" s="13" t="s">
        <v>714</v>
      </c>
      <c r="L2" s="13" t="s">
        <v>715</v>
      </c>
      <c r="M2" s="13" t="s">
        <v>716</v>
      </c>
      <c r="N2" s="13" t="s">
        <v>717</v>
      </c>
      <c r="O2" s="13" t="s">
        <v>718</v>
      </c>
    </row>
    <row r="3" spans="1:15" ht="61.5" customHeight="1" x14ac:dyDescent="0.3">
      <c r="A3" s="37">
        <v>1</v>
      </c>
      <c r="B3" s="37">
        <v>1</v>
      </c>
      <c r="C3" s="37" t="s">
        <v>78</v>
      </c>
      <c r="D3" s="37" t="s">
        <v>79</v>
      </c>
      <c r="E3" s="37">
        <v>135</v>
      </c>
      <c r="F3" s="38" t="s">
        <v>719</v>
      </c>
      <c r="G3" s="38" t="s">
        <v>720</v>
      </c>
      <c r="H3" s="39" t="s">
        <v>25</v>
      </c>
      <c r="I3" s="38" t="s">
        <v>721</v>
      </c>
      <c r="J3" s="38" t="s">
        <v>722</v>
      </c>
      <c r="K3" s="37">
        <v>30</v>
      </c>
      <c r="L3" s="37">
        <v>85</v>
      </c>
      <c r="M3" s="37">
        <v>0</v>
      </c>
      <c r="N3" s="37">
        <v>0</v>
      </c>
      <c r="O3" s="40">
        <f t="shared" ref="O3:O23" si="0">ROUND(L3/E3,3)</f>
        <v>0.63</v>
      </c>
    </row>
    <row r="4" spans="1:15" ht="61.5" customHeight="1" x14ac:dyDescent="0.3">
      <c r="A4" s="41">
        <v>1</v>
      </c>
      <c r="B4" s="41">
        <v>2</v>
      </c>
      <c r="C4" s="41" t="s">
        <v>144</v>
      </c>
      <c r="D4" s="41" t="s">
        <v>145</v>
      </c>
      <c r="E4" s="41">
        <v>135</v>
      </c>
      <c r="F4" s="42" t="s">
        <v>723</v>
      </c>
      <c r="G4" s="42" t="s">
        <v>724</v>
      </c>
      <c r="H4" s="43" t="s">
        <v>25</v>
      </c>
      <c r="I4" s="42" t="s">
        <v>180</v>
      </c>
      <c r="J4" s="42" t="s">
        <v>725</v>
      </c>
      <c r="K4" s="41">
        <v>20</v>
      </c>
      <c r="L4" s="41">
        <v>100</v>
      </c>
      <c r="M4" s="41">
        <v>40</v>
      </c>
      <c r="N4" s="41">
        <v>0</v>
      </c>
      <c r="O4" s="44">
        <f t="shared" si="0"/>
        <v>0.74099999999999999</v>
      </c>
    </row>
    <row r="5" spans="1:15" ht="61.5" customHeight="1" x14ac:dyDescent="0.3">
      <c r="A5" s="37">
        <v>2</v>
      </c>
      <c r="B5" s="37">
        <v>3</v>
      </c>
      <c r="C5" s="37" t="s">
        <v>190</v>
      </c>
      <c r="D5" s="37" t="s">
        <v>79</v>
      </c>
      <c r="E5" s="37">
        <v>135</v>
      </c>
      <c r="F5" s="38" t="s">
        <v>726</v>
      </c>
      <c r="G5" s="38" t="s">
        <v>727</v>
      </c>
      <c r="H5" s="39" t="s">
        <v>379</v>
      </c>
      <c r="I5" s="38" t="s">
        <v>728</v>
      </c>
      <c r="J5" s="38" t="s">
        <v>208</v>
      </c>
      <c r="K5" s="37">
        <v>10</v>
      </c>
      <c r="L5" s="37">
        <v>95</v>
      </c>
      <c r="M5" s="37">
        <v>40</v>
      </c>
      <c r="N5" s="37">
        <v>0</v>
      </c>
      <c r="O5" s="40">
        <f t="shared" si="0"/>
        <v>0.70399999999999996</v>
      </c>
    </row>
    <row r="6" spans="1:15" ht="61.5" customHeight="1" x14ac:dyDescent="0.3">
      <c r="A6" s="41">
        <v>2</v>
      </c>
      <c r="B6" s="41">
        <v>4</v>
      </c>
      <c r="C6" s="41" t="s">
        <v>227</v>
      </c>
      <c r="D6" s="41" t="s">
        <v>145</v>
      </c>
      <c r="E6" s="41">
        <v>135</v>
      </c>
      <c r="F6" s="42" t="s">
        <v>729</v>
      </c>
      <c r="G6" s="42" t="s">
        <v>730</v>
      </c>
      <c r="H6" s="43" t="s">
        <v>379</v>
      </c>
      <c r="I6" s="45" t="s">
        <v>731</v>
      </c>
      <c r="J6" s="42" t="s">
        <v>732</v>
      </c>
      <c r="K6" s="41">
        <v>30</v>
      </c>
      <c r="L6" s="41">
        <v>100</v>
      </c>
      <c r="M6" s="41">
        <v>45</v>
      </c>
      <c r="N6" s="41">
        <v>0</v>
      </c>
      <c r="O6" s="44">
        <f t="shared" si="0"/>
        <v>0.74099999999999999</v>
      </c>
    </row>
    <row r="7" spans="1:15" ht="61.5" customHeight="1" x14ac:dyDescent="0.3">
      <c r="A7" s="37">
        <v>3</v>
      </c>
      <c r="B7" s="37">
        <v>5</v>
      </c>
      <c r="C7" s="37" t="s">
        <v>262</v>
      </c>
      <c r="D7" s="37" t="s">
        <v>79</v>
      </c>
      <c r="E7" s="37">
        <v>135</v>
      </c>
      <c r="F7" s="38" t="s">
        <v>733</v>
      </c>
      <c r="G7" s="38" t="s">
        <v>734</v>
      </c>
      <c r="H7" s="39" t="s">
        <v>27</v>
      </c>
      <c r="I7" s="45" t="s">
        <v>735</v>
      </c>
      <c r="J7" s="38" t="s">
        <v>736</v>
      </c>
      <c r="K7" s="37">
        <v>25</v>
      </c>
      <c r="L7" s="37">
        <v>105</v>
      </c>
      <c r="M7" s="37">
        <v>45</v>
      </c>
      <c r="N7" s="37">
        <v>0</v>
      </c>
      <c r="O7" s="40">
        <f t="shared" si="0"/>
        <v>0.77800000000000002</v>
      </c>
    </row>
    <row r="8" spans="1:15" ht="61.5" customHeight="1" x14ac:dyDescent="0.3">
      <c r="A8" s="41">
        <v>3</v>
      </c>
      <c r="B8" s="41">
        <v>6</v>
      </c>
      <c r="C8" s="41" t="s">
        <v>293</v>
      </c>
      <c r="D8" s="41" t="s">
        <v>145</v>
      </c>
      <c r="E8" s="41">
        <v>135</v>
      </c>
      <c r="F8" s="42" t="s">
        <v>737</v>
      </c>
      <c r="G8" s="42" t="s">
        <v>738</v>
      </c>
      <c r="H8" s="43" t="s">
        <v>739</v>
      </c>
      <c r="I8" s="42" t="s">
        <v>740</v>
      </c>
      <c r="J8" s="42" t="s">
        <v>309</v>
      </c>
      <c r="K8" s="41">
        <v>25</v>
      </c>
      <c r="L8" s="41">
        <v>95</v>
      </c>
      <c r="M8" s="41">
        <v>35</v>
      </c>
      <c r="N8" s="41">
        <v>0</v>
      </c>
      <c r="O8" s="44">
        <f t="shared" si="0"/>
        <v>0.70399999999999996</v>
      </c>
    </row>
    <row r="9" spans="1:15" ht="61.5" customHeight="1" x14ac:dyDescent="0.3">
      <c r="A9" s="37">
        <v>4</v>
      </c>
      <c r="B9" s="37">
        <v>7</v>
      </c>
      <c r="C9" s="37" t="s">
        <v>323</v>
      </c>
      <c r="D9" s="37" t="s">
        <v>79</v>
      </c>
      <c r="E9" s="37">
        <v>135</v>
      </c>
      <c r="F9" s="38" t="s">
        <v>741</v>
      </c>
      <c r="G9" s="38" t="s">
        <v>742</v>
      </c>
      <c r="H9" s="39" t="s">
        <v>743</v>
      </c>
      <c r="I9" s="45" t="s">
        <v>744</v>
      </c>
      <c r="J9" s="38" t="s">
        <v>745</v>
      </c>
      <c r="K9" s="37">
        <v>30</v>
      </c>
      <c r="L9" s="37">
        <v>90</v>
      </c>
      <c r="M9" s="37">
        <v>40</v>
      </c>
      <c r="N9" s="37">
        <v>15</v>
      </c>
      <c r="O9" s="40">
        <f t="shared" si="0"/>
        <v>0.66700000000000004</v>
      </c>
    </row>
    <row r="10" spans="1:15" ht="61.5" customHeight="1" x14ac:dyDescent="0.3">
      <c r="A10" s="41">
        <v>4</v>
      </c>
      <c r="B10" s="41">
        <v>8</v>
      </c>
      <c r="C10" s="41" t="s">
        <v>358</v>
      </c>
      <c r="D10" s="41" t="s">
        <v>145</v>
      </c>
      <c r="E10" s="41">
        <v>135</v>
      </c>
      <c r="F10" s="42" t="s">
        <v>746</v>
      </c>
      <c r="G10" s="42" t="s">
        <v>747</v>
      </c>
      <c r="H10" s="43" t="s">
        <v>379</v>
      </c>
      <c r="I10" s="42" t="s">
        <v>748</v>
      </c>
      <c r="J10" s="42" t="s">
        <v>749</v>
      </c>
      <c r="K10" s="41">
        <v>20</v>
      </c>
      <c r="L10" s="41">
        <v>100</v>
      </c>
      <c r="M10" s="41">
        <v>40</v>
      </c>
      <c r="N10" s="41">
        <v>0</v>
      </c>
      <c r="O10" s="44">
        <f t="shared" si="0"/>
        <v>0.74099999999999999</v>
      </c>
    </row>
    <row r="11" spans="1:15" ht="61.5" customHeight="1" x14ac:dyDescent="0.3">
      <c r="A11" s="37">
        <v>5</v>
      </c>
      <c r="B11" s="37">
        <v>9</v>
      </c>
      <c r="C11" s="37" t="s">
        <v>386</v>
      </c>
      <c r="D11" s="37" t="s">
        <v>79</v>
      </c>
      <c r="E11" s="37">
        <v>135</v>
      </c>
      <c r="F11" s="38" t="s">
        <v>750</v>
      </c>
      <c r="G11" s="38" t="s">
        <v>751</v>
      </c>
      <c r="H11" s="39" t="s">
        <v>410</v>
      </c>
      <c r="I11" s="45" t="s">
        <v>752</v>
      </c>
      <c r="J11" s="38" t="s">
        <v>753</v>
      </c>
      <c r="K11" s="37">
        <v>10</v>
      </c>
      <c r="L11" s="37">
        <v>90</v>
      </c>
      <c r="M11" s="37">
        <v>50</v>
      </c>
      <c r="N11" s="37">
        <v>0</v>
      </c>
      <c r="O11" s="40">
        <f t="shared" si="0"/>
        <v>0.66700000000000004</v>
      </c>
    </row>
    <row r="12" spans="1:15" ht="61.5" customHeight="1" x14ac:dyDescent="0.3">
      <c r="A12" s="41">
        <v>5</v>
      </c>
      <c r="B12" s="41">
        <v>10</v>
      </c>
      <c r="C12" s="41" t="s">
        <v>417</v>
      </c>
      <c r="D12" s="41" t="s">
        <v>145</v>
      </c>
      <c r="E12" s="41">
        <v>135</v>
      </c>
      <c r="F12" s="42" t="s">
        <v>754</v>
      </c>
      <c r="G12" s="42" t="s">
        <v>755</v>
      </c>
      <c r="H12" s="43" t="s">
        <v>756</v>
      </c>
      <c r="I12" s="42" t="s">
        <v>757</v>
      </c>
      <c r="J12" s="42" t="s">
        <v>758</v>
      </c>
      <c r="K12" s="41">
        <v>20</v>
      </c>
      <c r="L12" s="41">
        <v>100</v>
      </c>
      <c r="M12" s="41">
        <v>40</v>
      </c>
      <c r="N12" s="41">
        <v>0</v>
      </c>
      <c r="O12" s="44">
        <f t="shared" si="0"/>
        <v>0.74099999999999999</v>
      </c>
    </row>
    <row r="13" spans="1:15" ht="61.5" customHeight="1" x14ac:dyDescent="0.3">
      <c r="A13" s="37">
        <v>6</v>
      </c>
      <c r="B13" s="37">
        <v>11</v>
      </c>
      <c r="C13" s="37" t="s">
        <v>443</v>
      </c>
      <c r="D13" s="37" t="s">
        <v>79</v>
      </c>
      <c r="E13" s="37">
        <v>135</v>
      </c>
      <c r="F13" s="38" t="s">
        <v>759</v>
      </c>
      <c r="G13" s="38" t="s">
        <v>760</v>
      </c>
      <c r="H13" s="39" t="s">
        <v>33</v>
      </c>
      <c r="I13" s="45" t="s">
        <v>761</v>
      </c>
      <c r="J13" s="38" t="s">
        <v>762</v>
      </c>
      <c r="K13" s="37">
        <v>35</v>
      </c>
      <c r="L13" s="37">
        <v>90</v>
      </c>
      <c r="M13" s="37">
        <v>50</v>
      </c>
      <c r="N13" s="37">
        <v>15</v>
      </c>
      <c r="O13" s="40">
        <f t="shared" si="0"/>
        <v>0.66700000000000004</v>
      </c>
    </row>
    <row r="14" spans="1:15" ht="61.5" customHeight="1" x14ac:dyDescent="0.3">
      <c r="A14" s="41">
        <v>6</v>
      </c>
      <c r="B14" s="41">
        <v>12</v>
      </c>
      <c r="C14" s="41" t="s">
        <v>472</v>
      </c>
      <c r="D14" s="41" t="s">
        <v>145</v>
      </c>
      <c r="E14" s="41">
        <v>135</v>
      </c>
      <c r="F14" s="42" t="s">
        <v>763</v>
      </c>
      <c r="G14" s="42" t="s">
        <v>764</v>
      </c>
      <c r="H14" s="43" t="s">
        <v>27</v>
      </c>
      <c r="I14" s="42" t="s">
        <v>765</v>
      </c>
      <c r="J14" s="42" t="s">
        <v>488</v>
      </c>
      <c r="K14" s="41">
        <v>10</v>
      </c>
      <c r="L14" s="41">
        <v>110</v>
      </c>
      <c r="M14" s="41">
        <v>30</v>
      </c>
      <c r="N14" s="41">
        <v>0</v>
      </c>
      <c r="O14" s="44">
        <f t="shared" si="0"/>
        <v>0.81499999999999995</v>
      </c>
    </row>
    <row r="15" spans="1:15" ht="61.5" customHeight="1" x14ac:dyDescent="0.3">
      <c r="A15" s="37">
        <v>7</v>
      </c>
      <c r="B15" s="37">
        <v>13</v>
      </c>
      <c r="C15" s="37" t="s">
        <v>499</v>
      </c>
      <c r="D15" s="37" t="s">
        <v>79</v>
      </c>
      <c r="E15" s="37">
        <v>135</v>
      </c>
      <c r="F15" s="38" t="s">
        <v>766</v>
      </c>
      <c r="G15" s="38" t="s">
        <v>767</v>
      </c>
      <c r="H15" s="39" t="s">
        <v>514</v>
      </c>
      <c r="I15" s="45" t="s">
        <v>768</v>
      </c>
      <c r="J15" s="38" t="s">
        <v>769</v>
      </c>
      <c r="K15" s="37">
        <v>15</v>
      </c>
      <c r="L15" s="37">
        <v>85</v>
      </c>
      <c r="M15" s="37">
        <v>55</v>
      </c>
      <c r="N15" s="37">
        <v>0</v>
      </c>
      <c r="O15" s="40">
        <f t="shared" si="0"/>
        <v>0.63</v>
      </c>
    </row>
    <row r="16" spans="1:15" ht="61.5" customHeight="1" x14ac:dyDescent="0.3">
      <c r="A16" s="41">
        <v>7</v>
      </c>
      <c r="B16" s="41">
        <v>14</v>
      </c>
      <c r="C16" s="41" t="s">
        <v>523</v>
      </c>
      <c r="D16" s="41" t="s">
        <v>145</v>
      </c>
      <c r="E16" s="41">
        <v>135</v>
      </c>
      <c r="F16" s="42" t="s">
        <v>770</v>
      </c>
      <c r="G16" s="42" t="s">
        <v>771</v>
      </c>
      <c r="H16" s="43" t="s">
        <v>544</v>
      </c>
      <c r="I16" s="42" t="s">
        <v>548</v>
      </c>
      <c r="J16" s="42" t="s">
        <v>772</v>
      </c>
      <c r="K16" s="41">
        <v>25</v>
      </c>
      <c r="L16" s="41">
        <v>105</v>
      </c>
      <c r="M16" s="41">
        <v>30</v>
      </c>
      <c r="N16" s="41">
        <v>0</v>
      </c>
      <c r="O16" s="44">
        <f t="shared" si="0"/>
        <v>0.77800000000000002</v>
      </c>
    </row>
    <row r="17" spans="1:15" ht="61.5" customHeight="1" x14ac:dyDescent="0.3">
      <c r="A17" s="37">
        <v>8</v>
      </c>
      <c r="B17" s="37">
        <v>15</v>
      </c>
      <c r="C17" s="37" t="s">
        <v>552</v>
      </c>
      <c r="D17" s="37" t="s">
        <v>79</v>
      </c>
      <c r="E17" s="37">
        <v>135</v>
      </c>
      <c r="F17" s="38" t="s">
        <v>773</v>
      </c>
      <c r="G17" s="38" t="s">
        <v>774</v>
      </c>
      <c r="H17" s="39" t="s">
        <v>35</v>
      </c>
      <c r="I17" s="45" t="s">
        <v>775</v>
      </c>
      <c r="J17" s="38" t="s">
        <v>776</v>
      </c>
      <c r="K17" s="37">
        <v>30</v>
      </c>
      <c r="L17" s="37">
        <v>100</v>
      </c>
      <c r="M17" s="37">
        <v>50</v>
      </c>
      <c r="N17" s="37">
        <v>15</v>
      </c>
      <c r="O17" s="40">
        <f t="shared" si="0"/>
        <v>0.74099999999999999</v>
      </c>
    </row>
    <row r="18" spans="1:15" ht="61.5" customHeight="1" x14ac:dyDescent="0.3">
      <c r="A18" s="41">
        <v>8</v>
      </c>
      <c r="B18" s="41">
        <v>16</v>
      </c>
      <c r="C18" s="41" t="s">
        <v>574</v>
      </c>
      <c r="D18" s="41" t="s">
        <v>145</v>
      </c>
      <c r="E18" s="41">
        <v>135</v>
      </c>
      <c r="F18" s="42" t="s">
        <v>777</v>
      </c>
      <c r="G18" s="42" t="s">
        <v>778</v>
      </c>
      <c r="H18" s="43" t="s">
        <v>592</v>
      </c>
      <c r="I18" s="42" t="s">
        <v>779</v>
      </c>
      <c r="J18" s="42" t="s">
        <v>780</v>
      </c>
      <c r="K18" s="41">
        <v>25</v>
      </c>
      <c r="L18" s="41">
        <v>95</v>
      </c>
      <c r="M18" s="41">
        <v>50</v>
      </c>
      <c r="N18" s="41">
        <v>0</v>
      </c>
      <c r="O18" s="44">
        <f t="shared" si="0"/>
        <v>0.70399999999999996</v>
      </c>
    </row>
    <row r="19" spans="1:15" ht="61.5" customHeight="1" x14ac:dyDescent="0.3">
      <c r="A19" s="37">
        <v>9</v>
      </c>
      <c r="B19" s="37">
        <v>17</v>
      </c>
      <c r="C19" s="37" t="s">
        <v>600</v>
      </c>
      <c r="D19" s="37" t="s">
        <v>79</v>
      </c>
      <c r="E19" s="37">
        <v>135</v>
      </c>
      <c r="F19" s="38" t="s">
        <v>781</v>
      </c>
      <c r="G19" s="38" t="s">
        <v>782</v>
      </c>
      <c r="H19" s="39" t="s">
        <v>410</v>
      </c>
      <c r="I19" s="38" t="s">
        <v>618</v>
      </c>
      <c r="J19" s="38" t="s">
        <v>783</v>
      </c>
      <c r="K19" s="37">
        <v>35</v>
      </c>
      <c r="L19" s="37">
        <v>95</v>
      </c>
      <c r="M19" s="37">
        <v>40</v>
      </c>
      <c r="N19" s="37">
        <v>0</v>
      </c>
      <c r="O19" s="40">
        <f t="shared" si="0"/>
        <v>0.70399999999999996</v>
      </c>
    </row>
    <row r="20" spans="1:15" ht="61.5" customHeight="1" x14ac:dyDescent="0.3">
      <c r="A20" s="41">
        <v>9</v>
      </c>
      <c r="B20" s="41">
        <v>18</v>
      </c>
      <c r="C20" s="41" t="s">
        <v>627</v>
      </c>
      <c r="D20" s="41" t="s">
        <v>145</v>
      </c>
      <c r="E20" s="41">
        <v>135</v>
      </c>
      <c r="F20" s="42" t="s">
        <v>784</v>
      </c>
      <c r="G20" s="42" t="s">
        <v>785</v>
      </c>
      <c r="H20" s="43" t="s">
        <v>410</v>
      </c>
      <c r="I20" s="42" t="s">
        <v>786</v>
      </c>
      <c r="J20" s="42" t="s">
        <v>787</v>
      </c>
      <c r="K20" s="41">
        <v>40</v>
      </c>
      <c r="L20" s="41">
        <v>90</v>
      </c>
      <c r="M20" s="41">
        <v>0</v>
      </c>
      <c r="N20" s="41">
        <v>0</v>
      </c>
      <c r="O20" s="44">
        <f t="shared" si="0"/>
        <v>0.66700000000000004</v>
      </c>
    </row>
    <row r="21" spans="1:15" ht="61.5" customHeight="1" x14ac:dyDescent="0.3">
      <c r="A21" s="37">
        <v>10</v>
      </c>
      <c r="B21" s="37">
        <v>19</v>
      </c>
      <c r="C21" s="37" t="s">
        <v>650</v>
      </c>
      <c r="D21" s="37" t="s">
        <v>79</v>
      </c>
      <c r="E21" s="37">
        <v>135</v>
      </c>
      <c r="F21" s="38" t="s">
        <v>788</v>
      </c>
      <c r="G21" s="38" t="s">
        <v>789</v>
      </c>
      <c r="H21" s="39" t="s">
        <v>790</v>
      </c>
      <c r="I21" s="38" t="s">
        <v>791</v>
      </c>
      <c r="J21" s="38" t="s">
        <v>792</v>
      </c>
      <c r="K21" s="37">
        <v>25</v>
      </c>
      <c r="L21" s="37">
        <v>105</v>
      </c>
      <c r="M21" s="37">
        <v>40</v>
      </c>
      <c r="N21" s="37">
        <v>15</v>
      </c>
      <c r="O21" s="40">
        <f t="shared" si="0"/>
        <v>0.77800000000000002</v>
      </c>
    </row>
    <row r="22" spans="1:15" ht="61.5" customHeight="1" x14ac:dyDescent="0.3">
      <c r="A22" s="41">
        <v>10</v>
      </c>
      <c r="B22" s="41">
        <v>20</v>
      </c>
      <c r="C22" s="41" t="s">
        <v>678</v>
      </c>
      <c r="D22" s="41" t="s">
        <v>145</v>
      </c>
      <c r="E22" s="41">
        <v>135</v>
      </c>
      <c r="F22" s="42" t="s">
        <v>793</v>
      </c>
      <c r="G22" s="42" t="s">
        <v>794</v>
      </c>
      <c r="H22" s="43" t="s">
        <v>795</v>
      </c>
      <c r="I22" s="42" t="s">
        <v>796</v>
      </c>
      <c r="J22" s="42" t="s">
        <v>797</v>
      </c>
      <c r="K22" s="41">
        <v>40</v>
      </c>
      <c r="L22" s="41">
        <v>80</v>
      </c>
      <c r="M22" s="41">
        <v>60</v>
      </c>
      <c r="N22" s="41">
        <v>15</v>
      </c>
      <c r="O22" s="44">
        <f t="shared" si="0"/>
        <v>0.59299999999999997</v>
      </c>
    </row>
    <row r="23" spans="1:15" ht="21.75" customHeight="1" x14ac:dyDescent="0.3">
      <c r="A23" s="46" t="s">
        <v>140</v>
      </c>
      <c r="B23" s="46"/>
      <c r="C23" s="46"/>
      <c r="D23" s="46"/>
      <c r="E23" s="46">
        <f>SUM(E3:E22)</f>
        <v>2700</v>
      </c>
      <c r="F23" s="47" t="s">
        <v>798</v>
      </c>
      <c r="G23" s="46"/>
      <c r="H23" s="46"/>
      <c r="I23" s="46"/>
      <c r="J23" s="46"/>
      <c r="K23" s="46">
        <f>SUM(K3:K22)</f>
        <v>500</v>
      </c>
      <c r="L23" s="46">
        <f>SUM(L3:L22)</f>
        <v>1915</v>
      </c>
      <c r="M23" s="46">
        <f>SUM(M3:M22)</f>
        <v>780</v>
      </c>
      <c r="N23" s="46">
        <f>SUM(N3:N22)</f>
        <v>75</v>
      </c>
      <c r="O23" s="48">
        <f t="shared" si="0"/>
        <v>0.70899999999999996</v>
      </c>
    </row>
  </sheetData>
  <mergeCells count="1">
    <mergeCell ref="A1:O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54" customWidth="1"/>
    <col min="2" max="2" width="58" customWidth="1"/>
    <col min="3" max="3" width="22" customWidth="1"/>
    <col min="4" max="4" width="20" customWidth="1"/>
    <col min="5" max="5" width="46" customWidth="1"/>
    <col min="6" max="6" width="40" customWidth="1"/>
  </cols>
  <sheetData>
    <row r="1" spans="1:6" ht="25.5" customHeight="1" x14ac:dyDescent="0.3">
      <c r="A1" s="6" t="s">
        <v>799</v>
      </c>
      <c r="B1" s="6"/>
      <c r="C1" s="6"/>
      <c r="D1" s="6"/>
      <c r="E1" s="6"/>
      <c r="F1" s="6"/>
    </row>
    <row r="2" spans="1:6" ht="42" customHeight="1" x14ac:dyDescent="0.3">
      <c r="A2" s="4" t="s">
        <v>800</v>
      </c>
      <c r="B2" s="4"/>
      <c r="C2" s="4"/>
      <c r="D2" s="4"/>
      <c r="E2" s="4"/>
      <c r="F2" s="4"/>
    </row>
    <row r="3" spans="1:6" ht="30" customHeight="1" x14ac:dyDescent="0.3">
      <c r="A3" s="13" t="s">
        <v>801</v>
      </c>
      <c r="B3" s="13" t="s">
        <v>802</v>
      </c>
      <c r="C3" s="13" t="s">
        <v>803</v>
      </c>
      <c r="D3" s="13" t="s">
        <v>804</v>
      </c>
      <c r="E3" s="13" t="s">
        <v>805</v>
      </c>
      <c r="F3" s="13" t="s">
        <v>806</v>
      </c>
    </row>
    <row r="4" spans="1:6" ht="57.75" customHeight="1" x14ac:dyDescent="0.3">
      <c r="A4" s="49" t="s">
        <v>807</v>
      </c>
      <c r="B4" s="17" t="s">
        <v>808</v>
      </c>
      <c r="C4" s="14" t="s">
        <v>809</v>
      </c>
      <c r="D4" s="14" t="s">
        <v>810</v>
      </c>
      <c r="E4" s="17" t="s">
        <v>811</v>
      </c>
      <c r="F4" s="17" t="s">
        <v>812</v>
      </c>
    </row>
    <row r="5" spans="1:6" ht="57.75" customHeight="1" x14ac:dyDescent="0.3">
      <c r="A5" s="49" t="s">
        <v>813</v>
      </c>
      <c r="B5" s="17" t="s">
        <v>814</v>
      </c>
      <c r="C5" s="14" t="s">
        <v>815</v>
      </c>
      <c r="D5" s="14" t="s">
        <v>816</v>
      </c>
      <c r="E5" s="17" t="s">
        <v>817</v>
      </c>
      <c r="F5" s="17" t="s">
        <v>818</v>
      </c>
    </row>
    <row r="6" spans="1:6" ht="57.75" customHeight="1" x14ac:dyDescent="0.3">
      <c r="A6" s="49" t="s">
        <v>819</v>
      </c>
      <c r="B6" s="17" t="s">
        <v>820</v>
      </c>
      <c r="C6" s="14" t="s">
        <v>821</v>
      </c>
      <c r="D6" s="14" t="s">
        <v>822</v>
      </c>
      <c r="E6" s="17" t="s">
        <v>823</v>
      </c>
      <c r="F6" s="17" t="s">
        <v>824</v>
      </c>
    </row>
    <row r="7" spans="1:6" ht="57.75" customHeight="1" x14ac:dyDescent="0.3">
      <c r="A7" s="49" t="s">
        <v>825</v>
      </c>
      <c r="B7" s="17" t="s">
        <v>826</v>
      </c>
      <c r="C7" s="14" t="s">
        <v>827</v>
      </c>
      <c r="D7" s="14" t="s">
        <v>816</v>
      </c>
      <c r="E7" s="17" t="s">
        <v>828</v>
      </c>
      <c r="F7" s="17" t="s">
        <v>829</v>
      </c>
    </row>
    <row r="8" spans="1:6" ht="57.75" customHeight="1" x14ac:dyDescent="0.3">
      <c r="A8" s="49" t="s">
        <v>830</v>
      </c>
      <c r="B8" s="17" t="s">
        <v>831</v>
      </c>
      <c r="C8" s="14" t="s">
        <v>832</v>
      </c>
      <c r="D8" s="14" t="s">
        <v>833</v>
      </c>
      <c r="E8" s="17" t="s">
        <v>834</v>
      </c>
      <c r="F8" s="17" t="s">
        <v>835</v>
      </c>
    </row>
    <row r="9" spans="1:6" ht="57.75" customHeight="1" x14ac:dyDescent="0.3">
      <c r="A9" s="49" t="s">
        <v>836</v>
      </c>
      <c r="B9" s="17" t="s">
        <v>837</v>
      </c>
      <c r="C9" s="14" t="s">
        <v>838</v>
      </c>
      <c r="D9" s="14" t="s">
        <v>839</v>
      </c>
      <c r="E9" s="17" t="s">
        <v>840</v>
      </c>
      <c r="F9" s="17" t="s">
        <v>841</v>
      </c>
    </row>
    <row r="10" spans="1:6" ht="57.75" customHeight="1" x14ac:dyDescent="0.3">
      <c r="A10" s="49" t="s">
        <v>842</v>
      </c>
      <c r="B10" s="17" t="s">
        <v>843</v>
      </c>
      <c r="C10" s="14" t="s">
        <v>844</v>
      </c>
      <c r="D10" s="14" t="s">
        <v>822</v>
      </c>
      <c r="E10" s="17" t="s">
        <v>845</v>
      </c>
      <c r="F10" s="17" t="s">
        <v>846</v>
      </c>
    </row>
    <row r="11" spans="1:6" ht="57.75" customHeight="1" x14ac:dyDescent="0.3">
      <c r="A11" s="49" t="s">
        <v>847</v>
      </c>
      <c r="B11" s="17" t="s">
        <v>848</v>
      </c>
      <c r="C11" s="14" t="s">
        <v>849</v>
      </c>
      <c r="D11" s="14" t="s">
        <v>822</v>
      </c>
      <c r="E11" s="17" t="s">
        <v>850</v>
      </c>
      <c r="F11" s="17" t="s">
        <v>851</v>
      </c>
    </row>
    <row r="12" spans="1:6" ht="57.75" customHeight="1" x14ac:dyDescent="0.3">
      <c r="A12" s="49" t="s">
        <v>852</v>
      </c>
      <c r="B12" s="17" t="s">
        <v>853</v>
      </c>
      <c r="C12" s="14" t="s">
        <v>854</v>
      </c>
      <c r="D12" s="14" t="s">
        <v>822</v>
      </c>
      <c r="E12" s="17" t="s">
        <v>855</v>
      </c>
      <c r="F12" s="17" t="s">
        <v>856</v>
      </c>
    </row>
    <row r="14" spans="1:6" ht="30" customHeight="1" x14ac:dyDescent="0.3">
      <c r="A14" s="3" t="s">
        <v>857</v>
      </c>
      <c r="B14" s="3"/>
      <c r="C14" s="3"/>
      <c r="D14" s="3"/>
      <c r="E14" s="3"/>
      <c r="F14" s="3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3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2" customWidth="1"/>
    <col min="4" max="4" width="50" customWidth="1"/>
    <col min="5" max="6" width="18" customWidth="1"/>
    <col min="7" max="7" width="14" customWidth="1"/>
    <col min="8" max="8" width="52" customWidth="1"/>
  </cols>
  <sheetData>
    <row r="1" spans="1:8" ht="25.5" customHeight="1" x14ac:dyDescent="0.3">
      <c r="A1" s="6" t="s">
        <v>858</v>
      </c>
      <c r="B1" s="6"/>
      <c r="C1" s="6"/>
      <c r="D1" s="6"/>
      <c r="E1" s="6"/>
      <c r="F1" s="6"/>
      <c r="G1" s="6"/>
      <c r="H1" s="6"/>
    </row>
    <row r="2" spans="1:8" ht="27.75" customHeight="1" x14ac:dyDescent="0.3">
      <c r="A2" s="13" t="s">
        <v>61</v>
      </c>
      <c r="B2" s="13" t="s">
        <v>62</v>
      </c>
      <c r="C2" s="13" t="s">
        <v>63</v>
      </c>
      <c r="D2" s="13" t="s">
        <v>710</v>
      </c>
      <c r="E2" s="13" t="s">
        <v>859</v>
      </c>
      <c r="F2" s="13" t="s">
        <v>860</v>
      </c>
      <c r="G2" s="13" t="s">
        <v>861</v>
      </c>
      <c r="H2" s="13" t="s">
        <v>862</v>
      </c>
    </row>
    <row r="3" spans="1:8" ht="30" customHeight="1" x14ac:dyDescent="0.3">
      <c r="A3" s="50">
        <v>1</v>
      </c>
      <c r="B3" s="50">
        <v>1</v>
      </c>
      <c r="C3" s="50" t="s">
        <v>78</v>
      </c>
      <c r="D3" s="51" t="s">
        <v>719</v>
      </c>
      <c r="E3" s="50" t="s">
        <v>25</v>
      </c>
      <c r="F3" s="52" t="s">
        <v>863</v>
      </c>
      <c r="G3" s="52"/>
      <c r="H3" s="53"/>
    </row>
    <row r="4" spans="1:8" ht="30" customHeight="1" x14ac:dyDescent="0.3">
      <c r="A4" s="50">
        <v>1</v>
      </c>
      <c r="B4" s="50">
        <v>2</v>
      </c>
      <c r="C4" s="50" t="s">
        <v>144</v>
      </c>
      <c r="D4" s="51" t="s">
        <v>723</v>
      </c>
      <c r="E4" s="50" t="s">
        <v>25</v>
      </c>
      <c r="F4" s="52" t="s">
        <v>863</v>
      </c>
      <c r="G4" s="52"/>
      <c r="H4" s="53"/>
    </row>
    <row r="5" spans="1:8" ht="30" customHeight="1" x14ac:dyDescent="0.3">
      <c r="A5" s="50">
        <v>2</v>
      </c>
      <c r="B5" s="50">
        <v>3</v>
      </c>
      <c r="C5" s="50" t="s">
        <v>190</v>
      </c>
      <c r="D5" s="51" t="s">
        <v>726</v>
      </c>
      <c r="E5" s="50" t="s">
        <v>379</v>
      </c>
      <c r="F5" s="52" t="s">
        <v>863</v>
      </c>
      <c r="G5" s="52"/>
      <c r="H5" s="53"/>
    </row>
    <row r="6" spans="1:8" ht="30" customHeight="1" x14ac:dyDescent="0.3">
      <c r="A6" s="50">
        <v>2</v>
      </c>
      <c r="B6" s="50">
        <v>4</v>
      </c>
      <c r="C6" s="50" t="s">
        <v>227</v>
      </c>
      <c r="D6" s="51" t="s">
        <v>729</v>
      </c>
      <c r="E6" s="50" t="s">
        <v>379</v>
      </c>
      <c r="F6" s="52" t="s">
        <v>863</v>
      </c>
      <c r="G6" s="52"/>
      <c r="H6" s="53"/>
    </row>
    <row r="7" spans="1:8" ht="30" customHeight="1" x14ac:dyDescent="0.3">
      <c r="A7" s="50">
        <v>3</v>
      </c>
      <c r="B7" s="50">
        <v>5</v>
      </c>
      <c r="C7" s="50" t="s">
        <v>262</v>
      </c>
      <c r="D7" s="51" t="s">
        <v>733</v>
      </c>
      <c r="E7" s="50" t="s">
        <v>27</v>
      </c>
      <c r="F7" s="52" t="s">
        <v>863</v>
      </c>
      <c r="G7" s="52"/>
      <c r="H7" s="53"/>
    </row>
    <row r="8" spans="1:8" ht="30" customHeight="1" x14ac:dyDescent="0.3">
      <c r="A8" s="50">
        <v>3</v>
      </c>
      <c r="B8" s="50">
        <v>6</v>
      </c>
      <c r="C8" s="50" t="s">
        <v>293</v>
      </c>
      <c r="D8" s="51" t="s">
        <v>737</v>
      </c>
      <c r="E8" s="50" t="s">
        <v>739</v>
      </c>
      <c r="F8" s="52" t="s">
        <v>863</v>
      </c>
      <c r="G8" s="52"/>
      <c r="H8" s="53"/>
    </row>
    <row r="9" spans="1:8" ht="30" customHeight="1" x14ac:dyDescent="0.3">
      <c r="A9" s="50">
        <v>4</v>
      </c>
      <c r="B9" s="50">
        <v>7</v>
      </c>
      <c r="C9" s="50" t="s">
        <v>323</v>
      </c>
      <c r="D9" s="51" t="s">
        <v>741</v>
      </c>
      <c r="E9" s="50" t="s">
        <v>743</v>
      </c>
      <c r="F9" s="52" t="s">
        <v>863</v>
      </c>
      <c r="G9" s="52"/>
      <c r="H9" s="53"/>
    </row>
    <row r="10" spans="1:8" ht="30" customHeight="1" x14ac:dyDescent="0.3">
      <c r="A10" s="50">
        <v>4</v>
      </c>
      <c r="B10" s="50">
        <v>8</v>
      </c>
      <c r="C10" s="50" t="s">
        <v>358</v>
      </c>
      <c r="D10" s="51" t="s">
        <v>746</v>
      </c>
      <c r="E10" s="50" t="s">
        <v>379</v>
      </c>
      <c r="F10" s="52" t="s">
        <v>863</v>
      </c>
      <c r="G10" s="52"/>
      <c r="H10" s="53"/>
    </row>
    <row r="11" spans="1:8" ht="30" customHeight="1" x14ac:dyDescent="0.3">
      <c r="A11" s="50">
        <v>5</v>
      </c>
      <c r="B11" s="50">
        <v>9</v>
      </c>
      <c r="C11" s="50" t="s">
        <v>386</v>
      </c>
      <c r="D11" s="51" t="s">
        <v>750</v>
      </c>
      <c r="E11" s="50" t="s">
        <v>410</v>
      </c>
      <c r="F11" s="52" t="s">
        <v>863</v>
      </c>
      <c r="G11" s="52"/>
      <c r="H11" s="53"/>
    </row>
    <row r="12" spans="1:8" ht="30" customHeight="1" x14ac:dyDescent="0.3">
      <c r="A12" s="50">
        <v>5</v>
      </c>
      <c r="B12" s="50">
        <v>10</v>
      </c>
      <c r="C12" s="50" t="s">
        <v>417</v>
      </c>
      <c r="D12" s="51" t="s">
        <v>754</v>
      </c>
      <c r="E12" s="50" t="s">
        <v>756</v>
      </c>
      <c r="F12" s="52" t="s">
        <v>863</v>
      </c>
      <c r="G12" s="52"/>
      <c r="H12" s="53"/>
    </row>
    <row r="13" spans="1:8" ht="30" customHeight="1" x14ac:dyDescent="0.3">
      <c r="A13" s="50">
        <v>6</v>
      </c>
      <c r="B13" s="50">
        <v>11</v>
      </c>
      <c r="C13" s="50" t="s">
        <v>443</v>
      </c>
      <c r="D13" s="51" t="s">
        <v>759</v>
      </c>
      <c r="E13" s="50" t="s">
        <v>33</v>
      </c>
      <c r="F13" s="52" t="s">
        <v>863</v>
      </c>
      <c r="G13" s="52"/>
      <c r="H13" s="53"/>
    </row>
    <row r="14" spans="1:8" ht="30" customHeight="1" x14ac:dyDescent="0.3">
      <c r="A14" s="50">
        <v>6</v>
      </c>
      <c r="B14" s="50">
        <v>12</v>
      </c>
      <c r="C14" s="50" t="s">
        <v>472</v>
      </c>
      <c r="D14" s="51" t="s">
        <v>763</v>
      </c>
      <c r="E14" s="50" t="s">
        <v>27</v>
      </c>
      <c r="F14" s="52" t="s">
        <v>863</v>
      </c>
      <c r="G14" s="52"/>
      <c r="H14" s="53"/>
    </row>
    <row r="15" spans="1:8" ht="30" customHeight="1" x14ac:dyDescent="0.3">
      <c r="A15" s="50">
        <v>7</v>
      </c>
      <c r="B15" s="50">
        <v>13</v>
      </c>
      <c r="C15" s="50" t="s">
        <v>499</v>
      </c>
      <c r="D15" s="51" t="s">
        <v>766</v>
      </c>
      <c r="E15" s="50" t="s">
        <v>514</v>
      </c>
      <c r="F15" s="52" t="s">
        <v>863</v>
      </c>
      <c r="G15" s="52"/>
      <c r="H15" s="53"/>
    </row>
    <row r="16" spans="1:8" ht="30" customHeight="1" x14ac:dyDescent="0.3">
      <c r="A16" s="50">
        <v>7</v>
      </c>
      <c r="B16" s="50">
        <v>14</v>
      </c>
      <c r="C16" s="50" t="s">
        <v>523</v>
      </c>
      <c r="D16" s="51" t="s">
        <v>770</v>
      </c>
      <c r="E16" s="50" t="s">
        <v>544</v>
      </c>
      <c r="F16" s="52" t="s">
        <v>863</v>
      </c>
      <c r="G16" s="52"/>
      <c r="H16" s="53"/>
    </row>
    <row r="17" spans="1:8" ht="30" customHeight="1" x14ac:dyDescent="0.3">
      <c r="A17" s="50">
        <v>8</v>
      </c>
      <c r="B17" s="50">
        <v>15</v>
      </c>
      <c r="C17" s="50" t="s">
        <v>552</v>
      </c>
      <c r="D17" s="51" t="s">
        <v>773</v>
      </c>
      <c r="E17" s="50" t="s">
        <v>35</v>
      </c>
      <c r="F17" s="52" t="s">
        <v>863</v>
      </c>
      <c r="G17" s="52"/>
      <c r="H17" s="53"/>
    </row>
    <row r="18" spans="1:8" ht="30" customHeight="1" x14ac:dyDescent="0.3">
      <c r="A18" s="50">
        <v>8</v>
      </c>
      <c r="B18" s="50">
        <v>16</v>
      </c>
      <c r="C18" s="50" t="s">
        <v>574</v>
      </c>
      <c r="D18" s="51" t="s">
        <v>777</v>
      </c>
      <c r="E18" s="50" t="s">
        <v>592</v>
      </c>
      <c r="F18" s="52" t="s">
        <v>863</v>
      </c>
      <c r="G18" s="52"/>
      <c r="H18" s="53"/>
    </row>
    <row r="19" spans="1:8" ht="30" customHeight="1" x14ac:dyDescent="0.3">
      <c r="A19" s="50">
        <v>9</v>
      </c>
      <c r="B19" s="50">
        <v>17</v>
      </c>
      <c r="C19" s="50" t="s">
        <v>600</v>
      </c>
      <c r="D19" s="51" t="s">
        <v>781</v>
      </c>
      <c r="E19" s="50" t="s">
        <v>410</v>
      </c>
      <c r="F19" s="52" t="s">
        <v>863</v>
      </c>
      <c r="G19" s="52"/>
      <c r="H19" s="53"/>
    </row>
    <row r="20" spans="1:8" ht="30" customHeight="1" x14ac:dyDescent="0.3">
      <c r="A20" s="50">
        <v>9</v>
      </c>
      <c r="B20" s="50">
        <v>18</v>
      </c>
      <c r="C20" s="50" t="s">
        <v>627</v>
      </c>
      <c r="D20" s="51" t="s">
        <v>784</v>
      </c>
      <c r="E20" s="50" t="s">
        <v>410</v>
      </c>
      <c r="F20" s="52" t="s">
        <v>863</v>
      </c>
      <c r="G20" s="52"/>
      <c r="H20" s="53"/>
    </row>
    <row r="21" spans="1:8" ht="30" customHeight="1" x14ac:dyDescent="0.3">
      <c r="A21" s="50">
        <v>10</v>
      </c>
      <c r="B21" s="50">
        <v>19</v>
      </c>
      <c r="C21" s="50" t="s">
        <v>650</v>
      </c>
      <c r="D21" s="51" t="s">
        <v>788</v>
      </c>
      <c r="E21" s="50" t="s">
        <v>790</v>
      </c>
      <c r="F21" s="52" t="s">
        <v>863</v>
      </c>
      <c r="G21" s="52"/>
      <c r="H21" s="53"/>
    </row>
    <row r="22" spans="1:8" ht="30" customHeight="1" x14ac:dyDescent="0.3">
      <c r="A22" s="50">
        <v>10</v>
      </c>
      <c r="B22" s="50">
        <v>20</v>
      </c>
      <c r="C22" s="50" t="s">
        <v>678</v>
      </c>
      <c r="D22" s="51" t="s">
        <v>793</v>
      </c>
      <c r="E22" s="50" t="s">
        <v>795</v>
      </c>
      <c r="F22" s="52" t="s">
        <v>863</v>
      </c>
      <c r="G22" s="52"/>
      <c r="H22" s="53"/>
    </row>
    <row r="23" spans="1:8" ht="21.75" customHeight="1" x14ac:dyDescent="0.3">
      <c r="A23" s="46"/>
      <c r="B23" s="46"/>
      <c r="C23" s="46"/>
      <c r="D23" s="47" t="s">
        <v>864</v>
      </c>
      <c r="E23" s="46"/>
      <c r="F23" s="48">
        <f>ROUND(COUNTIF(F3:F22,"Dictada completa")/20,4)</f>
        <v>0</v>
      </c>
      <c r="G23" s="46"/>
      <c r="H23" s="46"/>
    </row>
  </sheetData>
  <mergeCells count="1">
    <mergeCell ref="A1:H1"/>
  </mergeCells>
  <dataValidations count="1">
    <dataValidation type="list" allowBlank="1" sqref="F3:F22" xr:uid="{00000000-0002-0000-0400-000000000000}">
      <formula1>"Pendiente,Dictada completa,Dictada parcial,Reprogramada"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9" customWidth="1"/>
    <col min="3" max="3" width="11" customWidth="1"/>
    <col min="4" max="4" width="6" customWidth="1"/>
    <col min="5" max="5" width="46" customWidth="1"/>
    <col min="6" max="6" width="26" customWidth="1"/>
    <col min="7" max="7" width="50" customWidth="1"/>
    <col min="8" max="8" width="20" customWidth="1"/>
    <col min="9" max="9" width="60" customWidth="1"/>
    <col min="10" max="10" width="44" customWidth="1"/>
  </cols>
  <sheetData>
    <row r="1" spans="1:10" ht="25.5" customHeight="1" x14ac:dyDescent="0.3">
      <c r="A1" s="6" t="s">
        <v>865</v>
      </c>
      <c r="B1" s="6"/>
      <c r="C1" s="6"/>
      <c r="D1" s="6"/>
      <c r="E1" s="6"/>
      <c r="F1" s="6"/>
      <c r="G1" s="6"/>
      <c r="H1" s="6"/>
      <c r="I1" s="6"/>
      <c r="J1" s="6"/>
    </row>
    <row r="2" spans="1:10" ht="31.5" customHeight="1" x14ac:dyDescent="0.3">
      <c r="A2" s="4" t="s">
        <v>866</v>
      </c>
      <c r="B2" s="4"/>
      <c r="C2" s="4"/>
      <c r="D2" s="4"/>
      <c r="E2" s="4"/>
      <c r="F2" s="4"/>
      <c r="G2" s="4"/>
      <c r="H2" s="4"/>
      <c r="I2" s="4"/>
      <c r="J2" s="4"/>
    </row>
    <row r="3" spans="1:10" ht="33.75" customHeight="1" x14ac:dyDescent="0.3">
      <c r="A3" s="13" t="s">
        <v>867</v>
      </c>
      <c r="B3" s="13" t="s">
        <v>62</v>
      </c>
      <c r="C3" s="13" t="s">
        <v>63</v>
      </c>
      <c r="D3" s="13" t="s">
        <v>67</v>
      </c>
      <c r="E3" s="13" t="s">
        <v>868</v>
      </c>
      <c r="F3" s="13" t="s">
        <v>869</v>
      </c>
      <c r="G3" s="13" t="s">
        <v>870</v>
      </c>
      <c r="H3" s="13" t="s">
        <v>871</v>
      </c>
      <c r="I3" s="13" t="s">
        <v>872</v>
      </c>
      <c r="J3" s="13" t="s">
        <v>873</v>
      </c>
    </row>
    <row r="4" spans="1:10" ht="63.75" customHeight="1" x14ac:dyDescent="0.3">
      <c r="A4" s="54" t="s">
        <v>874</v>
      </c>
      <c r="B4" s="54" t="s">
        <v>875</v>
      </c>
      <c r="C4" s="54" t="s">
        <v>358</v>
      </c>
      <c r="D4" s="54">
        <v>15</v>
      </c>
      <c r="E4" s="31" t="s">
        <v>876</v>
      </c>
      <c r="F4" s="30" t="s">
        <v>877</v>
      </c>
      <c r="G4" s="55" t="s">
        <v>878</v>
      </c>
      <c r="H4" s="56" t="s">
        <v>31</v>
      </c>
      <c r="I4" s="55" t="s">
        <v>879</v>
      </c>
      <c r="J4" s="55" t="s">
        <v>880</v>
      </c>
    </row>
    <row r="5" spans="1:10" ht="63.75" customHeight="1" x14ac:dyDescent="0.3">
      <c r="A5" s="54" t="s">
        <v>881</v>
      </c>
      <c r="B5" s="54" t="s">
        <v>882</v>
      </c>
      <c r="C5" s="54" t="s">
        <v>472</v>
      </c>
      <c r="D5" s="54">
        <v>15</v>
      </c>
      <c r="E5" s="31" t="s">
        <v>883</v>
      </c>
      <c r="F5" s="30" t="s">
        <v>884</v>
      </c>
      <c r="G5" s="55" t="s">
        <v>885</v>
      </c>
      <c r="H5" s="56" t="s">
        <v>33</v>
      </c>
      <c r="I5" s="55" t="s">
        <v>886</v>
      </c>
      <c r="J5" s="55" t="s">
        <v>887</v>
      </c>
    </row>
    <row r="6" spans="1:10" ht="63.75" customHeight="1" x14ac:dyDescent="0.3">
      <c r="A6" s="54" t="s">
        <v>888</v>
      </c>
      <c r="B6" s="54" t="s">
        <v>889</v>
      </c>
      <c r="C6" s="54" t="s">
        <v>574</v>
      </c>
      <c r="D6" s="54">
        <v>15</v>
      </c>
      <c r="E6" s="31" t="s">
        <v>890</v>
      </c>
      <c r="F6" s="30" t="s">
        <v>891</v>
      </c>
      <c r="G6" s="55" t="s">
        <v>892</v>
      </c>
      <c r="H6" s="56" t="s">
        <v>35</v>
      </c>
      <c r="I6" s="55" t="s">
        <v>893</v>
      </c>
      <c r="J6" s="55" t="s">
        <v>894</v>
      </c>
    </row>
    <row r="7" spans="1:10" ht="63.75" customHeight="1" x14ac:dyDescent="0.3">
      <c r="A7" s="54" t="s">
        <v>895</v>
      </c>
      <c r="B7" s="54" t="s">
        <v>839</v>
      </c>
      <c r="C7" s="54" t="s">
        <v>650</v>
      </c>
      <c r="D7" s="54">
        <v>15</v>
      </c>
      <c r="E7" s="31" t="s">
        <v>896</v>
      </c>
      <c r="F7" s="30" t="s">
        <v>897</v>
      </c>
      <c r="G7" s="55" t="s">
        <v>898</v>
      </c>
      <c r="H7" s="56" t="s">
        <v>35</v>
      </c>
      <c r="I7" s="55" t="s">
        <v>899</v>
      </c>
      <c r="J7" s="55" t="s">
        <v>900</v>
      </c>
    </row>
    <row r="8" spans="1:10" ht="63.75" customHeight="1" x14ac:dyDescent="0.3">
      <c r="A8" s="54" t="s">
        <v>901</v>
      </c>
      <c r="B8" s="54" t="s">
        <v>822</v>
      </c>
      <c r="C8" s="54" t="s">
        <v>678</v>
      </c>
      <c r="D8" s="54">
        <v>15</v>
      </c>
      <c r="E8" s="31" t="s">
        <v>902</v>
      </c>
      <c r="F8" s="30" t="s">
        <v>903</v>
      </c>
      <c r="G8" s="55" t="s">
        <v>904</v>
      </c>
      <c r="H8" s="56" t="s">
        <v>692</v>
      </c>
      <c r="I8" s="55" t="s">
        <v>905</v>
      </c>
      <c r="J8" s="55" t="s">
        <v>906</v>
      </c>
    </row>
    <row r="9" spans="1:10" ht="21.75" customHeight="1" x14ac:dyDescent="0.3">
      <c r="A9" s="46"/>
      <c r="B9" s="46"/>
      <c r="C9" s="46"/>
      <c r="D9" s="46">
        <f>SUM(D4:D8)</f>
        <v>75</v>
      </c>
      <c r="E9" s="47" t="s">
        <v>907</v>
      </c>
      <c r="F9" s="46"/>
      <c r="G9" s="48">
        <f>ROUND(D9/2700,4)</f>
        <v>2.7799999999999998E-2</v>
      </c>
      <c r="H9" s="46"/>
      <c r="I9" s="46"/>
      <c r="J9" s="46"/>
    </row>
    <row r="10" spans="1:10" ht="21.75" customHeight="1" x14ac:dyDescent="0.3">
      <c r="A10" s="2" t="s">
        <v>908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30" customHeight="1" x14ac:dyDescent="0.3">
      <c r="A11" s="1" t="s">
        <v>909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30" customHeight="1" x14ac:dyDescent="0.3">
      <c r="A12" s="1" t="s">
        <v>910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30" customHeight="1" x14ac:dyDescent="0.3">
      <c r="A13" s="1" t="s">
        <v>911</v>
      </c>
      <c r="B13" s="1"/>
      <c r="C13" s="1"/>
      <c r="D13" s="1"/>
      <c r="E13" s="1"/>
      <c r="F13" s="1"/>
      <c r="G13" s="1"/>
      <c r="H13" s="1"/>
      <c r="I13" s="1"/>
      <c r="J13" s="1"/>
    </row>
  </sheetData>
  <mergeCells count="6">
    <mergeCell ref="A13:J13"/>
    <mergeCell ref="A1:J1"/>
    <mergeCell ref="A2:J2"/>
    <mergeCell ref="A10:J10"/>
    <mergeCell ref="A11:J11"/>
    <mergeCell ref="A12:J12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44" customWidth="1"/>
    <col min="4" max="5" width="58" customWidth="1"/>
    <col min="6" max="6" width="22" customWidth="1"/>
  </cols>
  <sheetData>
    <row r="1" spans="1:6" ht="25.5" customHeight="1" x14ac:dyDescent="0.3">
      <c r="A1" s="6" t="s">
        <v>912</v>
      </c>
      <c r="B1" s="6"/>
      <c r="C1" s="6"/>
      <c r="D1" s="6"/>
      <c r="E1" s="6"/>
      <c r="F1" s="6"/>
    </row>
    <row r="2" spans="1:6" ht="31.5" customHeight="1" x14ac:dyDescent="0.3">
      <c r="A2" s="4" t="s">
        <v>913</v>
      </c>
      <c r="B2" s="4"/>
      <c r="C2" s="4"/>
      <c r="D2" s="4"/>
      <c r="E2" s="4"/>
      <c r="F2" s="4"/>
    </row>
    <row r="3" spans="1:6" ht="30" customHeight="1" x14ac:dyDescent="0.3">
      <c r="A3" s="13" t="s">
        <v>914</v>
      </c>
      <c r="B3" s="13" t="s">
        <v>915</v>
      </c>
      <c r="C3" s="13" t="s">
        <v>916</v>
      </c>
      <c r="D3" s="13" t="s">
        <v>917</v>
      </c>
      <c r="E3" s="13" t="s">
        <v>918</v>
      </c>
      <c r="F3" s="13" t="s">
        <v>919</v>
      </c>
    </row>
    <row r="4" spans="1:6" ht="55.5" customHeight="1" x14ac:dyDescent="0.3">
      <c r="A4" s="57" t="s">
        <v>920</v>
      </c>
      <c r="B4" s="14" t="s">
        <v>921</v>
      </c>
      <c r="C4" s="17" t="s">
        <v>922</v>
      </c>
      <c r="D4" s="17" t="s">
        <v>923</v>
      </c>
      <c r="E4" s="17" t="s">
        <v>924</v>
      </c>
      <c r="F4" s="20" t="s">
        <v>27</v>
      </c>
    </row>
    <row r="5" spans="1:6" ht="55.5" customHeight="1" x14ac:dyDescent="0.3">
      <c r="A5" s="57" t="s">
        <v>925</v>
      </c>
      <c r="B5" s="14" t="s">
        <v>926</v>
      </c>
      <c r="C5" s="17" t="s">
        <v>927</v>
      </c>
      <c r="D5" s="17" t="s">
        <v>928</v>
      </c>
      <c r="E5" s="17" t="s">
        <v>929</v>
      </c>
      <c r="F5" s="20" t="s">
        <v>756</v>
      </c>
    </row>
    <row r="6" spans="1:6" ht="55.5" customHeight="1" x14ac:dyDescent="0.3">
      <c r="A6" s="57" t="s">
        <v>930</v>
      </c>
      <c r="B6" s="14" t="s">
        <v>931</v>
      </c>
      <c r="C6" s="17" t="s">
        <v>932</v>
      </c>
      <c r="D6" s="17" t="s">
        <v>933</v>
      </c>
      <c r="E6" s="17" t="s">
        <v>934</v>
      </c>
      <c r="F6" s="20" t="s">
        <v>692</v>
      </c>
    </row>
    <row r="7" spans="1:6" ht="55.5" customHeight="1" x14ac:dyDescent="0.3">
      <c r="A7" s="57" t="s">
        <v>935</v>
      </c>
      <c r="B7" s="14" t="s">
        <v>936</v>
      </c>
      <c r="C7" s="17" t="s">
        <v>937</v>
      </c>
      <c r="D7" s="17" t="s">
        <v>938</v>
      </c>
      <c r="E7" s="17" t="s">
        <v>939</v>
      </c>
      <c r="F7" s="20" t="s">
        <v>35</v>
      </c>
    </row>
    <row r="8" spans="1:6" ht="55.5" customHeight="1" x14ac:dyDescent="0.3">
      <c r="A8" s="57" t="s">
        <v>940</v>
      </c>
      <c r="B8" s="14" t="s">
        <v>941</v>
      </c>
      <c r="C8" s="17" t="s">
        <v>942</v>
      </c>
      <c r="D8" s="17" t="s">
        <v>943</v>
      </c>
      <c r="E8" s="17" t="s">
        <v>944</v>
      </c>
      <c r="F8" s="20" t="s">
        <v>945</v>
      </c>
    </row>
    <row r="9" spans="1:6" ht="55.5" customHeight="1" x14ac:dyDescent="0.3">
      <c r="A9" s="57" t="s">
        <v>946</v>
      </c>
      <c r="B9" s="14" t="s">
        <v>947</v>
      </c>
      <c r="C9" s="17" t="s">
        <v>948</v>
      </c>
      <c r="D9" s="17" t="s">
        <v>949</v>
      </c>
      <c r="E9" s="17" t="s">
        <v>950</v>
      </c>
      <c r="F9" s="20" t="s">
        <v>951</v>
      </c>
    </row>
  </sheetData>
  <mergeCells count="2">
    <mergeCell ref="A1:F1"/>
    <mergeCell ref="A2:F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PORTADA</vt:lpstr>
      <vt:lpstr>PLAN DETALLADO</vt:lpstr>
      <vt:lpstr>RESUMEN POR SESIÓN</vt:lpstr>
      <vt:lpstr>MAPA CURSO Y PROYECTO</vt:lpstr>
      <vt:lpstr>CONTROL DE AVANCE</vt:lpstr>
      <vt:lpstr>ADELANTOS PUNTUALES</vt:lpstr>
      <vt:lpstr>SEMANAS 11 A 16</vt:lpstr>
      <vt:lpstr>'PLAN DETALLADO'!Títulos_a_imprimir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2026-08-20T13:02:49Z</dcterms:created>
  <dcterms:modified xsi:type="dcterms:W3CDTF">2026-08-20T15:18:07Z</dcterms:modified>
  <dc:language>en-US</dc:language>
</cp:coreProperties>
</file>