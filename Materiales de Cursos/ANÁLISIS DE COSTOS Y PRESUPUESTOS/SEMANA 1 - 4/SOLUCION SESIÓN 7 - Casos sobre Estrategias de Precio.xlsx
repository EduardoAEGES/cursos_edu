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ERIODO 2026 II\CURSOS MKT 2026 II\ANÁLISIS DE COSTOS Y PRESUPUESTOS\"/>
    </mc:Choice>
  </mc:AlternateContent>
  <xr:revisionPtr revIDLastSave="0" documentId="13_ncr:1_{2504E432-A9AE-435A-B8D9-AA13AFE96158}" xr6:coauthVersionLast="47" xr6:coauthVersionMax="47" xr10:uidLastSave="{00000000-0000-0000-0000-000000000000}"/>
  <bookViews>
    <workbookView xWindow="-108" yWindow="-108" windowWidth="23256" windowHeight="12456" tabRatio="500" activeTab="3" xr2:uid="{00000000-000D-0000-FFFF-FFFF00000000}"/>
  </bookViews>
  <sheets>
    <sheet name="Instrucciones" sheetId="1" r:id="rId1"/>
    <sheet name="Datos" sheetId="2" r:id="rId2"/>
    <sheet name="Caso 1" sheetId="3" r:id="rId3"/>
    <sheet name="Caso 2" sheetId="4" r:id="rId4"/>
    <sheet name="Caso 3" sheetId="5" r:id="rId5"/>
    <sheet name="Caso 4" sheetId="6" r:id="rId6"/>
    <sheet name="Caso 5" sheetId="7" r:id="rId7"/>
    <sheet name="Caso 6" sheetId="8" r:id="rId8"/>
    <sheet name="Caso 7" sheetId="9" r:id="rId9"/>
    <sheet name="Reto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1" i="4" l="1"/>
  <c r="C66" i="10"/>
  <c r="D66" i="10" s="1"/>
  <c r="B66" i="10"/>
  <c r="C65" i="10"/>
  <c r="D65" i="10" s="1"/>
  <c r="B65" i="10"/>
  <c r="B64" i="10"/>
  <c r="B63" i="10"/>
  <c r="C62" i="10"/>
  <c r="D62" i="10" s="1"/>
  <c r="B62" i="10"/>
  <c r="C61" i="10"/>
  <c r="D61" i="10" s="1"/>
  <c r="B61" i="10"/>
  <c r="B60" i="10"/>
  <c r="B59" i="10"/>
  <c r="C58" i="10"/>
  <c r="D58" i="10" s="1"/>
  <c r="B58" i="10"/>
  <c r="C57" i="10"/>
  <c r="D57" i="10" s="1"/>
  <c r="B57" i="10"/>
  <c r="B56" i="10"/>
  <c r="B55" i="10"/>
  <c r="C54" i="10"/>
  <c r="D54" i="10" s="1"/>
  <c r="B54" i="10"/>
  <c r="C53" i="10"/>
  <c r="D53" i="10" s="1"/>
  <c r="B53" i="10"/>
  <c r="B52" i="10"/>
  <c r="B51" i="10"/>
  <c r="C50" i="10"/>
  <c r="D50" i="10" s="1"/>
  <c r="B50" i="10"/>
  <c r="C49" i="10"/>
  <c r="D49" i="10" s="1"/>
  <c r="B49" i="10"/>
  <c r="B48" i="10"/>
  <c r="B47" i="10"/>
  <c r="C46" i="10"/>
  <c r="D46" i="10" s="1"/>
  <c r="B46" i="10"/>
  <c r="C45" i="10"/>
  <c r="D45" i="10" s="1"/>
  <c r="B45" i="10"/>
  <c r="B44" i="10"/>
  <c r="B43" i="10"/>
  <c r="C42" i="10"/>
  <c r="D42" i="10" s="1"/>
  <c r="B42" i="10"/>
  <c r="C41" i="10"/>
  <c r="D41" i="10" s="1"/>
  <c r="B41" i="10"/>
  <c r="B40" i="10"/>
  <c r="B39" i="10"/>
  <c r="C38" i="10"/>
  <c r="D38" i="10" s="1"/>
  <c r="B38" i="10"/>
  <c r="C37" i="10"/>
  <c r="D37" i="10" s="1"/>
  <c r="B37" i="10"/>
  <c r="B36" i="10"/>
  <c r="B35" i="10"/>
  <c r="C34" i="10"/>
  <c r="D34" i="10" s="1"/>
  <c r="B34" i="10"/>
  <c r="C33" i="10"/>
  <c r="D33" i="10" s="1"/>
  <c r="B33" i="10"/>
  <c r="B32" i="10"/>
  <c r="B31" i="10"/>
  <c r="C30" i="10"/>
  <c r="D30" i="10" s="1"/>
  <c r="B30" i="10"/>
  <c r="C29" i="10"/>
  <c r="D29" i="10" s="1"/>
  <c r="B29" i="10"/>
  <c r="B28" i="10"/>
  <c r="B27" i="10"/>
  <c r="C26" i="10"/>
  <c r="D26" i="10" s="1"/>
  <c r="B26" i="10"/>
  <c r="B21" i="10"/>
  <c r="H18" i="10"/>
  <c r="E17" i="10"/>
  <c r="D17" i="10"/>
  <c r="C17" i="10"/>
  <c r="G15" i="10"/>
  <c r="F15" i="10"/>
  <c r="E15" i="10"/>
  <c r="B14" i="10"/>
  <c r="H13" i="10"/>
  <c r="G13" i="10"/>
  <c r="D12" i="10"/>
  <c r="C12" i="10"/>
  <c r="B12" i="10"/>
  <c r="B7" i="10"/>
  <c r="F8" i="9"/>
  <c r="G8" i="9" s="1"/>
  <c r="H8" i="9" s="1"/>
  <c r="F7" i="9"/>
  <c r="G7" i="9" s="1"/>
  <c r="H7" i="9" s="1"/>
  <c r="D9" i="8"/>
  <c r="E8" i="8"/>
  <c r="F8" i="8" s="1"/>
  <c r="D8" i="8"/>
  <c r="D7" i="8"/>
  <c r="E6" i="8"/>
  <c r="F6" i="8" s="1"/>
  <c r="D6" i="8"/>
  <c r="D11" i="8" s="1"/>
  <c r="D5" i="8"/>
  <c r="B20" i="7"/>
  <c r="E18" i="10" s="1"/>
  <c r="B17" i="7"/>
  <c r="B18" i="7" s="1"/>
  <c r="B16" i="7"/>
  <c r="C64" i="10" s="1"/>
  <c r="D64" i="10" s="1"/>
  <c r="B15" i="7"/>
  <c r="E13" i="7"/>
  <c r="D13" i="7"/>
  <c r="I10" i="6"/>
  <c r="J9" i="6"/>
  <c r="I9" i="6"/>
  <c r="H9" i="6"/>
  <c r="G9" i="6"/>
  <c r="E9" i="6"/>
  <c r="F9" i="6" s="1"/>
  <c r="J8" i="6"/>
  <c r="I8" i="6"/>
  <c r="G8" i="6"/>
  <c r="H8" i="6" s="1"/>
  <c r="E8" i="6"/>
  <c r="F8" i="6" s="1"/>
  <c r="J7" i="6"/>
  <c r="I7" i="6"/>
  <c r="H7" i="6"/>
  <c r="G7" i="6"/>
  <c r="E7" i="6"/>
  <c r="F7" i="6" s="1"/>
  <c r="J6" i="6"/>
  <c r="I6" i="6"/>
  <c r="G6" i="6"/>
  <c r="H6" i="6" s="1"/>
  <c r="E6" i="6"/>
  <c r="F6" i="6" s="1"/>
  <c r="J5" i="6"/>
  <c r="B14" i="6" s="1"/>
  <c r="I5" i="6"/>
  <c r="H5" i="6"/>
  <c r="G5" i="6"/>
  <c r="E5" i="6"/>
  <c r="F5" i="6" s="1"/>
  <c r="B33" i="3"/>
  <c r="B26" i="3"/>
  <c r="B25" i="3"/>
  <c r="B24" i="3"/>
  <c r="B31" i="3" s="1"/>
  <c r="B20" i="3"/>
  <c r="E12" i="3"/>
  <c r="E13" i="3" s="1"/>
  <c r="B23" i="3" s="1"/>
  <c r="E11" i="3"/>
  <c r="E10" i="3"/>
  <c r="E9" i="3"/>
  <c r="E8" i="3"/>
  <c r="E7" i="3"/>
  <c r="E6" i="3"/>
  <c r="B17" i="2"/>
  <c r="H6" i="8" l="1"/>
  <c r="H8" i="8"/>
  <c r="B15" i="6"/>
  <c r="B24" i="7"/>
  <c r="B11" i="9" s="1"/>
  <c r="B19" i="7"/>
  <c r="C31" i="3"/>
  <c r="B27" i="3"/>
  <c r="C33" i="3"/>
  <c r="B32" i="3"/>
  <c r="C32" i="3" s="1"/>
  <c r="E13" i="10"/>
  <c r="C15" i="10"/>
  <c r="H16" i="10"/>
  <c r="F18" i="10"/>
  <c r="G5" i="8"/>
  <c r="G7" i="8"/>
  <c r="G9" i="8"/>
  <c r="I9" i="8" s="1"/>
  <c r="F13" i="10"/>
  <c r="D15" i="10"/>
  <c r="B17" i="10"/>
  <c r="G18" i="10"/>
  <c r="J10" i="6"/>
  <c r="B12" i="6" s="1"/>
  <c r="E12" i="10"/>
  <c r="C14" i="10"/>
  <c r="H15" i="10"/>
  <c r="F17" i="10"/>
  <c r="B21" i="7"/>
  <c r="B22" i="7" s="1"/>
  <c r="B23" i="7" s="1"/>
  <c r="F12" i="10"/>
  <c r="D14" i="10"/>
  <c r="B16" i="10"/>
  <c r="G17" i="10"/>
  <c r="B13" i="6"/>
  <c r="G6" i="8"/>
  <c r="I6" i="8" s="1"/>
  <c r="G8" i="8"/>
  <c r="I8" i="8" s="1"/>
  <c r="G12" i="10"/>
  <c r="E14" i="10"/>
  <c r="C16" i="10"/>
  <c r="H17" i="10"/>
  <c r="F5" i="9"/>
  <c r="G5" i="9" s="1"/>
  <c r="H5" i="9" s="1"/>
  <c r="B12" i="9" s="1"/>
  <c r="F9" i="9"/>
  <c r="G9" i="9" s="1"/>
  <c r="H9" i="9" s="1"/>
  <c r="H12" i="10"/>
  <c r="F14" i="10"/>
  <c r="D16" i="10"/>
  <c r="B18" i="10"/>
  <c r="C27" i="10"/>
  <c r="D27" i="10" s="1"/>
  <c r="B68" i="10" s="1"/>
  <c r="B70" i="10" s="1"/>
  <c r="C31" i="10"/>
  <c r="D31" i="10" s="1"/>
  <c r="C35" i="10"/>
  <c r="D35" i="10" s="1"/>
  <c r="C39" i="10"/>
  <c r="D39" i="10" s="1"/>
  <c r="C43" i="10"/>
  <c r="D43" i="10" s="1"/>
  <c r="C47" i="10"/>
  <c r="D47" i="10" s="1"/>
  <c r="C51" i="10"/>
  <c r="D51" i="10" s="1"/>
  <c r="C55" i="10"/>
  <c r="D55" i="10" s="1"/>
  <c r="C59" i="10"/>
  <c r="D59" i="10" s="1"/>
  <c r="C63" i="10"/>
  <c r="D63" i="10" s="1"/>
  <c r="B13" i="10"/>
  <c r="G14" i="10"/>
  <c r="E16" i="10"/>
  <c r="C18" i="10"/>
  <c r="C13" i="10"/>
  <c r="H14" i="10"/>
  <c r="F16" i="10"/>
  <c r="D18" i="10"/>
  <c r="B72" i="10"/>
  <c r="B73" i="10" s="1"/>
  <c r="E5" i="8"/>
  <c r="F5" i="8" s="1"/>
  <c r="H5" i="8" s="1"/>
  <c r="E7" i="8"/>
  <c r="F7" i="8" s="1"/>
  <c r="H7" i="8" s="1"/>
  <c r="E9" i="8"/>
  <c r="F9" i="8" s="1"/>
  <c r="F6" i="9"/>
  <c r="G6" i="9" s="1"/>
  <c r="H6" i="9" s="1"/>
  <c r="D13" i="10"/>
  <c r="B15" i="10"/>
  <c r="G16" i="10"/>
  <c r="C28" i="10"/>
  <c r="D28" i="10" s="1"/>
  <c r="B69" i="10" s="1"/>
  <c r="C32" i="10"/>
  <c r="D32" i="10" s="1"/>
  <c r="C36" i="10"/>
  <c r="D36" i="10" s="1"/>
  <c r="C40" i="10"/>
  <c r="D40" i="10" s="1"/>
  <c r="C44" i="10"/>
  <c r="D44" i="10" s="1"/>
  <c r="C48" i="10"/>
  <c r="D48" i="10" s="1"/>
  <c r="C52" i="10"/>
  <c r="D52" i="10" s="1"/>
  <c r="C56" i="10"/>
  <c r="D56" i="10" s="1"/>
  <c r="C60" i="10"/>
  <c r="D60" i="10" s="1"/>
  <c r="H9" i="8" l="1"/>
  <c r="D13" i="8" s="1"/>
  <c r="D14" i="8"/>
  <c r="B4" i="5"/>
  <c r="B4" i="4"/>
  <c r="I7" i="8"/>
  <c r="I5" i="8"/>
  <c r="D12" i="8" l="1"/>
  <c r="B17" i="4"/>
  <c r="C17" i="4" s="1"/>
  <c r="D17" i="4" s="1"/>
  <c r="B13" i="4"/>
  <c r="C13" i="4" s="1"/>
  <c r="D13" i="4" s="1"/>
  <c r="B22" i="4"/>
  <c r="B16" i="4"/>
  <c r="C16" i="4" s="1"/>
  <c r="D16" i="4" s="1"/>
  <c r="B6" i="4"/>
  <c r="B7" i="4" s="1"/>
  <c r="B19" i="4"/>
  <c r="C19" i="4" s="1"/>
  <c r="D19" i="4" s="1"/>
  <c r="B15" i="4"/>
  <c r="C15" i="4" s="1"/>
  <c r="D15" i="4" s="1"/>
  <c r="B18" i="4"/>
  <c r="C18" i="4" s="1"/>
  <c r="D18" i="4" s="1"/>
  <c r="B14" i="4"/>
  <c r="C14" i="4" s="1"/>
  <c r="D14" i="4" s="1"/>
  <c r="C7" i="5"/>
  <c r="D7" i="5" s="1"/>
  <c r="B7" i="5"/>
  <c r="E7" i="5" s="1"/>
  <c r="F7" i="5" s="1"/>
  <c r="C9" i="5"/>
  <c r="D9" i="5" s="1"/>
  <c r="B9" i="5"/>
  <c r="E9" i="5" s="1"/>
  <c r="F9" i="5" s="1"/>
  <c r="C11" i="5"/>
  <c r="D11" i="5" s="1"/>
  <c r="B11" i="5"/>
  <c r="C8" i="5"/>
  <c r="D8" i="5" s="1"/>
  <c r="B8" i="5"/>
  <c r="E8" i="5" s="1"/>
  <c r="F8" i="5" s="1"/>
  <c r="C10" i="5"/>
  <c r="D10" i="5" s="1"/>
  <c r="B10" i="5"/>
  <c r="E10" i="5" l="1"/>
  <c r="F10" i="5" s="1"/>
  <c r="B9" i="4"/>
  <c r="B8" i="4"/>
  <c r="E11" i="5"/>
  <c r="F11" i="5" s="1"/>
</calcChain>
</file>

<file path=xl/sharedStrings.xml><?xml version="1.0" encoding="utf-8"?>
<sst xmlns="http://schemas.openxmlformats.org/spreadsheetml/2006/main" count="239" uniqueCount="199">
  <si>
    <t>GUÍA DE LABORATORIO - SESIÓN 4: ESTRATEGIAS DE PRECIOS E INGENIERÍA DEL MARGEN</t>
  </si>
  <si>
    <t>Curso: Análisis de Costos y Presupuestos. Caso: Dulce Sabor, panadería artesanal.</t>
  </si>
  <si>
    <t>Como usar este libro:</t>
  </si>
  <si>
    <t>1. Las celdas con datos ya escritos son información del caso. No las modifique salvo que el docente lo indique.</t>
  </si>
  <si>
    <t>2. Las celdas vacías dentro de las tablas se completan SIEMPRE con una fórmula, nunca con un resultado escrito a mano.</t>
  </si>
  <si>
    <t>3. Ejemplo de lo que se espera: si el importe de un insumo es cantidad por precio unitario, escriba  =B5*D5  y no  25.20</t>
  </si>
  <si>
    <t>4. Los datos generales están en la hoja Datos. Refiérase a ellos con referencias absolutas, por ejemplo  =Datos!$B$7</t>
  </si>
  <si>
    <t>5. Cada hoja termina con una línea de conclusión. Escriba ahí una frase corta con la lectura del equipo.</t>
  </si>
  <si>
    <t>Hojas del libro:</t>
  </si>
  <si>
    <t>Datos           Parámetros generales y costos fijos mensuales de la línea de torta.</t>
  </si>
  <si>
    <t>Caso 1          Costo unitario real de la torta de chocolate.</t>
  </si>
  <si>
    <t>Caso 2          Cost-Plus y la diferencia entre recargo y margen bruto.</t>
  </si>
  <si>
    <t>Caso 3          Precio a partir de un margen bruto deseado.</t>
  </si>
  <si>
    <t>Caso 4          Ingeniería del margen del portafolio de productos.</t>
  </si>
  <si>
    <t>Caso 5          Clasificación de costos, margen de contribución y punto de equilibrio.</t>
  </si>
  <si>
    <t>Caso 6          Precio, volumen, ingresos y utilidad: análisis de sensibilidad.</t>
  </si>
  <si>
    <t>Caso 7          Ruleta de escenarios: shocks anunciados por el docente.</t>
  </si>
  <si>
    <t>Reto            Estación Analista Senior (trabajo individual complementario).</t>
  </si>
  <si>
    <t>Entrega: un archivo por equipo, por el canal digital del curso. No se imprime nada.</t>
  </si>
  <si>
    <t>DULCE SABOR - DATOS BASE</t>
  </si>
  <si>
    <t>Información del caso. Estas celdas no se modifican.</t>
  </si>
  <si>
    <t>Parámetros generales</t>
  </si>
  <si>
    <t>Concepto</t>
  </si>
  <si>
    <t>Valor</t>
  </si>
  <si>
    <t>Volumen mensual actual (tortas)</t>
  </si>
  <si>
    <t>Precio de venta actual (S/)</t>
  </si>
  <si>
    <t>Meta de margen bruto de la empresa</t>
  </si>
  <si>
    <t>Costos fijos mensuales asignados a la línea de torta (S/)</t>
  </si>
  <si>
    <t>Importe</t>
  </si>
  <si>
    <t>Alquiler del local (parte asignada)</t>
  </si>
  <si>
    <t>Sueldo fijo del maestro pastelero</t>
  </si>
  <si>
    <t>Depreciación de equipos</t>
  </si>
  <si>
    <t>Energía fija del horno</t>
  </si>
  <si>
    <t>Publicidad en redes</t>
  </si>
  <si>
    <t>Total costos fijos mensuales</t>
  </si>
  <si>
    <t>CASO 1. COSTO UNITARIO REAL DE LA TORTA DE CHOCOLATE DE 1 KG</t>
  </si>
  <si>
    <t>Complete la columna Importe y los indicadores. Todo con fórmulas.</t>
  </si>
  <si>
    <t>1. Materia prima por torta</t>
  </si>
  <si>
    <t>Insumo</t>
  </si>
  <si>
    <t>Cantidad</t>
  </si>
  <si>
    <t>Unidad</t>
  </si>
  <si>
    <t>Precio unitario (S/)</t>
  </si>
  <si>
    <t>Importe (S/)</t>
  </si>
  <si>
    <t>Harina</t>
  </si>
  <si>
    <t>kg</t>
  </si>
  <si>
    <t>Azúcar</t>
  </si>
  <si>
    <t>Chocolate de cobertura</t>
  </si>
  <si>
    <t>Huevos</t>
  </si>
  <si>
    <t>unidad</t>
  </si>
  <si>
    <t>Mantequilla</t>
  </si>
  <si>
    <t>Leche</t>
  </si>
  <si>
    <t>litro</t>
  </si>
  <si>
    <t>Esencias y polvo de hornear</t>
  </si>
  <si>
    <t>global</t>
  </si>
  <si>
    <t>Subtotal materia prima por torta</t>
  </si>
  <si>
    <t>2. Otros costos variables por torta</t>
  </si>
  <si>
    <t>Empaque: caja, base de cartón y cinta</t>
  </si>
  <si>
    <t>Comisión de venta y delivery</t>
  </si>
  <si>
    <t>Energía variable del horno</t>
  </si>
  <si>
    <t>Subtotal otros costos variables</t>
  </si>
  <si>
    <t>3. Indicadores de costo</t>
  </si>
  <si>
    <t>Costo variable unitario, CVU (S/)</t>
  </si>
  <si>
    <t>Costos fijos mensuales (S/)</t>
  </si>
  <si>
    <t>Volumen mensual (tortas)</t>
  </si>
  <si>
    <t>Costo fijo unitario (S/)</t>
  </si>
  <si>
    <t>Costo unitario total (S/)</t>
  </si>
  <si>
    <t>4. El costo unitario no es un número fijo: depende del volumen</t>
  </si>
  <si>
    <t>Conclusión del equipo:</t>
  </si>
  <si>
    <t>El costo unitario cae al producir más porque el costo fijo se reparte entre más tortas.</t>
  </si>
  <si>
    <t>CASO 2. COST-PLUS: EL RECARGO NO ES EL MARGEN</t>
  </si>
  <si>
    <t>La dueña fija el precio agregando 50% al costo. Compruebe que margen obtiene en realidad.</t>
  </si>
  <si>
    <t>Costo unitario (S/)</t>
  </si>
  <si>
    <t>Recargo aplicado por la dueña</t>
  </si>
  <si>
    <t>Precio con Cost-Plus (S/)</t>
  </si>
  <si>
    <t>Utilidad unitaria (S/)</t>
  </si>
  <si>
    <t>Recargo comprobado</t>
  </si>
  <si>
    <t>Margen bruto real</t>
  </si>
  <si>
    <t>Tabla de conversión: recargo aplicado y margen que realmente produce</t>
  </si>
  <si>
    <t>Recargo</t>
  </si>
  <si>
    <t>Precio (S/)</t>
  </si>
  <si>
    <t>Margen bruto resultante</t>
  </si>
  <si>
    <t>Recargo necesario para obtener el margen meta de la empresa</t>
  </si>
  <si>
    <t>Precio que corresponde a ese recargo (S/)</t>
  </si>
  <si>
    <t>Un recargo de 50% produce solo 33.33% de margen. Para 40% de margen hace falta 66.67% de recargo.</t>
  </si>
  <si>
    <t>CASO 3. PRECIO A PARTIR DE UN MARGEN BRUTO DESEADO</t>
  </si>
  <si>
    <t>Método correcto: Precio = Costo / (1 - margen deseado). Método erróneo frecuente: Costo x (1 + margen).</t>
  </si>
  <si>
    <t>Margen deseado</t>
  </si>
  <si>
    <t>Precio correcto (S/)</t>
  </si>
  <si>
    <t>Precio método erróneo (S/)</t>
  </si>
  <si>
    <t>Margen real del método erróneo</t>
  </si>
  <si>
    <t>Diferencia por torta (S/)</t>
  </si>
  <si>
    <t>Diferencia mensual (S/)</t>
  </si>
  <si>
    <t>Con la meta de 40%, usar el método erróneo cuesta S/ 10.67 por torta y S/ 4,266.67 al mes.</t>
  </si>
  <si>
    <t>CASO 4. INGENIERÍA DEL MARGEN DEL PORTAFOLIO</t>
  </si>
  <si>
    <t>Meta de margen bruto de la empresa: ver hoja Datos. Complete de la columna E a la J.</t>
  </si>
  <si>
    <t>Producto</t>
  </si>
  <si>
    <t>Precio actual (S/)</t>
  </si>
  <si>
    <t>Unidades por mes</t>
  </si>
  <si>
    <t>Margen bruto</t>
  </si>
  <si>
    <t>Cumple meta</t>
  </si>
  <si>
    <t>Precio meta (S/)</t>
  </si>
  <si>
    <t>Variación de precio requerida</t>
  </si>
  <si>
    <t>Ingresos del mes (S/)</t>
  </si>
  <si>
    <t>Margen del mes (S/)</t>
  </si>
  <si>
    <t>Torta de chocolate 1 kg</t>
  </si>
  <si>
    <t>Cheesecake de maracuyá</t>
  </si>
  <si>
    <t>Alfajores caja x 12</t>
  </si>
  <si>
    <t>Pan de yema bolsa x 6</t>
  </si>
  <si>
    <t>Empanada de pollo</t>
  </si>
  <si>
    <t>Totales</t>
  </si>
  <si>
    <t>Margen ponderado real del portafolio</t>
  </si>
  <si>
    <t>Promedio simple de los márgenes</t>
  </si>
  <si>
    <t>Producto que más margen aporta en soles</t>
  </si>
  <si>
    <t>Producto con la mayor brecha de precio</t>
  </si>
  <si>
    <t>El margen ponderado es menor que el promedio simple porque el producto de menor margen es el de mayor volumen.</t>
  </si>
  <si>
    <t>CASO 5. CLASIFICACIÓN DE COSTOS, MCU Y PUNTO DE EQUILIBRIO</t>
  </si>
  <si>
    <t>Clasifique cada costo con la lista desplegable y separe la parte fija de la parte variable.</t>
  </si>
  <si>
    <t>Concepto (mes de 400 tortas)</t>
  </si>
  <si>
    <t>Importe mensual (S/)</t>
  </si>
  <si>
    <t>Clasificación</t>
  </si>
  <si>
    <t>Parte fija (S/)</t>
  </si>
  <si>
    <t>Parte variable (S/)</t>
  </si>
  <si>
    <t>Insumos de materia prima</t>
  </si>
  <si>
    <t>Variable</t>
  </si>
  <si>
    <t>Cajas, bases de cartón y cintas</t>
  </si>
  <si>
    <t>Energía del horno: S/ 180 fijos más S/ 0.90 por torta</t>
  </si>
  <si>
    <t>Mixto</t>
  </si>
  <si>
    <t>Fijo</t>
  </si>
  <si>
    <t>Margen de contribución unitario, MCU (S/)</t>
  </si>
  <si>
    <t>Razón de contribución (MCU / Precio)</t>
  </si>
  <si>
    <t>Punto de equilibrio exacto (tortas)</t>
  </si>
  <si>
    <t>Punto de equilibrio en unidades enteras</t>
  </si>
  <si>
    <t>Margen de seguridad sobre el volumen actual</t>
  </si>
  <si>
    <t>Utilidad mensual actual (S/)</t>
  </si>
  <si>
    <t>Cada torta aporta S/ 29 a los costos fijos; con 125 tortas la línea deja de perder.</t>
  </si>
  <si>
    <t>CASO 6. PRECIO, VOLUMEN, INGRESOS Y UTILIDAD</t>
  </si>
  <si>
    <t>El área comercial estimó cuántas tortas se venderían con cada precio. Complete de la columna D a la I.</t>
  </si>
  <si>
    <t>Escenario</t>
  </si>
  <si>
    <t>Unidades</t>
  </si>
  <si>
    <t>Ingresos (S/)</t>
  </si>
  <si>
    <t>MCU (S/)</t>
  </si>
  <si>
    <t>Margen de contribución total (S/)</t>
  </si>
  <si>
    <t>Costos fijos (S/)</t>
  </si>
  <si>
    <t>Utilidad (S/)</t>
  </si>
  <si>
    <t>Punto de equilibrio (tortas)</t>
  </si>
  <si>
    <t>Baja 10%</t>
  </si>
  <si>
    <t>Baja 5%</t>
  </si>
  <si>
    <t>Actual</t>
  </si>
  <si>
    <t>Sube 5%</t>
  </si>
  <si>
    <t>Sube 10%</t>
  </si>
  <si>
    <t>Escenario con mayores ingresos</t>
  </si>
  <si>
    <t>Escenario con mayor utilidad</t>
  </si>
  <si>
    <t>Diferencia de utilidad entre el mejor escenario y el actual (S/)</t>
  </si>
  <si>
    <t>Tortas que necesitaría el escenario Baja 10% para igualar la utilidad actual</t>
  </si>
  <si>
    <t>El escenario de mayores ingresos no es el de mayor utilidad: bajar el precio vende más y gana menos.</t>
  </si>
  <si>
    <t>CASO 7. RULETA DE ESCENARIOS</t>
  </si>
  <si>
    <t>El docente anuncia un shock. El equipo tiene tres minutos para recalcular y responder con un número.</t>
  </si>
  <si>
    <t>Shock</t>
  </si>
  <si>
    <t>Cambio en el CVU (S/)</t>
  </si>
  <si>
    <t>Cambio en costos fijos (S/)</t>
  </si>
  <si>
    <t>CVU nuevo (S/)</t>
  </si>
  <si>
    <t>Utilidad mensual (S/)</t>
  </si>
  <si>
    <t>Decisión propuesta</t>
  </si>
  <si>
    <t>1. El chocolate de cobertura sube 20%</t>
  </si>
  <si>
    <t>2. La competencia lanza su torta a S/ 52 y Dulce Sabor baja a S/ 54</t>
  </si>
  <si>
    <t>3. La empresa de delivery sube su comisión en S/ 1.50 por torta</t>
  </si>
  <si>
    <t>4. El alquiler asignado sube S/ 450 al mes</t>
  </si>
  <si>
    <t>5. Campaña: 10% de descuento y el volumen sube a 500 tortas</t>
  </si>
  <si>
    <t>Utilidad mensual sin shock (referencia, S/)</t>
  </si>
  <si>
    <t>Shock que más daña la utilidad</t>
  </si>
  <si>
    <t>ESTACIÓN ANALISTA SENIOR</t>
  </si>
  <si>
    <t>Trabajo individual complementario. Use la función de demanda estimada por el área comercial.</t>
  </si>
  <si>
    <t>Función de demanda: Unidades = a - b x Precio</t>
  </si>
  <si>
    <t>a</t>
  </si>
  <si>
    <t>b</t>
  </si>
  <si>
    <t>Comprobación: unidades al precio actual</t>
  </si>
  <si>
    <t>Reto 1. Matriz de sensibilidad: utilidad mensual según precio y costo variable unitario</t>
  </si>
  <si>
    <t>Filas: precio. Columnas: CVU. Use referencias mixtas y una sola fórmula copiada.</t>
  </si>
  <si>
    <t>Precio / CVU</t>
  </si>
  <si>
    <t>Reto 2. Elasticidad precio-demanda en el precio actual</t>
  </si>
  <si>
    <t>Elasticidad = -b x Precio / Unidades</t>
  </si>
  <si>
    <t>Interpretación (elástica o inelástica)</t>
  </si>
  <si>
    <t>Elastica: 1% de subida de precio reduce 1.75% las unidades.</t>
  </si>
  <si>
    <t>Reto 3. Precio que maximiza la utilidad</t>
  </si>
  <si>
    <t>Utilidad máxima (S/)</t>
  </si>
  <si>
    <t>Precio que la produce (S/)</t>
  </si>
  <si>
    <t>Diferencia frente a la utilidad actual (S/)</t>
  </si>
  <si>
    <t>Reto 4. CVU necesario para una utilidad meta de S/ 9,000 al precio actual</t>
  </si>
  <si>
    <t>Reducción exigida al costo variable unitario</t>
  </si>
  <si>
    <t>PAYASO</t>
  </si>
  <si>
    <t>12:00 - 14:00</t>
  </si>
  <si>
    <t xml:space="preserve">MARTES 22 </t>
  </si>
  <si>
    <t>JUEVES 17</t>
  </si>
  <si>
    <t>MARTES 15</t>
  </si>
  <si>
    <t>CHARADA DE LOBOS</t>
  </si>
  <si>
    <t>MIMICAS</t>
  </si>
  <si>
    <t>CHARADAS</t>
  </si>
  <si>
    <t>GASEOSA</t>
  </si>
  <si>
    <t xml:space="preserve">CINE + BUFFET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</si>
</sst>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00"/>
  </numFmts>
  <fonts count="5" x14ac:knownFonts="1">
    <font>
      <sz val="11"/>
      <color theme="1"/>
      <name val="Calibri"/>
      <family val="2"/>
      <charset val="1"/>
    </font>
    <font>
      <b/>
      <sz val="12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/>
    <xf numFmtId="3" fontId="2" fillId="0" borderId="1" xfId="0" applyNumberFormat="1" applyFont="1" applyBorder="1" applyAlignment="1"/>
    <xf numFmtId="4" fontId="2" fillId="0" borderId="1" xfId="0" applyNumberFormat="1" applyFont="1" applyBorder="1" applyAlignment="1"/>
    <xf numFmtId="10" fontId="2" fillId="0" borderId="1" xfId="0" applyNumberFormat="1" applyFont="1" applyBorder="1" applyAlignment="1"/>
    <xf numFmtId="0" fontId="4" fillId="0" borderId="1" xfId="0" applyFont="1" applyBorder="1" applyAlignment="1"/>
    <xf numFmtId="0" fontId="3" fillId="0" borderId="1" xfId="0" applyFont="1" applyBorder="1" applyAlignment="1"/>
    <xf numFmtId="164" fontId="2" fillId="0" borderId="1" xfId="0" applyNumberFormat="1" applyFont="1" applyBorder="1" applyAlignment="1"/>
    <xf numFmtId="165" fontId="2" fillId="0" borderId="1" xfId="0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3"/>
  <sheetViews>
    <sheetView zoomScaleNormal="100" workbookViewId="0"/>
  </sheetViews>
  <sheetFormatPr baseColWidth="10" defaultColWidth="8.6640625" defaultRowHeight="14.4" x14ac:dyDescent="0.3"/>
  <cols>
    <col min="1" max="1" width="100" style="1" customWidth="1"/>
  </cols>
  <sheetData>
    <row r="1" spans="1:1" ht="15" customHeight="1" x14ac:dyDescent="0.3">
      <c r="A1" s="2" t="s">
        <v>0</v>
      </c>
    </row>
    <row r="2" spans="1:1" ht="15" customHeight="1" x14ac:dyDescent="0.3">
      <c r="A2" s="3"/>
    </row>
    <row r="3" spans="1:1" ht="15" customHeight="1" x14ac:dyDescent="0.3">
      <c r="A3" s="3" t="s">
        <v>1</v>
      </c>
    </row>
    <row r="4" spans="1:1" ht="15" customHeight="1" x14ac:dyDescent="0.3">
      <c r="A4" s="3"/>
    </row>
    <row r="5" spans="1:1" ht="15" customHeight="1" x14ac:dyDescent="0.3">
      <c r="A5" s="3" t="s">
        <v>2</v>
      </c>
    </row>
    <row r="6" spans="1:1" ht="15" customHeight="1" x14ac:dyDescent="0.3">
      <c r="A6" s="3" t="s">
        <v>3</v>
      </c>
    </row>
    <row r="7" spans="1:1" ht="15" customHeight="1" x14ac:dyDescent="0.3">
      <c r="A7" s="3" t="s">
        <v>4</v>
      </c>
    </row>
    <row r="8" spans="1:1" ht="15" customHeight="1" x14ac:dyDescent="0.3">
      <c r="A8" s="3" t="s">
        <v>5</v>
      </c>
    </row>
    <row r="9" spans="1:1" ht="15" customHeight="1" x14ac:dyDescent="0.3">
      <c r="A9" s="3" t="s">
        <v>6</v>
      </c>
    </row>
    <row r="10" spans="1:1" ht="15" customHeight="1" x14ac:dyDescent="0.3">
      <c r="A10" s="3" t="s">
        <v>7</v>
      </c>
    </row>
    <row r="11" spans="1:1" ht="15" customHeight="1" x14ac:dyDescent="0.3">
      <c r="A11" s="3"/>
    </row>
    <row r="12" spans="1:1" ht="15" customHeight="1" x14ac:dyDescent="0.3">
      <c r="A12" s="3" t="s">
        <v>8</v>
      </c>
    </row>
    <row r="13" spans="1:1" ht="15" customHeight="1" x14ac:dyDescent="0.3">
      <c r="A13" s="3" t="s">
        <v>9</v>
      </c>
    </row>
    <row r="14" spans="1:1" ht="15" customHeight="1" x14ac:dyDescent="0.3">
      <c r="A14" s="3" t="s">
        <v>10</v>
      </c>
    </row>
    <row r="15" spans="1:1" ht="15" customHeight="1" x14ac:dyDescent="0.3">
      <c r="A15" s="3" t="s">
        <v>11</v>
      </c>
    </row>
    <row r="16" spans="1:1" ht="15" customHeight="1" x14ac:dyDescent="0.3">
      <c r="A16" s="3" t="s">
        <v>12</v>
      </c>
    </row>
    <row r="17" spans="1:1" ht="15" customHeight="1" x14ac:dyDescent="0.3">
      <c r="A17" s="3" t="s">
        <v>13</v>
      </c>
    </row>
    <row r="18" spans="1:1" ht="15" customHeight="1" x14ac:dyDescent="0.3">
      <c r="A18" s="3" t="s">
        <v>14</v>
      </c>
    </row>
    <row r="19" spans="1:1" ht="15" customHeight="1" x14ac:dyDescent="0.3">
      <c r="A19" s="3" t="s">
        <v>15</v>
      </c>
    </row>
    <row r="20" spans="1:1" ht="15" customHeight="1" x14ac:dyDescent="0.3">
      <c r="A20" s="3" t="s">
        <v>16</v>
      </c>
    </row>
    <row r="21" spans="1:1" ht="15" customHeight="1" x14ac:dyDescent="0.3">
      <c r="A21" s="3" t="s">
        <v>17</v>
      </c>
    </row>
    <row r="22" spans="1:1" ht="15" customHeight="1" x14ac:dyDescent="0.3">
      <c r="A22" s="3"/>
    </row>
    <row r="23" spans="1:1" ht="15" customHeight="1" x14ac:dyDescent="0.3">
      <c r="A23" s="3" t="s">
        <v>18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"/>
  <sheetViews>
    <sheetView zoomScaleNormal="100" workbookViewId="0"/>
  </sheetViews>
  <sheetFormatPr baseColWidth="10" defaultColWidth="8.6640625" defaultRowHeight="14.4" x14ac:dyDescent="0.3"/>
  <cols>
    <col min="1" max="1" width="46" style="1" customWidth="1"/>
    <col min="2" max="2" width="16" style="1" customWidth="1"/>
    <col min="3" max="3" width="30" style="1" customWidth="1"/>
  </cols>
  <sheetData>
    <row r="1" spans="1:2" ht="15" customHeight="1" x14ac:dyDescent="0.3">
      <c r="A1" s="2" t="s">
        <v>19</v>
      </c>
      <c r="B1" s="4"/>
    </row>
    <row r="2" spans="1:2" ht="15" customHeight="1" x14ac:dyDescent="0.3">
      <c r="A2" s="3" t="s">
        <v>20</v>
      </c>
      <c r="B2" s="4"/>
    </row>
    <row r="3" spans="1:2" ht="15" customHeight="1" x14ac:dyDescent="0.3">
      <c r="A3" s="4"/>
      <c r="B3" s="4"/>
    </row>
    <row r="4" spans="1:2" ht="15" customHeight="1" x14ac:dyDescent="0.3">
      <c r="A4" s="5" t="s">
        <v>21</v>
      </c>
      <c r="B4" s="4"/>
    </row>
    <row r="5" spans="1:2" ht="15" customHeight="1" x14ac:dyDescent="0.3">
      <c r="A5" s="6" t="s">
        <v>22</v>
      </c>
      <c r="B5" s="6" t="s">
        <v>23</v>
      </c>
    </row>
    <row r="6" spans="1:2" ht="15" customHeight="1" x14ac:dyDescent="0.3">
      <c r="A6" s="7" t="s">
        <v>24</v>
      </c>
      <c r="B6" s="8">
        <v>400</v>
      </c>
    </row>
    <row r="7" spans="1:2" ht="15" customHeight="1" x14ac:dyDescent="0.3">
      <c r="A7" s="7" t="s">
        <v>25</v>
      </c>
      <c r="B7" s="9">
        <v>60</v>
      </c>
    </row>
    <row r="8" spans="1:2" ht="15" customHeight="1" x14ac:dyDescent="0.3">
      <c r="A8" s="7" t="s">
        <v>26</v>
      </c>
      <c r="B8" s="10">
        <v>0.4</v>
      </c>
    </row>
    <row r="9" spans="1:2" ht="15" customHeight="1" x14ac:dyDescent="0.3">
      <c r="A9" s="4"/>
      <c r="B9" s="4"/>
    </row>
    <row r="10" spans="1:2" ht="15" customHeight="1" x14ac:dyDescent="0.3">
      <c r="A10" s="5" t="s">
        <v>27</v>
      </c>
      <c r="B10" s="4"/>
    </row>
    <row r="11" spans="1:2" ht="15" customHeight="1" x14ac:dyDescent="0.3">
      <c r="A11" s="6" t="s">
        <v>22</v>
      </c>
      <c r="B11" s="6" t="s">
        <v>28</v>
      </c>
    </row>
    <row r="12" spans="1:2" ht="15" customHeight="1" x14ac:dyDescent="0.3">
      <c r="A12" s="7" t="s">
        <v>29</v>
      </c>
      <c r="B12" s="9">
        <v>1500</v>
      </c>
    </row>
    <row r="13" spans="1:2" ht="15" customHeight="1" x14ac:dyDescent="0.3">
      <c r="A13" s="7" t="s">
        <v>30</v>
      </c>
      <c r="B13" s="9">
        <v>1500</v>
      </c>
    </row>
    <row r="14" spans="1:2" ht="15" customHeight="1" x14ac:dyDescent="0.3">
      <c r="A14" s="7" t="s">
        <v>31</v>
      </c>
      <c r="B14" s="9">
        <v>300</v>
      </c>
    </row>
    <row r="15" spans="1:2" ht="15" customHeight="1" x14ac:dyDescent="0.3">
      <c r="A15" s="7" t="s">
        <v>32</v>
      </c>
      <c r="B15" s="9">
        <v>180</v>
      </c>
    </row>
    <row r="16" spans="1:2" ht="15" customHeight="1" x14ac:dyDescent="0.3">
      <c r="A16" s="7" t="s">
        <v>33</v>
      </c>
      <c r="B16" s="9">
        <v>120</v>
      </c>
    </row>
    <row r="17" spans="1:2" ht="15" customHeight="1" x14ac:dyDescent="0.3">
      <c r="A17" s="11" t="s">
        <v>34</v>
      </c>
      <c r="B17" s="9">
        <f>SUM(B12:B16)</f>
        <v>3600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5"/>
  <sheetViews>
    <sheetView topLeftCell="A22" zoomScale="127" zoomScaleNormal="100" workbookViewId="0">
      <selection activeCell="B37" sqref="B37"/>
    </sheetView>
  </sheetViews>
  <sheetFormatPr baseColWidth="10" defaultColWidth="8.6640625" defaultRowHeight="14.4" x14ac:dyDescent="0.3"/>
  <cols>
    <col min="1" max="1" width="44" style="1" customWidth="1"/>
    <col min="2" max="2" width="14" style="1" customWidth="1"/>
    <col min="3" max="3" width="12" style="1" customWidth="1"/>
    <col min="4" max="4" width="18" style="1" customWidth="1"/>
    <col min="5" max="5" width="16" style="1" customWidth="1"/>
  </cols>
  <sheetData>
    <row r="1" spans="1:5" ht="15" customHeight="1" x14ac:dyDescent="0.3">
      <c r="A1" s="2" t="s">
        <v>35</v>
      </c>
      <c r="B1" s="4"/>
      <c r="C1" s="4"/>
      <c r="D1" s="4"/>
      <c r="E1" s="4"/>
    </row>
    <row r="2" spans="1:5" ht="15" customHeight="1" x14ac:dyDescent="0.3">
      <c r="A2" s="3" t="s">
        <v>36</v>
      </c>
      <c r="B2" s="4"/>
      <c r="C2" s="4"/>
      <c r="D2" s="4"/>
      <c r="E2" s="4"/>
    </row>
    <row r="3" spans="1:5" ht="15" customHeight="1" x14ac:dyDescent="0.3">
      <c r="A3" s="4"/>
      <c r="B3" s="4"/>
      <c r="C3" s="4"/>
      <c r="D3" s="4"/>
      <c r="E3" s="4"/>
    </row>
    <row r="4" spans="1:5" ht="15" customHeight="1" x14ac:dyDescent="0.3">
      <c r="A4" s="5" t="s">
        <v>37</v>
      </c>
      <c r="B4" s="4"/>
      <c r="C4" s="4"/>
      <c r="D4" s="4"/>
      <c r="E4" s="4"/>
    </row>
    <row r="5" spans="1:5" ht="15" customHeight="1" x14ac:dyDescent="0.3">
      <c r="A5" s="6" t="s">
        <v>38</v>
      </c>
      <c r="B5" s="6" t="s">
        <v>39</v>
      </c>
      <c r="C5" s="6" t="s">
        <v>40</v>
      </c>
      <c r="D5" s="6" t="s">
        <v>41</v>
      </c>
      <c r="E5" s="6" t="s">
        <v>42</v>
      </c>
    </row>
    <row r="6" spans="1:5" ht="15" customHeight="1" x14ac:dyDescent="0.3">
      <c r="A6" s="7" t="s">
        <v>43</v>
      </c>
      <c r="B6" s="9">
        <v>0.5</v>
      </c>
      <c r="C6" s="7" t="s">
        <v>44</v>
      </c>
      <c r="D6" s="9">
        <v>4.2</v>
      </c>
      <c r="E6" s="9">
        <f t="shared" ref="E6:E12" si="0">B6*D6</f>
        <v>2.1</v>
      </c>
    </row>
    <row r="7" spans="1:5" ht="15" customHeight="1" x14ac:dyDescent="0.3">
      <c r="A7" s="7" t="s">
        <v>45</v>
      </c>
      <c r="B7" s="9">
        <v>0.4</v>
      </c>
      <c r="C7" s="7" t="s">
        <v>44</v>
      </c>
      <c r="D7" s="9">
        <v>3.5</v>
      </c>
      <c r="E7" s="9">
        <f t="shared" si="0"/>
        <v>1.4000000000000001</v>
      </c>
    </row>
    <row r="8" spans="1:5" ht="15" customHeight="1" x14ac:dyDescent="0.3">
      <c r="A8" s="7" t="s">
        <v>46</v>
      </c>
      <c r="B8" s="9">
        <v>0.35</v>
      </c>
      <c r="C8" s="7" t="s">
        <v>44</v>
      </c>
      <c r="D8" s="9">
        <v>28</v>
      </c>
      <c r="E8" s="9">
        <f t="shared" si="0"/>
        <v>9.7999999999999989</v>
      </c>
    </row>
    <row r="9" spans="1:5" ht="15" customHeight="1" x14ac:dyDescent="0.3">
      <c r="A9" s="7" t="s">
        <v>47</v>
      </c>
      <c r="B9" s="9">
        <v>6</v>
      </c>
      <c r="C9" s="7" t="s">
        <v>48</v>
      </c>
      <c r="D9" s="9">
        <v>0.55000000000000004</v>
      </c>
      <c r="E9" s="9">
        <f t="shared" si="0"/>
        <v>3.3000000000000003</v>
      </c>
    </row>
    <row r="10" spans="1:5" ht="15" customHeight="1" x14ac:dyDescent="0.3">
      <c r="A10" s="7" t="s">
        <v>49</v>
      </c>
      <c r="B10" s="9">
        <v>0.25</v>
      </c>
      <c r="C10" s="7" t="s">
        <v>44</v>
      </c>
      <c r="D10" s="9">
        <v>22</v>
      </c>
      <c r="E10" s="9">
        <f t="shared" si="0"/>
        <v>5.5</v>
      </c>
    </row>
    <row r="11" spans="1:5" ht="15" customHeight="1" x14ac:dyDescent="0.3">
      <c r="A11" s="7" t="s">
        <v>50</v>
      </c>
      <c r="B11" s="9">
        <v>0.3</v>
      </c>
      <c r="C11" s="7" t="s">
        <v>51</v>
      </c>
      <c r="D11" s="9">
        <v>4</v>
      </c>
      <c r="E11" s="9">
        <f t="shared" si="0"/>
        <v>1.2</v>
      </c>
    </row>
    <row r="12" spans="1:5" ht="15" customHeight="1" x14ac:dyDescent="0.3">
      <c r="A12" s="7" t="s">
        <v>52</v>
      </c>
      <c r="B12" s="9">
        <v>1</v>
      </c>
      <c r="C12" s="7" t="s">
        <v>53</v>
      </c>
      <c r="D12" s="9">
        <v>1.9</v>
      </c>
      <c r="E12" s="9">
        <f t="shared" si="0"/>
        <v>1.9</v>
      </c>
    </row>
    <row r="13" spans="1:5" ht="15" customHeight="1" x14ac:dyDescent="0.3">
      <c r="A13" s="11" t="s">
        <v>54</v>
      </c>
      <c r="B13" s="12"/>
      <c r="C13" s="12"/>
      <c r="D13" s="12"/>
      <c r="E13" s="9">
        <f>SUM(E6:E12)</f>
        <v>25.199999999999996</v>
      </c>
    </row>
    <row r="14" spans="1:5" ht="15" customHeight="1" x14ac:dyDescent="0.3">
      <c r="A14" s="4"/>
      <c r="B14" s="4"/>
      <c r="C14" s="4"/>
      <c r="D14" s="4"/>
      <c r="E14" s="4"/>
    </row>
    <row r="15" spans="1:5" ht="15" customHeight="1" x14ac:dyDescent="0.3">
      <c r="A15" s="5" t="s">
        <v>55</v>
      </c>
      <c r="B15" s="4"/>
      <c r="C15" s="4"/>
      <c r="D15" s="4"/>
      <c r="E15" s="4"/>
    </row>
    <row r="16" spans="1:5" ht="15" customHeight="1" x14ac:dyDescent="0.3">
      <c r="A16" s="6" t="s">
        <v>22</v>
      </c>
      <c r="B16" s="6" t="s">
        <v>42</v>
      </c>
      <c r="C16" s="4"/>
      <c r="D16" s="4"/>
      <c r="E16" s="4"/>
    </row>
    <row r="17" spans="1:5" ht="15" customHeight="1" x14ac:dyDescent="0.3">
      <c r="A17" s="7" t="s">
        <v>56</v>
      </c>
      <c r="B17" s="9">
        <v>2.2999999999999998</v>
      </c>
      <c r="C17" s="4"/>
      <c r="D17" s="4"/>
      <c r="E17" s="4"/>
    </row>
    <row r="18" spans="1:5" ht="15" customHeight="1" x14ac:dyDescent="0.3">
      <c r="A18" s="7" t="s">
        <v>57</v>
      </c>
      <c r="B18" s="9">
        <v>2.6</v>
      </c>
      <c r="C18" s="4"/>
      <c r="D18" s="4"/>
      <c r="E18" s="4"/>
    </row>
    <row r="19" spans="1:5" ht="15" customHeight="1" x14ac:dyDescent="0.3">
      <c r="A19" s="7" t="s">
        <v>58</v>
      </c>
      <c r="B19" s="9">
        <v>0.9</v>
      </c>
      <c r="C19" s="4"/>
      <c r="D19" s="4"/>
      <c r="E19" s="4"/>
    </row>
    <row r="20" spans="1:5" ht="15" customHeight="1" x14ac:dyDescent="0.3">
      <c r="A20" s="11" t="s">
        <v>59</v>
      </c>
      <c r="B20" s="9">
        <f>SUM(B17:B19)</f>
        <v>5.8000000000000007</v>
      </c>
      <c r="C20" s="4"/>
      <c r="D20" s="4"/>
      <c r="E20" s="4"/>
    </row>
    <row r="21" spans="1:5" ht="15" customHeight="1" x14ac:dyDescent="0.3">
      <c r="A21" s="4"/>
      <c r="B21" s="4"/>
      <c r="C21" s="4"/>
      <c r="D21" s="4"/>
      <c r="E21" s="4"/>
    </row>
    <row r="22" spans="1:5" ht="15" customHeight="1" x14ac:dyDescent="0.3">
      <c r="A22" s="5" t="s">
        <v>60</v>
      </c>
      <c r="B22" s="4"/>
      <c r="C22" s="4"/>
      <c r="D22" s="4"/>
      <c r="E22" s="4"/>
    </row>
    <row r="23" spans="1:5" ht="15" customHeight="1" x14ac:dyDescent="0.3">
      <c r="A23" s="7" t="s">
        <v>61</v>
      </c>
      <c r="B23" s="9">
        <f>E13+B20</f>
        <v>30.999999999999996</v>
      </c>
      <c r="C23" s="4"/>
      <c r="D23" s="4"/>
      <c r="E23" s="4"/>
    </row>
    <row r="24" spans="1:5" ht="15" customHeight="1" x14ac:dyDescent="0.3">
      <c r="A24" s="7" t="s">
        <v>62</v>
      </c>
      <c r="B24" s="9">
        <f>Datos!B17</f>
        <v>3600</v>
      </c>
      <c r="C24" s="4"/>
      <c r="D24" s="4"/>
      <c r="E24" s="4"/>
    </row>
    <row r="25" spans="1:5" ht="15" customHeight="1" x14ac:dyDescent="0.3">
      <c r="A25" s="7" t="s">
        <v>63</v>
      </c>
      <c r="B25" s="8">
        <f>Datos!B6</f>
        <v>400</v>
      </c>
      <c r="C25" s="4"/>
      <c r="D25" s="4"/>
      <c r="E25" s="4"/>
    </row>
    <row r="26" spans="1:5" ht="15" customHeight="1" x14ac:dyDescent="0.3">
      <c r="A26" s="7" t="s">
        <v>64</v>
      </c>
      <c r="B26" s="9">
        <f>B24/B25</f>
        <v>9</v>
      </c>
      <c r="C26" s="4"/>
      <c r="D26" s="4"/>
      <c r="E26" s="4"/>
    </row>
    <row r="27" spans="1:5" ht="15" customHeight="1" x14ac:dyDescent="0.3">
      <c r="A27" s="7" t="s">
        <v>65</v>
      </c>
      <c r="B27" s="9">
        <f>B23+B26</f>
        <v>40</v>
      </c>
      <c r="C27" s="4"/>
      <c r="D27" s="4"/>
      <c r="E27" s="4"/>
    </row>
    <row r="28" spans="1:5" ht="15" customHeight="1" x14ac:dyDescent="0.3">
      <c r="A28" s="4"/>
      <c r="B28" s="4"/>
      <c r="C28" s="4"/>
      <c r="D28" s="4"/>
      <c r="E28" s="4"/>
    </row>
    <row r="29" spans="1:5" ht="15" customHeight="1" x14ac:dyDescent="0.3">
      <c r="A29" s="5" t="s">
        <v>66</v>
      </c>
      <c r="B29" s="4"/>
      <c r="C29" s="4"/>
      <c r="D29" s="4"/>
      <c r="E29" s="4"/>
    </row>
    <row r="30" spans="1:5" ht="34.5" customHeight="1" x14ac:dyDescent="0.3">
      <c r="A30" s="6" t="s">
        <v>63</v>
      </c>
      <c r="B30" s="6" t="s">
        <v>64</v>
      </c>
      <c r="C30" s="6" t="s">
        <v>65</v>
      </c>
      <c r="D30" s="4"/>
      <c r="E30" s="4"/>
    </row>
    <row r="31" spans="1:5" ht="15" customHeight="1" x14ac:dyDescent="0.3">
      <c r="A31" s="8">
        <v>300</v>
      </c>
      <c r="B31" s="9">
        <f>$B$24/A31</f>
        <v>12</v>
      </c>
      <c r="C31" s="9">
        <f>$B$23+B31</f>
        <v>43</v>
      </c>
      <c r="D31" s="4"/>
      <c r="E31" s="4"/>
    </row>
    <row r="32" spans="1:5" ht="15" customHeight="1" x14ac:dyDescent="0.3">
      <c r="A32" s="8">
        <v>400</v>
      </c>
      <c r="B32" s="9">
        <f>$B$24/A32</f>
        <v>9</v>
      </c>
      <c r="C32" s="9">
        <f>$B$23+B32</f>
        <v>40</v>
      </c>
      <c r="D32" s="4"/>
      <c r="E32" s="4"/>
    </row>
    <row r="33" spans="1:5" ht="15" customHeight="1" x14ac:dyDescent="0.3">
      <c r="A33" s="8">
        <v>500</v>
      </c>
      <c r="B33" s="9">
        <f>$B$24/A33</f>
        <v>7.2</v>
      </c>
      <c r="C33" s="9">
        <f>$B$23+B33</f>
        <v>38.199999999999996</v>
      </c>
      <c r="D33" s="4"/>
      <c r="E33" s="4"/>
    </row>
    <row r="34" spans="1:5" ht="15" customHeight="1" x14ac:dyDescent="0.3">
      <c r="A34" s="4"/>
      <c r="B34" s="4"/>
      <c r="C34" s="4"/>
      <c r="D34" s="4"/>
      <c r="E34" s="4"/>
    </row>
    <row r="35" spans="1:5" ht="15" customHeight="1" x14ac:dyDescent="0.3">
      <c r="A35" s="3" t="s">
        <v>67</v>
      </c>
      <c r="B35" s="7" t="s">
        <v>68</v>
      </c>
      <c r="C35" s="4"/>
      <c r="D35" s="4"/>
      <c r="E35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4"/>
  <sheetViews>
    <sheetView tabSelected="1" topLeftCell="B1" zoomScaleNormal="100" workbookViewId="0">
      <selection activeCell="M8" sqref="M8"/>
    </sheetView>
  </sheetViews>
  <sheetFormatPr baseColWidth="10" defaultColWidth="8.6640625" defaultRowHeight="14.4" x14ac:dyDescent="0.3"/>
  <cols>
    <col min="1" max="1" width="46" style="1" customWidth="1"/>
    <col min="2" max="2" width="16" style="1" customWidth="1"/>
    <col min="3" max="3" width="20" style="1" customWidth="1"/>
    <col min="4" max="4" width="22" style="1" customWidth="1"/>
  </cols>
  <sheetData>
    <row r="1" spans="1:16" ht="15" customHeight="1" x14ac:dyDescent="0.3">
      <c r="A1" s="2" t="s">
        <v>69</v>
      </c>
      <c r="B1" s="4"/>
      <c r="C1" s="4"/>
      <c r="D1" s="4"/>
    </row>
    <row r="2" spans="1:16" ht="15" customHeight="1" x14ac:dyDescent="0.3">
      <c r="A2" s="3" t="s">
        <v>70</v>
      </c>
      <c r="B2" s="4"/>
      <c r="C2" s="4"/>
      <c r="D2" s="4"/>
    </row>
    <row r="3" spans="1:16" ht="15" customHeight="1" x14ac:dyDescent="0.3">
      <c r="A3" s="4"/>
      <c r="B3" s="4"/>
      <c r="C3" s="4"/>
      <c r="D3" s="4"/>
    </row>
    <row r="4" spans="1:16" ht="15" customHeight="1" x14ac:dyDescent="0.3">
      <c r="A4" s="7" t="s">
        <v>71</v>
      </c>
      <c r="B4" s="9">
        <f>+'Caso 1'!B27</f>
        <v>40</v>
      </c>
      <c r="C4" s="4"/>
      <c r="D4" s="4"/>
    </row>
    <row r="5" spans="1:16" ht="15" customHeight="1" x14ac:dyDescent="0.3">
      <c r="A5" s="7" t="s">
        <v>72</v>
      </c>
      <c r="B5" s="10">
        <v>0.5</v>
      </c>
      <c r="C5" s="4"/>
      <c r="D5" s="4"/>
    </row>
    <row r="6" spans="1:16" ht="15" customHeight="1" x14ac:dyDescent="0.3">
      <c r="A6" s="7" t="s">
        <v>73</v>
      </c>
      <c r="B6" s="9">
        <f>B4*(1+B5)</f>
        <v>60</v>
      </c>
      <c r="C6" s="4"/>
      <c r="D6" s="4"/>
    </row>
    <row r="7" spans="1:16" ht="15" customHeight="1" x14ac:dyDescent="0.3">
      <c r="A7" s="7" t="s">
        <v>74</v>
      </c>
      <c r="B7" s="9">
        <f>B6-B4</f>
        <v>20</v>
      </c>
      <c r="C7" s="4"/>
      <c r="D7" s="4"/>
    </row>
    <row r="8" spans="1:16" ht="15" customHeight="1" x14ac:dyDescent="0.3">
      <c r="A8" s="7" t="s">
        <v>75</v>
      </c>
      <c r="B8" s="10">
        <f>B7/B4</f>
        <v>0.5</v>
      </c>
      <c r="C8" s="4"/>
      <c r="D8" s="4"/>
    </row>
    <row r="9" spans="1:16" ht="15" customHeight="1" x14ac:dyDescent="0.3">
      <c r="A9" s="7" t="s">
        <v>76</v>
      </c>
      <c r="B9" s="10">
        <f>B7/B6</f>
        <v>0.33333333333333331</v>
      </c>
      <c r="C9" s="4"/>
      <c r="D9" s="4"/>
    </row>
    <row r="10" spans="1:16" ht="15" customHeight="1" x14ac:dyDescent="0.3">
      <c r="A10" s="4"/>
      <c r="B10" s="4"/>
      <c r="C10" s="4"/>
      <c r="D10" s="4"/>
    </row>
    <row r="11" spans="1:16" ht="15" customHeight="1" x14ac:dyDescent="0.3">
      <c r="A11" s="5" t="s">
        <v>77</v>
      </c>
      <c r="B11" s="4"/>
      <c r="C11" s="4"/>
      <c r="D11" s="4"/>
    </row>
    <row r="12" spans="1:16" ht="15" customHeight="1" x14ac:dyDescent="0.3">
      <c r="A12" s="6" t="s">
        <v>78</v>
      </c>
      <c r="B12" s="6" t="s">
        <v>79</v>
      </c>
      <c r="C12" s="6" t="s">
        <v>74</v>
      </c>
      <c r="D12" s="6" t="s">
        <v>80</v>
      </c>
      <c r="H12" t="s">
        <v>189</v>
      </c>
      <c r="I12" t="s">
        <v>190</v>
      </c>
      <c r="K12" t="s">
        <v>191</v>
      </c>
    </row>
    <row r="13" spans="1:16" ht="15" customHeight="1" x14ac:dyDescent="0.3">
      <c r="A13" s="10">
        <v>0.2</v>
      </c>
      <c r="B13" s="9">
        <f t="shared" ref="B13:B19" si="0">$B$4*(1+A13)</f>
        <v>48</v>
      </c>
      <c r="C13" s="9">
        <f t="shared" ref="C13:C19" si="1">B13-$B$4</f>
        <v>8</v>
      </c>
      <c r="D13" s="10">
        <f t="shared" ref="D13:D19" si="2">C13/B13</f>
        <v>0.16666666666666666</v>
      </c>
    </row>
    <row r="14" spans="1:16" ht="15" customHeight="1" x14ac:dyDescent="0.3">
      <c r="A14" s="10">
        <v>0.3</v>
      </c>
      <c r="B14" s="9">
        <f t="shared" si="0"/>
        <v>52</v>
      </c>
      <c r="C14" s="9">
        <f t="shared" si="1"/>
        <v>12</v>
      </c>
      <c r="D14" s="10">
        <f t="shared" si="2"/>
        <v>0.23076923076923078</v>
      </c>
      <c r="K14" t="s">
        <v>192</v>
      </c>
      <c r="M14" t="s">
        <v>198</v>
      </c>
    </row>
    <row r="15" spans="1:16" ht="15" customHeight="1" x14ac:dyDescent="0.3">
      <c r="A15" s="10">
        <v>0.4</v>
      </c>
      <c r="B15" s="9">
        <f t="shared" si="0"/>
        <v>56</v>
      </c>
      <c r="C15" s="9">
        <f t="shared" si="1"/>
        <v>16</v>
      </c>
      <c r="D15" s="10">
        <f t="shared" si="2"/>
        <v>0.2857142857142857</v>
      </c>
    </row>
    <row r="16" spans="1:16" ht="15" customHeight="1" x14ac:dyDescent="0.3">
      <c r="A16" s="10">
        <v>0.5</v>
      </c>
      <c r="B16" s="9">
        <f t="shared" si="0"/>
        <v>60</v>
      </c>
      <c r="C16" s="9">
        <f t="shared" si="1"/>
        <v>20</v>
      </c>
      <c r="D16" s="10">
        <f t="shared" si="2"/>
        <v>0.33333333333333331</v>
      </c>
      <c r="H16" t="s">
        <v>194</v>
      </c>
      <c r="K16" t="s">
        <v>193</v>
      </c>
      <c r="M16" t="s">
        <v>195</v>
      </c>
      <c r="N16" t="s">
        <v>196</v>
      </c>
      <c r="P16" t="s">
        <v>197</v>
      </c>
    </row>
    <row r="17" spans="1:4" ht="15" customHeight="1" x14ac:dyDescent="0.3">
      <c r="A17" s="10">
        <v>0.6</v>
      </c>
      <c r="B17" s="9">
        <f t="shared" si="0"/>
        <v>64</v>
      </c>
      <c r="C17" s="9">
        <f t="shared" si="1"/>
        <v>24</v>
      </c>
      <c r="D17" s="10">
        <f t="shared" si="2"/>
        <v>0.375</v>
      </c>
    </row>
    <row r="18" spans="1:4" ht="15" customHeight="1" x14ac:dyDescent="0.3">
      <c r="A18" s="10">
        <v>0.8</v>
      </c>
      <c r="B18" s="9">
        <f t="shared" si="0"/>
        <v>72</v>
      </c>
      <c r="C18" s="9">
        <f t="shared" si="1"/>
        <v>32</v>
      </c>
      <c r="D18" s="10">
        <f t="shared" si="2"/>
        <v>0.44444444444444442</v>
      </c>
    </row>
    <row r="19" spans="1:4" ht="15" customHeight="1" x14ac:dyDescent="0.3">
      <c r="A19" s="10">
        <v>1</v>
      </c>
      <c r="B19" s="9">
        <f t="shared" si="0"/>
        <v>80</v>
      </c>
      <c r="C19" s="9">
        <f t="shared" si="1"/>
        <v>40</v>
      </c>
      <c r="D19" s="10">
        <f t="shared" si="2"/>
        <v>0.5</v>
      </c>
    </row>
    <row r="20" spans="1:4" ht="15" customHeight="1" x14ac:dyDescent="0.3">
      <c r="A20" s="4"/>
      <c r="B20" s="4"/>
      <c r="C20" s="4"/>
      <c r="D20" s="4"/>
    </row>
    <row r="21" spans="1:4" ht="15" customHeight="1" x14ac:dyDescent="0.3">
      <c r="A21" s="7" t="s">
        <v>81</v>
      </c>
      <c r="B21" s="10">
        <f>Datos!B8/(1-Datos!B8)</f>
        <v>0.66666666666666674</v>
      </c>
      <c r="C21" s="4"/>
      <c r="D21" s="4"/>
    </row>
    <row r="22" spans="1:4" ht="15" customHeight="1" x14ac:dyDescent="0.3">
      <c r="A22" s="7" t="s">
        <v>82</v>
      </c>
      <c r="B22" s="9">
        <f>B4*(1+B21)</f>
        <v>66.666666666666671</v>
      </c>
      <c r="C22" s="4"/>
      <c r="D22" s="4"/>
    </row>
    <row r="23" spans="1:4" ht="15" customHeight="1" x14ac:dyDescent="0.3">
      <c r="A23" s="4"/>
      <c r="B23" s="4"/>
      <c r="C23" s="4"/>
      <c r="D23" s="4"/>
    </row>
    <row r="24" spans="1:4" ht="15" customHeight="1" x14ac:dyDescent="0.3">
      <c r="A24" s="3" t="s">
        <v>67</v>
      </c>
      <c r="B24" s="7" t="s">
        <v>83</v>
      </c>
      <c r="C24" s="4"/>
      <c r="D24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3"/>
  <sheetViews>
    <sheetView zoomScaleNormal="100" workbookViewId="0"/>
  </sheetViews>
  <sheetFormatPr baseColWidth="10" defaultColWidth="8.6640625" defaultRowHeight="14.4" x14ac:dyDescent="0.3"/>
  <cols>
    <col min="1" max="1" width="18" style="1" customWidth="1"/>
    <col min="2" max="2" width="20" style="1" customWidth="1"/>
    <col min="3" max="4" width="22" style="1" customWidth="1"/>
    <col min="5" max="5" width="20" style="1" customWidth="1"/>
    <col min="6" max="6" width="24" style="1" customWidth="1"/>
  </cols>
  <sheetData>
    <row r="1" spans="1:6" ht="15" customHeight="1" x14ac:dyDescent="0.3">
      <c r="A1" s="2" t="s">
        <v>84</v>
      </c>
      <c r="B1" s="4"/>
      <c r="C1" s="4"/>
      <c r="D1" s="4"/>
      <c r="E1" s="4"/>
      <c r="F1" s="4"/>
    </row>
    <row r="2" spans="1:6" ht="15" customHeight="1" x14ac:dyDescent="0.3">
      <c r="A2" s="3" t="s">
        <v>85</v>
      </c>
      <c r="B2" s="4"/>
      <c r="C2" s="4"/>
      <c r="D2" s="4"/>
      <c r="E2" s="4"/>
      <c r="F2" s="4"/>
    </row>
    <row r="3" spans="1:6" ht="15" customHeight="1" x14ac:dyDescent="0.3">
      <c r="A3" s="4"/>
      <c r="B3" s="4"/>
      <c r="C3" s="4"/>
      <c r="D3" s="4"/>
      <c r="E3" s="4"/>
      <c r="F3" s="4"/>
    </row>
    <row r="4" spans="1:6" ht="15" customHeight="1" x14ac:dyDescent="0.3">
      <c r="A4" s="7" t="s">
        <v>71</v>
      </c>
      <c r="B4" s="9">
        <f>+'Caso 1'!B27</f>
        <v>40</v>
      </c>
      <c r="C4" s="4"/>
      <c r="D4" s="4"/>
      <c r="E4" s="4"/>
      <c r="F4" s="4"/>
    </row>
    <row r="5" spans="1:6" ht="15" customHeight="1" x14ac:dyDescent="0.3">
      <c r="A5" s="4"/>
      <c r="B5" s="4"/>
      <c r="C5" s="4"/>
      <c r="D5" s="4"/>
      <c r="E5" s="4"/>
      <c r="F5" s="4"/>
    </row>
    <row r="6" spans="1:6" ht="23.25" customHeight="1" x14ac:dyDescent="0.3">
      <c r="A6" s="6" t="s">
        <v>86</v>
      </c>
      <c r="B6" s="6" t="s">
        <v>87</v>
      </c>
      <c r="C6" s="6" t="s">
        <v>88</v>
      </c>
      <c r="D6" s="6" t="s">
        <v>89</v>
      </c>
      <c r="E6" s="6" t="s">
        <v>90</v>
      </c>
      <c r="F6" s="6" t="s">
        <v>91</v>
      </c>
    </row>
    <row r="7" spans="1:6" ht="15" customHeight="1" x14ac:dyDescent="0.3">
      <c r="A7" s="10">
        <v>0.3</v>
      </c>
      <c r="B7" s="9">
        <f>$B$4/(1-A7)</f>
        <v>57.142857142857146</v>
      </c>
      <c r="C7" s="9">
        <f>$B$4*(1+A7)</f>
        <v>52</v>
      </c>
      <c r="D7" s="10">
        <f>(C7-$B$4)/C7</f>
        <v>0.23076923076923078</v>
      </c>
      <c r="E7" s="9">
        <f>B7-C7</f>
        <v>5.1428571428571459</v>
      </c>
      <c r="F7" s="9">
        <f>E7*Datos!$B$6</f>
        <v>2057.1428571428582</v>
      </c>
    </row>
    <row r="8" spans="1:6" ht="15" customHeight="1" x14ac:dyDescent="0.3">
      <c r="A8" s="10">
        <v>0.35</v>
      </c>
      <c r="B8" s="9">
        <f>$B$4/(1-A8)</f>
        <v>61.538461538461533</v>
      </c>
      <c r="C8" s="9">
        <f>$B$4*(1+A8)</f>
        <v>54</v>
      </c>
      <c r="D8" s="10">
        <f>(C8-$B$4)/C8</f>
        <v>0.25925925925925924</v>
      </c>
      <c r="E8" s="9">
        <f>B8-C8</f>
        <v>7.538461538461533</v>
      </c>
      <c r="F8" s="9">
        <f>E8*Datos!$B$6</f>
        <v>3015.3846153846134</v>
      </c>
    </row>
    <row r="9" spans="1:6" ht="15" customHeight="1" x14ac:dyDescent="0.3">
      <c r="A9" s="10">
        <v>0.4</v>
      </c>
      <c r="B9" s="9">
        <f>$B$4/(1-A9)</f>
        <v>66.666666666666671</v>
      </c>
      <c r="C9" s="9">
        <f>$B$4*(1+A9)</f>
        <v>56</v>
      </c>
      <c r="D9" s="10">
        <f>(C9-$B$4)/C9</f>
        <v>0.2857142857142857</v>
      </c>
      <c r="E9" s="9">
        <f>B9-C9</f>
        <v>10.666666666666671</v>
      </c>
      <c r="F9" s="9">
        <f>E9*Datos!$B$6</f>
        <v>4266.6666666666688</v>
      </c>
    </row>
    <row r="10" spans="1:6" ht="15" customHeight="1" x14ac:dyDescent="0.3">
      <c r="A10" s="10">
        <v>0.45</v>
      </c>
      <c r="B10" s="9">
        <f>$B$4/(1-A10)</f>
        <v>72.72727272727272</v>
      </c>
      <c r="C10" s="9">
        <f>$B$4*(1+A10)</f>
        <v>58</v>
      </c>
      <c r="D10" s="10">
        <f>(C10-$B$4)/C10</f>
        <v>0.31034482758620691</v>
      </c>
      <c r="E10" s="9">
        <f>B10-C10</f>
        <v>14.72727272727272</v>
      </c>
      <c r="F10" s="9">
        <f>E10*Datos!$B$6</f>
        <v>5890.9090909090883</v>
      </c>
    </row>
    <row r="11" spans="1:6" ht="15" customHeight="1" x14ac:dyDescent="0.3">
      <c r="A11" s="10">
        <v>0.5</v>
      </c>
      <c r="B11" s="9">
        <f>$B$4/(1-A11)</f>
        <v>80</v>
      </c>
      <c r="C11" s="9">
        <f>$B$4*(1+A11)</f>
        <v>60</v>
      </c>
      <c r="D11" s="10">
        <f>(C11-$B$4)/C11</f>
        <v>0.33333333333333331</v>
      </c>
      <c r="E11" s="9">
        <f>B11-C11</f>
        <v>20</v>
      </c>
      <c r="F11" s="9">
        <f>E11*Datos!$B$6</f>
        <v>8000</v>
      </c>
    </row>
    <row r="12" spans="1:6" ht="15" customHeight="1" x14ac:dyDescent="0.3">
      <c r="A12" s="4"/>
      <c r="B12" s="4"/>
      <c r="C12" s="4"/>
      <c r="D12" s="4"/>
      <c r="E12" s="4"/>
      <c r="F12" s="4"/>
    </row>
    <row r="13" spans="1:6" ht="15" customHeight="1" x14ac:dyDescent="0.3">
      <c r="A13" s="3" t="s">
        <v>67</v>
      </c>
      <c r="B13" s="7" t="s">
        <v>92</v>
      </c>
      <c r="C13" s="4"/>
      <c r="D13" s="4"/>
      <c r="E13" s="4"/>
      <c r="F13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7"/>
  <sheetViews>
    <sheetView zoomScaleNormal="100" workbookViewId="0"/>
  </sheetViews>
  <sheetFormatPr baseColWidth="10" defaultColWidth="8.6640625" defaultRowHeight="14.4" x14ac:dyDescent="0.3"/>
  <cols>
    <col min="1" max="1" width="26" style="1" customWidth="1"/>
    <col min="2" max="5" width="14" style="1" customWidth="1"/>
    <col min="6" max="6" width="12" style="1" customWidth="1"/>
    <col min="7" max="7" width="16" style="1" customWidth="1"/>
    <col min="8" max="8" width="18" style="1" customWidth="1"/>
    <col min="9" max="10" width="16" style="1" customWidth="1"/>
  </cols>
  <sheetData>
    <row r="1" spans="1:10" ht="15" customHeight="1" x14ac:dyDescent="0.3">
      <c r="A1" s="2" t="s">
        <v>93</v>
      </c>
      <c r="B1" s="4"/>
      <c r="C1" s="4"/>
      <c r="D1" s="4"/>
      <c r="E1" s="4"/>
      <c r="F1" s="4"/>
      <c r="G1" s="4"/>
      <c r="H1" s="4"/>
      <c r="I1" s="4"/>
      <c r="J1" s="4"/>
    </row>
    <row r="2" spans="1:10" ht="15" customHeight="1" x14ac:dyDescent="0.3">
      <c r="A2" s="3" t="s">
        <v>94</v>
      </c>
      <c r="B2" s="4"/>
      <c r="C2" s="4"/>
      <c r="D2" s="4"/>
      <c r="E2" s="4"/>
      <c r="F2" s="4"/>
      <c r="G2" s="4"/>
      <c r="H2" s="4"/>
      <c r="I2" s="4"/>
      <c r="J2" s="4"/>
    </row>
    <row r="3" spans="1:10" ht="15" customHeight="1" x14ac:dyDescent="0.3">
      <c r="A3" s="4"/>
      <c r="B3" s="4"/>
      <c r="C3" s="4"/>
      <c r="D3" s="4"/>
      <c r="E3" s="4"/>
      <c r="F3" s="4"/>
      <c r="G3" s="4"/>
      <c r="H3" s="4"/>
      <c r="I3" s="4"/>
      <c r="J3" s="4"/>
    </row>
    <row r="4" spans="1:10" ht="23.25" customHeight="1" x14ac:dyDescent="0.3">
      <c r="A4" s="6" t="s">
        <v>95</v>
      </c>
      <c r="B4" s="6" t="s">
        <v>71</v>
      </c>
      <c r="C4" s="6" t="s">
        <v>96</v>
      </c>
      <c r="D4" s="6" t="s">
        <v>97</v>
      </c>
      <c r="E4" s="6" t="s">
        <v>98</v>
      </c>
      <c r="F4" s="6" t="s">
        <v>99</v>
      </c>
      <c r="G4" s="6" t="s">
        <v>100</v>
      </c>
      <c r="H4" s="6" t="s">
        <v>101</v>
      </c>
      <c r="I4" s="6" t="s">
        <v>102</v>
      </c>
      <c r="J4" s="6" t="s">
        <v>103</v>
      </c>
    </row>
    <row r="5" spans="1:10" ht="15" customHeight="1" x14ac:dyDescent="0.3">
      <c r="A5" s="7" t="s">
        <v>104</v>
      </c>
      <c r="B5" s="9">
        <v>40</v>
      </c>
      <c r="C5" s="9">
        <v>60</v>
      </c>
      <c r="D5" s="8">
        <v>400</v>
      </c>
      <c r="E5" s="10">
        <f>(C5-B5)/C5</f>
        <v>0.33333333333333331</v>
      </c>
      <c r="F5" s="7" t="str">
        <f>IF(E5&gt;=Datos!$B$8,"SI","NO")</f>
        <v>NO</v>
      </c>
      <c r="G5" s="9">
        <f>B5/(1-Datos!$B$8)</f>
        <v>66.666666666666671</v>
      </c>
      <c r="H5" s="10">
        <f>G5/C5-1</f>
        <v>0.11111111111111116</v>
      </c>
      <c r="I5" s="9">
        <f>C5*D5</f>
        <v>24000</v>
      </c>
      <c r="J5" s="9">
        <f>(C5-B5)*D5</f>
        <v>8000</v>
      </c>
    </row>
    <row r="6" spans="1:10" ht="15" customHeight="1" x14ac:dyDescent="0.3">
      <c r="A6" s="7" t="s">
        <v>105</v>
      </c>
      <c r="B6" s="9">
        <v>33</v>
      </c>
      <c r="C6" s="9">
        <v>58</v>
      </c>
      <c r="D6" s="8">
        <v>120</v>
      </c>
      <c r="E6" s="10">
        <f>(C6-B6)/C6</f>
        <v>0.43103448275862066</v>
      </c>
      <c r="F6" s="7" t="str">
        <f>IF(E6&gt;=Datos!$B$8,"SI","NO")</f>
        <v>SI</v>
      </c>
      <c r="G6" s="9">
        <f>B6/(1-Datos!$B$8)</f>
        <v>55</v>
      </c>
      <c r="H6" s="10">
        <f>G6/C6-1</f>
        <v>-5.1724137931034475E-2</v>
      </c>
      <c r="I6" s="9">
        <f>C6*D6</f>
        <v>6960</v>
      </c>
      <c r="J6" s="9">
        <f>(C6-B6)*D6</f>
        <v>3000</v>
      </c>
    </row>
    <row r="7" spans="1:10" ht="15" customHeight="1" x14ac:dyDescent="0.3">
      <c r="A7" s="7" t="s">
        <v>106</v>
      </c>
      <c r="B7" s="9">
        <v>18</v>
      </c>
      <c r="C7" s="9">
        <v>25</v>
      </c>
      <c r="D7" s="8">
        <v>200</v>
      </c>
      <c r="E7" s="10">
        <f>(C7-B7)/C7</f>
        <v>0.28000000000000003</v>
      </c>
      <c r="F7" s="7" t="str">
        <f>IF(E7&gt;=Datos!$B$8,"SI","NO")</f>
        <v>NO</v>
      </c>
      <c r="G7" s="9">
        <f>B7/(1-Datos!$B$8)</f>
        <v>30</v>
      </c>
      <c r="H7" s="10">
        <f>G7/C7-1</f>
        <v>0.19999999999999996</v>
      </c>
      <c r="I7" s="9">
        <f>C7*D7</f>
        <v>5000</v>
      </c>
      <c r="J7" s="9">
        <f>(C7-B7)*D7</f>
        <v>1400</v>
      </c>
    </row>
    <row r="8" spans="1:10" ht="15" customHeight="1" x14ac:dyDescent="0.3">
      <c r="A8" s="7" t="s">
        <v>107</v>
      </c>
      <c r="B8" s="9">
        <v>4.5</v>
      </c>
      <c r="C8" s="9">
        <v>6</v>
      </c>
      <c r="D8" s="8">
        <v>2000</v>
      </c>
      <c r="E8" s="10">
        <f>(C8-B8)/C8</f>
        <v>0.25</v>
      </c>
      <c r="F8" s="7" t="str">
        <f>IF(E8&gt;=Datos!$B$8,"SI","NO")</f>
        <v>NO</v>
      </c>
      <c r="G8" s="9">
        <f>B8/(1-Datos!$B$8)</f>
        <v>7.5</v>
      </c>
      <c r="H8" s="10">
        <f>G8/C8-1</f>
        <v>0.25</v>
      </c>
      <c r="I8" s="9">
        <f>C8*D8</f>
        <v>12000</v>
      </c>
      <c r="J8" s="9">
        <f>(C8-B8)*D8</f>
        <v>3000</v>
      </c>
    </row>
    <row r="9" spans="1:10" ht="15" customHeight="1" x14ac:dyDescent="0.3">
      <c r="A9" s="7" t="s">
        <v>108</v>
      </c>
      <c r="B9" s="9">
        <v>2.8</v>
      </c>
      <c r="C9" s="9">
        <v>5</v>
      </c>
      <c r="D9" s="8">
        <v>600</v>
      </c>
      <c r="E9" s="10">
        <f>(C9-B9)/C9</f>
        <v>0.44000000000000006</v>
      </c>
      <c r="F9" s="7" t="str">
        <f>IF(E9&gt;=Datos!$B$8,"SI","NO")</f>
        <v>SI</v>
      </c>
      <c r="G9" s="9">
        <f>B9/(1-Datos!$B$8)</f>
        <v>4.666666666666667</v>
      </c>
      <c r="H9" s="10">
        <f>G9/C9-1</f>
        <v>-6.6666666666666652E-2</v>
      </c>
      <c r="I9" s="9">
        <f>C9*D9</f>
        <v>3000</v>
      </c>
      <c r="J9" s="9">
        <f>(C9-B9)*D9</f>
        <v>1320</v>
      </c>
    </row>
    <row r="10" spans="1:10" ht="15" customHeight="1" x14ac:dyDescent="0.3">
      <c r="A10" s="11" t="s">
        <v>109</v>
      </c>
      <c r="B10" s="4"/>
      <c r="C10" s="4"/>
      <c r="D10" s="4"/>
      <c r="E10" s="4"/>
      <c r="F10" s="4"/>
      <c r="G10" s="4"/>
      <c r="H10" s="4"/>
      <c r="I10" s="9">
        <f>SUM(I5:I9)</f>
        <v>50960</v>
      </c>
      <c r="J10" s="9">
        <f>SUM(J5:J9)</f>
        <v>16720</v>
      </c>
    </row>
    <row r="11" spans="1:10" ht="15" customHeight="1" x14ac:dyDescent="0.3">
      <c r="A11" s="4"/>
      <c r="B11" s="4"/>
      <c r="C11" s="4"/>
      <c r="D11" s="4"/>
      <c r="E11" s="4"/>
      <c r="F11" s="4"/>
      <c r="G11" s="4"/>
      <c r="H11" s="4"/>
      <c r="I11" s="4"/>
      <c r="J11" s="4"/>
    </row>
    <row r="12" spans="1:10" ht="15" customHeight="1" x14ac:dyDescent="0.3">
      <c r="A12" s="7" t="s">
        <v>110</v>
      </c>
      <c r="B12" s="10">
        <f>J10/I10</f>
        <v>0.3281004709576138</v>
      </c>
      <c r="C12" s="4"/>
      <c r="D12" s="4"/>
      <c r="E12" s="4"/>
      <c r="F12" s="4"/>
      <c r="G12" s="4"/>
      <c r="H12" s="4"/>
      <c r="I12" s="4"/>
      <c r="J12" s="4"/>
    </row>
    <row r="13" spans="1:10" ht="15" customHeight="1" x14ac:dyDescent="0.3">
      <c r="A13" s="7" t="s">
        <v>111</v>
      </c>
      <c r="B13" s="10">
        <f>AVERAGE(E5:E9)</f>
        <v>0.34687356321839086</v>
      </c>
      <c r="C13" s="4"/>
      <c r="D13" s="4"/>
      <c r="E13" s="4"/>
      <c r="F13" s="4"/>
      <c r="G13" s="4"/>
      <c r="H13" s="4"/>
      <c r="I13" s="4"/>
      <c r="J13" s="4"/>
    </row>
    <row r="14" spans="1:10" ht="15" customHeight="1" x14ac:dyDescent="0.3">
      <c r="A14" s="7" t="s">
        <v>112</v>
      </c>
      <c r="B14" s="7" t="str">
        <f>INDEX(A5:A9,MATCH(MAX(J5:J9),J5:J9,0))</f>
        <v>Torta de chocolate 1 kg</v>
      </c>
      <c r="C14" s="4"/>
      <c r="D14" s="4"/>
      <c r="E14" s="4"/>
      <c r="F14" s="4"/>
      <c r="G14" s="4"/>
      <c r="H14" s="4"/>
      <c r="I14" s="4"/>
      <c r="J14" s="4"/>
    </row>
    <row r="15" spans="1:10" ht="15" customHeight="1" x14ac:dyDescent="0.3">
      <c r="A15" s="7" t="s">
        <v>113</v>
      </c>
      <c r="B15" s="7" t="str">
        <f>INDEX(A5:A9,MATCH(MAX(H5:H9),H5:H9,0))</f>
        <v>Pan de yema bolsa x 6</v>
      </c>
      <c r="C15" s="4"/>
      <c r="D15" s="4"/>
      <c r="E15" s="4"/>
      <c r="F15" s="4"/>
      <c r="G15" s="4"/>
      <c r="H15" s="4"/>
      <c r="I15" s="4"/>
      <c r="J15" s="4"/>
    </row>
    <row r="16" spans="1:10" ht="15" customHeight="1" x14ac:dyDescent="0.3">
      <c r="A16" s="4"/>
      <c r="B16" s="4"/>
      <c r="C16" s="4"/>
      <c r="D16" s="4"/>
      <c r="E16" s="4"/>
      <c r="F16" s="4"/>
      <c r="G16" s="4"/>
      <c r="H16" s="4"/>
      <c r="I16" s="4"/>
      <c r="J16" s="4"/>
    </row>
    <row r="17" spans="1:10" ht="15" customHeight="1" x14ac:dyDescent="0.3">
      <c r="A17" s="3" t="s">
        <v>67</v>
      </c>
      <c r="B17" s="7" t="s">
        <v>114</v>
      </c>
      <c r="C17" s="4"/>
      <c r="D17" s="4"/>
      <c r="E17" s="4"/>
      <c r="F17" s="4"/>
      <c r="G17" s="4"/>
      <c r="H17" s="4"/>
      <c r="I17" s="4"/>
      <c r="J17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6"/>
  <sheetViews>
    <sheetView zoomScaleNormal="100" workbookViewId="0">
      <selection activeCell="D8" sqref="D8"/>
    </sheetView>
  </sheetViews>
  <sheetFormatPr baseColWidth="10" defaultColWidth="8.6640625" defaultRowHeight="14.4" x14ac:dyDescent="0.3"/>
  <cols>
    <col min="1" max="1" width="50" style="1" customWidth="1"/>
    <col min="2" max="2" width="20" style="1" customWidth="1"/>
    <col min="3" max="3" width="16" style="1" customWidth="1"/>
    <col min="4" max="5" width="18" style="1" customWidth="1"/>
  </cols>
  <sheetData>
    <row r="1" spans="1:5" ht="15" customHeight="1" x14ac:dyDescent="0.3">
      <c r="A1" s="2" t="s">
        <v>115</v>
      </c>
      <c r="B1" s="4"/>
      <c r="C1" s="4"/>
      <c r="D1" s="4"/>
      <c r="E1" s="4"/>
    </row>
    <row r="2" spans="1:5" ht="15" customHeight="1" x14ac:dyDescent="0.3">
      <c r="A2" s="3" t="s">
        <v>116</v>
      </c>
      <c r="B2" s="4"/>
      <c r="C2" s="4"/>
      <c r="D2" s="4"/>
      <c r="E2" s="4"/>
    </row>
    <row r="3" spans="1:5" ht="15" customHeight="1" x14ac:dyDescent="0.3">
      <c r="A3" s="4"/>
      <c r="B3" s="4"/>
      <c r="C3" s="4"/>
      <c r="D3" s="4"/>
      <c r="E3" s="4"/>
    </row>
    <row r="4" spans="1:5" ht="15" customHeight="1" x14ac:dyDescent="0.3">
      <c r="A4" s="6" t="s">
        <v>117</v>
      </c>
      <c r="B4" s="6" t="s">
        <v>118</v>
      </c>
      <c r="C4" s="6" t="s">
        <v>119</v>
      </c>
      <c r="D4" s="6" t="s">
        <v>120</v>
      </c>
      <c r="E4" s="6" t="s">
        <v>121</v>
      </c>
    </row>
    <row r="5" spans="1:5" ht="15" customHeight="1" x14ac:dyDescent="0.3">
      <c r="A5" s="7" t="s">
        <v>122</v>
      </c>
      <c r="B5" s="9">
        <v>10080</v>
      </c>
      <c r="C5" s="7" t="s">
        <v>123</v>
      </c>
      <c r="D5" s="9">
        <v>0</v>
      </c>
      <c r="E5" s="9">
        <v>10080</v>
      </c>
    </row>
    <row r="6" spans="1:5" ht="15" customHeight="1" x14ac:dyDescent="0.3">
      <c r="A6" s="7" t="s">
        <v>124</v>
      </c>
      <c r="B6" s="9">
        <v>920</v>
      </c>
      <c r="C6" s="7" t="s">
        <v>123</v>
      </c>
      <c r="D6" s="9">
        <v>0</v>
      </c>
      <c r="E6" s="9">
        <v>920</v>
      </c>
    </row>
    <row r="7" spans="1:5" ht="15" customHeight="1" x14ac:dyDescent="0.3">
      <c r="A7" s="7" t="s">
        <v>57</v>
      </c>
      <c r="B7" s="9">
        <v>1040</v>
      </c>
      <c r="C7" s="7" t="s">
        <v>123</v>
      </c>
      <c r="D7" s="9">
        <v>0</v>
      </c>
      <c r="E7" s="9">
        <v>1040</v>
      </c>
    </row>
    <row r="8" spans="1:5" ht="15" customHeight="1" x14ac:dyDescent="0.3">
      <c r="A8" s="7" t="s">
        <v>125</v>
      </c>
      <c r="B8" s="9">
        <v>540</v>
      </c>
      <c r="C8" s="7" t="s">
        <v>126</v>
      </c>
      <c r="D8" s="9">
        <v>180</v>
      </c>
      <c r="E8" s="9">
        <v>360</v>
      </c>
    </row>
    <row r="9" spans="1:5" ht="15" customHeight="1" x14ac:dyDescent="0.3">
      <c r="A9" s="7" t="s">
        <v>29</v>
      </c>
      <c r="B9" s="9">
        <v>1500</v>
      </c>
      <c r="C9" s="7" t="s">
        <v>127</v>
      </c>
      <c r="D9" s="9">
        <v>1500</v>
      </c>
      <c r="E9" s="9">
        <v>0</v>
      </c>
    </row>
    <row r="10" spans="1:5" ht="15" customHeight="1" x14ac:dyDescent="0.3">
      <c r="A10" s="7" t="s">
        <v>30</v>
      </c>
      <c r="B10" s="9">
        <v>1500</v>
      </c>
      <c r="C10" s="7" t="s">
        <v>127</v>
      </c>
      <c r="D10" s="9">
        <v>1500</v>
      </c>
      <c r="E10" s="9">
        <v>0</v>
      </c>
    </row>
    <row r="11" spans="1:5" ht="15" customHeight="1" x14ac:dyDescent="0.3">
      <c r="A11" s="7" t="s">
        <v>31</v>
      </c>
      <c r="B11" s="9">
        <v>300</v>
      </c>
      <c r="C11" s="7" t="s">
        <v>127</v>
      </c>
      <c r="D11" s="9">
        <v>300</v>
      </c>
      <c r="E11" s="9">
        <v>0</v>
      </c>
    </row>
    <row r="12" spans="1:5" ht="15" customHeight="1" x14ac:dyDescent="0.3">
      <c r="A12" s="7" t="s">
        <v>33</v>
      </c>
      <c r="B12" s="9">
        <v>120</v>
      </c>
      <c r="C12" s="7" t="s">
        <v>127</v>
      </c>
      <c r="D12" s="9">
        <v>120</v>
      </c>
      <c r="E12" s="9">
        <v>0</v>
      </c>
    </row>
    <row r="13" spans="1:5" ht="15" customHeight="1" x14ac:dyDescent="0.3">
      <c r="A13" s="11" t="s">
        <v>109</v>
      </c>
      <c r="B13" s="12"/>
      <c r="C13" s="4"/>
      <c r="D13" s="9">
        <f>SUM(D5:D12)</f>
        <v>3600</v>
      </c>
      <c r="E13" s="9">
        <f>SUM(E5:E12)</f>
        <v>12400</v>
      </c>
    </row>
    <row r="14" spans="1:5" ht="15" customHeight="1" x14ac:dyDescent="0.3">
      <c r="A14" s="4"/>
      <c r="B14" s="4"/>
      <c r="C14" s="4"/>
      <c r="D14" s="4"/>
      <c r="E14" s="4"/>
    </row>
    <row r="15" spans="1:5" ht="15" customHeight="1" x14ac:dyDescent="0.3">
      <c r="A15" s="7" t="s">
        <v>63</v>
      </c>
      <c r="B15" s="8">
        <f>Datos!B6</f>
        <v>400</v>
      </c>
      <c r="C15" s="4"/>
      <c r="D15" s="4"/>
      <c r="E15" s="4"/>
    </row>
    <row r="16" spans="1:5" ht="15" customHeight="1" x14ac:dyDescent="0.3">
      <c r="A16" s="7" t="s">
        <v>61</v>
      </c>
      <c r="B16" s="9">
        <f>E13/B15</f>
        <v>31</v>
      </c>
      <c r="C16" s="4"/>
      <c r="D16" s="4"/>
      <c r="E16" s="4"/>
    </row>
    <row r="17" spans="1:5" ht="15" customHeight="1" x14ac:dyDescent="0.3">
      <c r="A17" s="7" t="s">
        <v>25</v>
      </c>
      <c r="B17" s="9">
        <f>Datos!B7</f>
        <v>60</v>
      </c>
      <c r="C17" s="4"/>
      <c r="D17" s="4"/>
      <c r="E17" s="4"/>
    </row>
    <row r="18" spans="1:5" ht="15" customHeight="1" x14ac:dyDescent="0.3">
      <c r="A18" s="7" t="s">
        <v>128</v>
      </c>
      <c r="B18" s="9">
        <f>B17-B16</f>
        <v>29</v>
      </c>
      <c r="C18" s="4"/>
      <c r="D18" s="4"/>
      <c r="E18" s="4"/>
    </row>
    <row r="19" spans="1:5" ht="15" customHeight="1" x14ac:dyDescent="0.3">
      <c r="A19" s="7" t="s">
        <v>129</v>
      </c>
      <c r="B19" s="10">
        <f>B18/B17</f>
        <v>0.48333333333333334</v>
      </c>
      <c r="C19" s="4"/>
      <c r="D19" s="4"/>
      <c r="E19" s="4"/>
    </row>
    <row r="20" spans="1:5" ht="15" customHeight="1" x14ac:dyDescent="0.3">
      <c r="A20" s="7" t="s">
        <v>62</v>
      </c>
      <c r="B20" s="9">
        <f>D13</f>
        <v>3600</v>
      </c>
      <c r="C20" s="4"/>
      <c r="D20" s="4"/>
      <c r="E20" s="4"/>
    </row>
    <row r="21" spans="1:5" ht="15" customHeight="1" x14ac:dyDescent="0.3">
      <c r="A21" s="7" t="s">
        <v>130</v>
      </c>
      <c r="B21" s="13">
        <f>B20/B18</f>
        <v>124.13793103448276</v>
      </c>
      <c r="C21" s="4"/>
      <c r="D21" s="4"/>
      <c r="E21" s="4"/>
    </row>
    <row r="22" spans="1:5" ht="15" customHeight="1" x14ac:dyDescent="0.3">
      <c r="A22" s="7" t="s">
        <v>131</v>
      </c>
      <c r="B22" s="8">
        <f>ROUNDUP(B21,0)</f>
        <v>125</v>
      </c>
      <c r="C22" s="4"/>
      <c r="D22" s="4"/>
      <c r="E22" s="4"/>
    </row>
    <row r="23" spans="1:5" ht="15" customHeight="1" x14ac:dyDescent="0.3">
      <c r="A23" s="7" t="s">
        <v>132</v>
      </c>
      <c r="B23" s="10">
        <f>(B15-B22)/B15</f>
        <v>0.6875</v>
      </c>
      <c r="C23" s="4"/>
      <c r="D23" s="4"/>
      <c r="E23" s="4"/>
    </row>
    <row r="24" spans="1:5" ht="15" customHeight="1" x14ac:dyDescent="0.3">
      <c r="A24" s="7" t="s">
        <v>133</v>
      </c>
      <c r="B24" s="9">
        <f>B18*B15-B20</f>
        <v>8000</v>
      </c>
      <c r="C24" s="4"/>
      <c r="D24" s="4"/>
      <c r="E24" s="4"/>
    </row>
    <row r="25" spans="1:5" ht="15" customHeight="1" x14ac:dyDescent="0.3">
      <c r="A25" s="4"/>
      <c r="B25" s="4"/>
      <c r="C25" s="4"/>
      <c r="D25" s="4"/>
      <c r="E25" s="4"/>
    </row>
    <row r="26" spans="1:5" ht="15" customHeight="1" x14ac:dyDescent="0.3">
      <c r="A26" s="3" t="s">
        <v>67</v>
      </c>
      <c r="B26" s="7" t="s">
        <v>134</v>
      </c>
      <c r="C26" s="4"/>
      <c r="D26" s="4"/>
      <c r="E26" s="4"/>
    </row>
  </sheetData>
  <dataValidations count="1">
    <dataValidation type="list" allowBlank="1" sqref="C5:C12" xr:uid="{00000000-0002-0000-0600-000000000000}">
      <formula1>"Fijo,Variable,Mixto"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6"/>
  <sheetViews>
    <sheetView zoomScaleNormal="100" workbookViewId="0">
      <selection activeCell="G12" sqref="G12"/>
    </sheetView>
  </sheetViews>
  <sheetFormatPr baseColWidth="10" defaultColWidth="8.6640625" defaultRowHeight="14.4" x14ac:dyDescent="0.3"/>
  <cols>
    <col min="1" max="2" width="14" style="1" customWidth="1"/>
    <col min="3" max="3" width="12" style="1" customWidth="1"/>
    <col min="4" max="4" width="16" style="1" customWidth="1"/>
    <col min="5" max="5" width="12" style="1" customWidth="1"/>
    <col min="6" max="6" width="22" style="1" customWidth="1"/>
    <col min="7" max="8" width="16" style="1" customWidth="1"/>
    <col min="9" max="9" width="18" style="1" customWidth="1"/>
  </cols>
  <sheetData>
    <row r="1" spans="1:9" ht="15" customHeight="1" x14ac:dyDescent="0.3">
      <c r="A1" s="2" t="s">
        <v>135</v>
      </c>
      <c r="B1" s="4"/>
      <c r="C1" s="4"/>
      <c r="D1" s="4"/>
      <c r="E1" s="4"/>
      <c r="F1" s="4"/>
      <c r="G1" s="4"/>
      <c r="H1" s="4"/>
      <c r="I1" s="4"/>
    </row>
    <row r="2" spans="1:9" ht="15" customHeight="1" x14ac:dyDescent="0.3">
      <c r="A2" s="3" t="s">
        <v>136</v>
      </c>
      <c r="B2" s="4"/>
      <c r="C2" s="4"/>
      <c r="D2" s="4"/>
      <c r="E2" s="4"/>
      <c r="F2" s="4"/>
      <c r="G2" s="4"/>
      <c r="H2" s="4"/>
      <c r="I2" s="4"/>
    </row>
    <row r="3" spans="1:9" ht="15" customHeight="1" x14ac:dyDescent="0.3">
      <c r="A3" s="4"/>
      <c r="B3" s="4"/>
      <c r="C3" s="4"/>
      <c r="D3" s="4"/>
      <c r="E3" s="4"/>
      <c r="F3" s="4"/>
      <c r="G3" s="4"/>
      <c r="H3" s="4"/>
      <c r="I3" s="4"/>
    </row>
    <row r="4" spans="1:9" ht="23.25" customHeight="1" x14ac:dyDescent="0.3">
      <c r="A4" s="6" t="s">
        <v>137</v>
      </c>
      <c r="B4" s="6" t="s">
        <v>79</v>
      </c>
      <c r="C4" s="6" t="s">
        <v>138</v>
      </c>
      <c r="D4" s="6" t="s">
        <v>139</v>
      </c>
      <c r="E4" s="6" t="s">
        <v>140</v>
      </c>
      <c r="F4" s="6" t="s">
        <v>141</v>
      </c>
      <c r="G4" s="6" t="s">
        <v>142</v>
      </c>
      <c r="H4" s="6" t="s">
        <v>143</v>
      </c>
      <c r="I4" s="6" t="s">
        <v>144</v>
      </c>
    </row>
    <row r="5" spans="1:9" ht="15" customHeight="1" x14ac:dyDescent="0.3">
      <c r="A5" s="7" t="s">
        <v>145</v>
      </c>
      <c r="B5" s="9">
        <v>54</v>
      </c>
      <c r="C5" s="8">
        <v>470</v>
      </c>
      <c r="D5" s="9">
        <f>B5*C5</f>
        <v>25380</v>
      </c>
      <c r="E5" s="9">
        <f>B5-'Caso 5'!$B$16</f>
        <v>23</v>
      </c>
      <c r="F5" s="9">
        <f>E5*C5</f>
        <v>10810</v>
      </c>
      <c r="G5" s="9">
        <f>'Caso 5'!$B$20</f>
        <v>3600</v>
      </c>
      <c r="H5" s="9">
        <f>F5-G5</f>
        <v>7210</v>
      </c>
      <c r="I5" s="8">
        <f>ROUNDUP(G5/E5,0)</f>
        <v>157</v>
      </c>
    </row>
    <row r="6" spans="1:9" ht="15" customHeight="1" x14ac:dyDescent="0.3">
      <c r="A6" s="7" t="s">
        <v>146</v>
      </c>
      <c r="B6" s="9">
        <v>57</v>
      </c>
      <c r="C6" s="8">
        <v>435</v>
      </c>
      <c r="D6" s="9">
        <f>B6*C6</f>
        <v>24795</v>
      </c>
      <c r="E6" s="9">
        <f>B6-'Caso 5'!$B$16</f>
        <v>26</v>
      </c>
      <c r="F6" s="9">
        <f>E6*C6</f>
        <v>11310</v>
      </c>
      <c r="G6" s="9">
        <f>'Caso 5'!$B$20</f>
        <v>3600</v>
      </c>
      <c r="H6" s="9">
        <f>F6-G6</f>
        <v>7710</v>
      </c>
      <c r="I6" s="8">
        <f>ROUNDUP(G6/E6,0)</f>
        <v>139</v>
      </c>
    </row>
    <row r="7" spans="1:9" ht="15" customHeight="1" x14ac:dyDescent="0.3">
      <c r="A7" s="7" t="s">
        <v>147</v>
      </c>
      <c r="B7" s="9">
        <v>60</v>
      </c>
      <c r="C7" s="8">
        <v>400</v>
      </c>
      <c r="D7" s="9">
        <f>B7*C7</f>
        <v>24000</v>
      </c>
      <c r="E7" s="9">
        <f>B7-'Caso 5'!$B$16</f>
        <v>29</v>
      </c>
      <c r="F7" s="9">
        <f>E7*C7</f>
        <v>11600</v>
      </c>
      <c r="G7" s="9">
        <f>'Caso 5'!$B$20</f>
        <v>3600</v>
      </c>
      <c r="H7" s="9">
        <f>F7-G7</f>
        <v>8000</v>
      </c>
      <c r="I7" s="8">
        <f>ROUNDUP(G7/E7,0)</f>
        <v>125</v>
      </c>
    </row>
    <row r="8" spans="1:9" ht="15" customHeight="1" x14ac:dyDescent="0.3">
      <c r="A8" s="7" t="s">
        <v>148</v>
      </c>
      <c r="B8" s="9">
        <v>63</v>
      </c>
      <c r="C8" s="8">
        <v>365</v>
      </c>
      <c r="D8" s="9">
        <f>B8*C8</f>
        <v>22995</v>
      </c>
      <c r="E8" s="9">
        <f>B8-'Caso 5'!$B$16</f>
        <v>32</v>
      </c>
      <c r="F8" s="9">
        <f>E8*C8</f>
        <v>11680</v>
      </c>
      <c r="G8" s="9">
        <f>'Caso 5'!$B$20</f>
        <v>3600</v>
      </c>
      <c r="H8" s="9">
        <f>F8-G8</f>
        <v>8080</v>
      </c>
      <c r="I8" s="8">
        <f>ROUNDUP(G8/E8,0)</f>
        <v>113</v>
      </c>
    </row>
    <row r="9" spans="1:9" ht="15" customHeight="1" x14ac:dyDescent="0.3">
      <c r="A9" s="7" t="s">
        <v>149</v>
      </c>
      <c r="B9" s="9">
        <v>66</v>
      </c>
      <c r="C9" s="8">
        <v>330</v>
      </c>
      <c r="D9" s="9">
        <f>B9*C9</f>
        <v>21780</v>
      </c>
      <c r="E9" s="9">
        <f>B9-'Caso 5'!$B$16</f>
        <v>35</v>
      </c>
      <c r="F9" s="9">
        <f>E9*C9</f>
        <v>11550</v>
      </c>
      <c r="G9" s="9">
        <f>'Caso 5'!$B$20</f>
        <v>3600</v>
      </c>
      <c r="H9" s="9">
        <f>F9-G9</f>
        <v>7950</v>
      </c>
      <c r="I9" s="8">
        <f>ROUNDUP(G9/E9,0)</f>
        <v>103</v>
      </c>
    </row>
    <row r="10" spans="1:9" ht="15" customHeight="1" x14ac:dyDescent="0.3">
      <c r="A10" s="4"/>
      <c r="B10" s="4"/>
      <c r="C10" s="4"/>
      <c r="D10" s="4"/>
      <c r="E10" s="4"/>
      <c r="F10" s="4"/>
      <c r="G10" s="4"/>
      <c r="H10" s="4"/>
      <c r="I10" s="4"/>
    </row>
    <row r="11" spans="1:9" ht="15" customHeight="1" x14ac:dyDescent="0.3">
      <c r="A11" s="7" t="s">
        <v>150</v>
      </c>
      <c r="B11" s="4"/>
      <c r="C11" s="4"/>
      <c r="D11" s="7" t="str">
        <f>INDEX(A5:A9,MATCH(MAX(D5:D9),D5:D9,0))</f>
        <v>Baja 10%</v>
      </c>
      <c r="E11" s="4"/>
      <c r="F11" s="4"/>
      <c r="G11" s="4"/>
      <c r="H11" s="4"/>
      <c r="I11" s="4"/>
    </row>
    <row r="12" spans="1:9" ht="15" customHeight="1" x14ac:dyDescent="0.3">
      <c r="A12" s="7" t="s">
        <v>151</v>
      </c>
      <c r="B12" s="4"/>
      <c r="C12" s="4"/>
      <c r="D12" s="7" t="str">
        <f>INDEX(A5:A9,MATCH(MAX(H5:H9),H5:H9,0))</f>
        <v>Sube 5%</v>
      </c>
      <c r="E12" s="4"/>
      <c r="F12" s="4"/>
      <c r="G12" s="4"/>
      <c r="H12" s="4"/>
      <c r="I12" s="4"/>
    </row>
    <row r="13" spans="1:9" ht="15" customHeight="1" x14ac:dyDescent="0.3">
      <c r="A13" s="7" t="s">
        <v>152</v>
      </c>
      <c r="B13" s="4"/>
      <c r="C13" s="4"/>
      <c r="D13" s="9">
        <f>MAX(H5:H9)-H7</f>
        <v>80</v>
      </c>
      <c r="E13" s="4"/>
      <c r="F13" s="4"/>
      <c r="G13" s="4"/>
      <c r="H13" s="4"/>
      <c r="I13" s="4"/>
    </row>
    <row r="14" spans="1:9" ht="15" customHeight="1" x14ac:dyDescent="0.3">
      <c r="A14" s="7" t="s">
        <v>153</v>
      </c>
      <c r="B14" s="4"/>
      <c r="C14" s="4"/>
      <c r="D14" s="13">
        <f>(H7+G5)/E5</f>
        <v>504.3478260869565</v>
      </c>
      <c r="E14" s="4"/>
      <c r="F14" s="4"/>
      <c r="G14" s="4"/>
      <c r="H14" s="4"/>
      <c r="I14" s="4"/>
    </row>
    <row r="15" spans="1:9" ht="15" customHeight="1" x14ac:dyDescent="0.3">
      <c r="A15" s="4"/>
      <c r="B15" s="4"/>
      <c r="C15" s="4"/>
      <c r="D15" s="4"/>
      <c r="E15" s="4"/>
      <c r="F15" s="4"/>
      <c r="G15" s="4"/>
      <c r="H15" s="4"/>
      <c r="I15" s="4"/>
    </row>
    <row r="16" spans="1:9" ht="15" customHeight="1" x14ac:dyDescent="0.3">
      <c r="A16" s="3" t="s">
        <v>67</v>
      </c>
      <c r="B16" s="7" t="s">
        <v>154</v>
      </c>
      <c r="C16" s="4"/>
      <c r="D16" s="4"/>
      <c r="E16" s="4"/>
      <c r="F16" s="4"/>
      <c r="G16" s="4"/>
      <c r="H16" s="4"/>
      <c r="I16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2"/>
  <sheetViews>
    <sheetView zoomScaleNormal="100" workbookViewId="0"/>
  </sheetViews>
  <sheetFormatPr baseColWidth="10" defaultColWidth="8.6640625" defaultRowHeight="14.4" x14ac:dyDescent="0.3"/>
  <cols>
    <col min="1" max="1" width="44" style="1" customWidth="1"/>
    <col min="2" max="3" width="18" style="1" customWidth="1"/>
    <col min="4" max="5" width="12" style="1" customWidth="1"/>
    <col min="6" max="6" width="14" style="1" customWidth="1"/>
    <col min="7" max="7" width="12" style="1" customWidth="1"/>
    <col min="8" max="8" width="16" style="1" customWidth="1"/>
    <col min="9" max="9" width="40" style="1" customWidth="1"/>
  </cols>
  <sheetData>
    <row r="1" spans="1:9" ht="15" customHeight="1" x14ac:dyDescent="0.3">
      <c r="A1" s="2" t="s">
        <v>155</v>
      </c>
      <c r="B1" s="4"/>
      <c r="C1" s="4"/>
      <c r="D1" s="4"/>
      <c r="E1" s="4"/>
      <c r="F1" s="4"/>
      <c r="G1" s="4"/>
      <c r="H1" s="4"/>
      <c r="I1" s="4"/>
    </row>
    <row r="2" spans="1:9" ht="15" customHeight="1" x14ac:dyDescent="0.3">
      <c r="A2" s="3" t="s">
        <v>156</v>
      </c>
      <c r="B2" s="4"/>
      <c r="C2" s="4"/>
      <c r="D2" s="4"/>
      <c r="E2" s="4"/>
      <c r="F2" s="4"/>
      <c r="G2" s="4"/>
      <c r="H2" s="4"/>
      <c r="I2" s="4"/>
    </row>
    <row r="3" spans="1:9" ht="15" customHeight="1" x14ac:dyDescent="0.3">
      <c r="A3" s="4"/>
      <c r="B3" s="4"/>
      <c r="C3" s="4"/>
      <c r="D3" s="4"/>
      <c r="E3" s="4"/>
      <c r="F3" s="4"/>
      <c r="G3" s="4"/>
      <c r="H3" s="4"/>
      <c r="I3" s="4"/>
    </row>
    <row r="4" spans="1:9" ht="23.25" customHeight="1" x14ac:dyDescent="0.3">
      <c r="A4" s="6" t="s">
        <v>157</v>
      </c>
      <c r="B4" s="6" t="s">
        <v>158</v>
      </c>
      <c r="C4" s="6" t="s">
        <v>159</v>
      </c>
      <c r="D4" s="6" t="s">
        <v>79</v>
      </c>
      <c r="E4" s="6" t="s">
        <v>138</v>
      </c>
      <c r="F4" s="6" t="s">
        <v>160</v>
      </c>
      <c r="G4" s="6" t="s">
        <v>140</v>
      </c>
      <c r="H4" s="6" t="s">
        <v>161</v>
      </c>
      <c r="I4" s="6" t="s">
        <v>162</v>
      </c>
    </row>
    <row r="5" spans="1:9" ht="15" customHeight="1" x14ac:dyDescent="0.3">
      <c r="A5" s="7" t="s">
        <v>163</v>
      </c>
      <c r="B5" s="9">
        <v>1.96</v>
      </c>
      <c r="C5" s="9">
        <v>0</v>
      </c>
      <c r="D5" s="9">
        <v>60</v>
      </c>
      <c r="E5" s="8">
        <v>400</v>
      </c>
      <c r="F5" s="9">
        <f>'Caso 5'!$B$16+B5</f>
        <v>32.96</v>
      </c>
      <c r="G5" s="9">
        <f>D5-F5</f>
        <v>27.04</v>
      </c>
      <c r="H5" s="9">
        <f>G5*E5-('Caso 5'!$B$20+C5)</f>
        <v>7216</v>
      </c>
      <c r="I5" s="7"/>
    </row>
    <row r="6" spans="1:9" ht="15" customHeight="1" x14ac:dyDescent="0.3">
      <c r="A6" s="7" t="s">
        <v>164</v>
      </c>
      <c r="B6" s="9">
        <v>0</v>
      </c>
      <c r="C6" s="9">
        <v>0</v>
      </c>
      <c r="D6" s="9">
        <v>54</v>
      </c>
      <c r="E6" s="8">
        <v>470</v>
      </c>
      <c r="F6" s="9">
        <f>'Caso 5'!$B$16+B6</f>
        <v>31</v>
      </c>
      <c r="G6" s="9">
        <f>D6-F6</f>
        <v>23</v>
      </c>
      <c r="H6" s="9">
        <f>G6*E6-('Caso 5'!$B$20+C6)</f>
        <v>7210</v>
      </c>
      <c r="I6" s="7"/>
    </row>
    <row r="7" spans="1:9" ht="15" customHeight="1" x14ac:dyDescent="0.3">
      <c r="A7" s="7" t="s">
        <v>165</v>
      </c>
      <c r="B7" s="9">
        <v>1.5</v>
      </c>
      <c r="C7" s="9">
        <v>0</v>
      </c>
      <c r="D7" s="9">
        <v>60</v>
      </c>
      <c r="E7" s="8">
        <v>400</v>
      </c>
      <c r="F7" s="9">
        <f>'Caso 5'!$B$16+B7</f>
        <v>32.5</v>
      </c>
      <c r="G7" s="9">
        <f>D7-F7</f>
        <v>27.5</v>
      </c>
      <c r="H7" s="9">
        <f>G7*E7-('Caso 5'!$B$20+C7)</f>
        <v>7400</v>
      </c>
      <c r="I7" s="7"/>
    </row>
    <row r="8" spans="1:9" ht="15" customHeight="1" x14ac:dyDescent="0.3">
      <c r="A8" s="7" t="s">
        <v>166</v>
      </c>
      <c r="B8" s="9">
        <v>0</v>
      </c>
      <c r="C8" s="9">
        <v>450</v>
      </c>
      <c r="D8" s="9">
        <v>60</v>
      </c>
      <c r="E8" s="8">
        <v>400</v>
      </c>
      <c r="F8" s="9">
        <f>'Caso 5'!$B$16+B8</f>
        <v>31</v>
      </c>
      <c r="G8" s="9">
        <f>D8-F8</f>
        <v>29</v>
      </c>
      <c r="H8" s="9">
        <f>G8*E8-('Caso 5'!$B$20+C8)</f>
        <v>7550</v>
      </c>
      <c r="I8" s="7"/>
    </row>
    <row r="9" spans="1:9" ht="15" customHeight="1" x14ac:dyDescent="0.3">
      <c r="A9" s="7" t="s">
        <v>167</v>
      </c>
      <c r="B9" s="9">
        <v>0</v>
      </c>
      <c r="C9" s="9">
        <v>0</v>
      </c>
      <c r="D9" s="9">
        <v>54</v>
      </c>
      <c r="E9" s="8">
        <v>500</v>
      </c>
      <c r="F9" s="9">
        <f>'Caso 5'!$B$16+B9</f>
        <v>31</v>
      </c>
      <c r="G9" s="9">
        <f>D9-F9</f>
        <v>23</v>
      </c>
      <c r="H9" s="9">
        <f>G9*E9-('Caso 5'!$B$20+C9)</f>
        <v>7900</v>
      </c>
      <c r="I9" s="7"/>
    </row>
    <row r="10" spans="1:9" ht="15" customHeight="1" x14ac:dyDescent="0.3">
      <c r="A10" s="4"/>
      <c r="B10" s="4"/>
      <c r="C10" s="4"/>
      <c r="D10" s="4"/>
      <c r="E10" s="4"/>
      <c r="F10" s="4"/>
      <c r="G10" s="4"/>
      <c r="H10" s="4"/>
      <c r="I10" s="4"/>
    </row>
    <row r="11" spans="1:9" ht="15" customHeight="1" x14ac:dyDescent="0.3">
      <c r="A11" s="7" t="s">
        <v>168</v>
      </c>
      <c r="B11" s="9">
        <f>'Caso 5'!B24</f>
        <v>8000</v>
      </c>
      <c r="C11" s="4"/>
      <c r="D11" s="4"/>
      <c r="E11" s="4"/>
      <c r="F11" s="4"/>
      <c r="G11" s="4"/>
      <c r="H11" s="4"/>
      <c r="I11" s="4"/>
    </row>
    <row r="12" spans="1:9" ht="15" customHeight="1" x14ac:dyDescent="0.3">
      <c r="A12" s="7" t="s">
        <v>169</v>
      </c>
      <c r="B12" s="7" t="str">
        <f>INDEX(A5:A9,MATCH(MIN(H5:H9),H5:H9,0))</f>
        <v>2. La competencia lanza su torta a S/ 52 y Dulce Sabor baja a S/ 54</v>
      </c>
      <c r="C12" s="4"/>
      <c r="D12" s="4"/>
      <c r="E12" s="4"/>
      <c r="F12" s="4"/>
      <c r="G12" s="4"/>
      <c r="H12" s="4"/>
      <c r="I12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73"/>
  <sheetViews>
    <sheetView zoomScaleNormal="100" workbookViewId="0"/>
  </sheetViews>
  <sheetFormatPr baseColWidth="10" defaultColWidth="8.6640625" defaultRowHeight="14.4" x14ac:dyDescent="0.3"/>
  <cols>
    <col min="1" max="1" width="34" style="1" customWidth="1"/>
    <col min="2" max="8" width="14" style="1" customWidth="1"/>
  </cols>
  <sheetData>
    <row r="1" spans="1:8" ht="15" customHeight="1" x14ac:dyDescent="0.3">
      <c r="A1" s="2" t="s">
        <v>170</v>
      </c>
      <c r="B1" s="4"/>
      <c r="C1" s="4"/>
      <c r="D1" s="4"/>
      <c r="E1" s="4"/>
      <c r="F1" s="4"/>
      <c r="G1" s="4"/>
      <c r="H1" s="4"/>
    </row>
    <row r="2" spans="1:8" ht="15" customHeight="1" x14ac:dyDescent="0.3">
      <c r="A2" s="3" t="s">
        <v>171</v>
      </c>
      <c r="B2" s="4"/>
      <c r="C2" s="4"/>
      <c r="D2" s="4"/>
      <c r="E2" s="4"/>
      <c r="F2" s="4"/>
      <c r="G2" s="4"/>
      <c r="H2" s="4"/>
    </row>
    <row r="3" spans="1:8" ht="15" customHeight="1" x14ac:dyDescent="0.3">
      <c r="A3" s="4"/>
      <c r="B3" s="4"/>
      <c r="C3" s="4"/>
      <c r="D3" s="4"/>
      <c r="E3" s="4"/>
      <c r="F3" s="4"/>
      <c r="G3" s="4"/>
      <c r="H3" s="4"/>
    </row>
    <row r="4" spans="1:8" ht="15" customHeight="1" x14ac:dyDescent="0.3">
      <c r="A4" s="5" t="s">
        <v>172</v>
      </c>
      <c r="B4" s="4"/>
      <c r="C4" s="4"/>
      <c r="D4" s="4"/>
      <c r="E4" s="4"/>
      <c r="F4" s="4"/>
      <c r="G4" s="4"/>
      <c r="H4" s="4"/>
    </row>
    <row r="5" spans="1:8" ht="15" customHeight="1" x14ac:dyDescent="0.3">
      <c r="A5" s="7" t="s">
        <v>173</v>
      </c>
      <c r="B5" s="9">
        <v>1100</v>
      </c>
      <c r="C5" s="4"/>
      <c r="D5" s="4"/>
      <c r="E5" s="4"/>
      <c r="F5" s="4"/>
      <c r="G5" s="4"/>
      <c r="H5" s="4"/>
    </row>
    <row r="6" spans="1:8" ht="15" customHeight="1" x14ac:dyDescent="0.3">
      <c r="A6" s="7" t="s">
        <v>174</v>
      </c>
      <c r="B6" s="14">
        <v>11.6666666666667</v>
      </c>
      <c r="C6" s="4"/>
      <c r="D6" s="4"/>
      <c r="E6" s="4"/>
      <c r="F6" s="4"/>
      <c r="G6" s="4"/>
      <c r="H6" s="4"/>
    </row>
    <row r="7" spans="1:8" ht="15" customHeight="1" x14ac:dyDescent="0.3">
      <c r="A7" s="7" t="s">
        <v>175</v>
      </c>
      <c r="B7" s="13">
        <f>$B$5-$B$6*Datos!B7</f>
        <v>399.99999999999795</v>
      </c>
      <c r="C7" s="4"/>
      <c r="D7" s="4"/>
      <c r="E7" s="4"/>
      <c r="F7" s="4"/>
      <c r="G7" s="4"/>
      <c r="H7" s="4"/>
    </row>
    <row r="8" spans="1:8" ht="15" customHeight="1" x14ac:dyDescent="0.3">
      <c r="A8" s="4"/>
      <c r="B8" s="4"/>
      <c r="C8" s="4"/>
      <c r="D8" s="4"/>
      <c r="E8" s="4"/>
      <c r="F8" s="4"/>
      <c r="G8" s="4"/>
      <c r="H8" s="4"/>
    </row>
    <row r="9" spans="1:8" ht="15" customHeight="1" x14ac:dyDescent="0.3">
      <c r="A9" s="5" t="s">
        <v>176</v>
      </c>
      <c r="B9" s="4"/>
      <c r="C9" s="4"/>
      <c r="D9" s="4"/>
      <c r="E9" s="4"/>
      <c r="F9" s="4"/>
      <c r="G9" s="4"/>
      <c r="H9" s="4"/>
    </row>
    <row r="10" spans="1:8" ht="15" customHeight="1" x14ac:dyDescent="0.3">
      <c r="A10" s="3" t="s">
        <v>177</v>
      </c>
      <c r="B10" s="4"/>
      <c r="C10" s="4"/>
      <c r="D10" s="4"/>
      <c r="E10" s="4"/>
      <c r="F10" s="4"/>
      <c r="G10" s="4"/>
      <c r="H10" s="4"/>
    </row>
    <row r="11" spans="1:8" ht="15" customHeight="1" x14ac:dyDescent="0.3">
      <c r="A11" s="6" t="s">
        <v>178</v>
      </c>
      <c r="B11" s="6">
        <v>29</v>
      </c>
      <c r="C11" s="6">
        <v>30</v>
      </c>
      <c r="D11" s="6">
        <v>31</v>
      </c>
      <c r="E11" s="6">
        <v>32</v>
      </c>
      <c r="F11" s="6">
        <v>33</v>
      </c>
      <c r="G11" s="6">
        <v>34</v>
      </c>
      <c r="H11" s="6">
        <v>35</v>
      </c>
    </row>
    <row r="12" spans="1:8" ht="15" customHeight="1" x14ac:dyDescent="0.3">
      <c r="A12" s="9">
        <v>54</v>
      </c>
      <c r="B12" s="9">
        <f>($A12-B$11)*($B$5-$B$6*$A12)-'Caso 5'!$B$20</f>
        <v>8149.9999999999545</v>
      </c>
      <c r="C12" s="9">
        <f>($A12-C$11)*($B$5-$B$6*$A12)-'Caso 5'!$B$20</f>
        <v>7679.9999999999563</v>
      </c>
      <c r="D12" s="9">
        <f>($A12-D$11)*($B$5-$B$6*$A12)-'Caso 5'!$B$20</f>
        <v>7209.9999999999582</v>
      </c>
      <c r="E12" s="9">
        <f>($A12-E$11)*($B$5-$B$6*$A12)-'Caso 5'!$B$20</f>
        <v>6739.99999999996</v>
      </c>
      <c r="F12" s="9">
        <f>($A12-F$11)*($B$5-$B$6*$A12)-'Caso 5'!$B$20</f>
        <v>6269.9999999999618</v>
      </c>
      <c r="G12" s="9">
        <f>($A12-G$11)*($B$5-$B$6*$A12)-'Caso 5'!$B$20</f>
        <v>5799.9999999999636</v>
      </c>
      <c r="H12" s="9">
        <f>($A12-H$11)*($B$5-$B$6*$A12)-'Caso 5'!$B$20</f>
        <v>5329.9999999999654</v>
      </c>
    </row>
    <row r="13" spans="1:8" ht="15" customHeight="1" x14ac:dyDescent="0.3">
      <c r="A13" s="9">
        <v>56</v>
      </c>
      <c r="B13" s="9">
        <f>($A13-B$11)*($B$5-$B$6*$A13)-'Caso 5'!$B$20</f>
        <v>8459.9999999999491</v>
      </c>
      <c r="C13" s="9">
        <f>($A13-C$11)*($B$5-$B$6*$A13)-'Caso 5'!$B$20</f>
        <v>8013.3333333332848</v>
      </c>
      <c r="D13" s="9">
        <f>($A13-D$11)*($B$5-$B$6*$A13)-'Caso 5'!$B$20</f>
        <v>7566.6666666666206</v>
      </c>
      <c r="E13" s="9">
        <f>($A13-E$11)*($B$5-$B$6*$A13)-'Caso 5'!$B$20</f>
        <v>7119.9999999999563</v>
      </c>
      <c r="F13" s="9">
        <f>($A13-F$11)*($B$5-$B$6*$A13)-'Caso 5'!$B$20</f>
        <v>6673.3333333332903</v>
      </c>
      <c r="G13" s="9">
        <f>($A13-G$11)*($B$5-$B$6*$A13)-'Caso 5'!$B$20</f>
        <v>6226.666666666626</v>
      </c>
      <c r="H13" s="9">
        <f>($A13-H$11)*($B$5-$B$6*$A13)-'Caso 5'!$B$20</f>
        <v>5779.9999999999618</v>
      </c>
    </row>
    <row r="14" spans="1:8" ht="15" customHeight="1" x14ac:dyDescent="0.3">
      <c r="A14" s="9">
        <v>58</v>
      </c>
      <c r="B14" s="9">
        <f>($A14-B$11)*($B$5-$B$6*$A14)-'Caso 5'!$B$20</f>
        <v>8676.6666666666115</v>
      </c>
      <c r="C14" s="9">
        <f>($A14-C$11)*($B$5-$B$6*$A14)-'Caso 5'!$B$20</f>
        <v>8253.3333333332812</v>
      </c>
      <c r="D14" s="9">
        <f>($A14-D$11)*($B$5-$B$6*$A14)-'Caso 5'!$B$20</f>
        <v>7829.9999999999491</v>
      </c>
      <c r="E14" s="9">
        <f>($A14-E$11)*($B$5-$B$6*$A14)-'Caso 5'!$B$20</f>
        <v>7406.6666666666169</v>
      </c>
      <c r="F14" s="9">
        <f>($A14-F$11)*($B$5-$B$6*$A14)-'Caso 5'!$B$20</f>
        <v>6983.3333333332866</v>
      </c>
      <c r="G14" s="9">
        <f>($A14-G$11)*($B$5-$B$6*$A14)-'Caso 5'!$B$20</f>
        <v>6559.9999999999545</v>
      </c>
      <c r="H14" s="9">
        <f>($A14-H$11)*($B$5-$B$6*$A14)-'Caso 5'!$B$20</f>
        <v>6136.6666666666224</v>
      </c>
    </row>
    <row r="15" spans="1:8" ht="15" customHeight="1" x14ac:dyDescent="0.3">
      <c r="A15" s="9">
        <v>60</v>
      </c>
      <c r="B15" s="9">
        <f>($A15-B$11)*($B$5-$B$6*$A15)-'Caso 5'!$B$20</f>
        <v>8799.9999999999363</v>
      </c>
      <c r="C15" s="9">
        <f>($A15-C$11)*($B$5-$B$6*$A15)-'Caso 5'!$B$20</f>
        <v>8399.9999999999382</v>
      </c>
      <c r="D15" s="9">
        <f>($A15-D$11)*($B$5-$B$6*$A15)-'Caso 5'!$B$20</f>
        <v>7999.99999999994</v>
      </c>
      <c r="E15" s="9">
        <f>($A15-E$11)*($B$5-$B$6*$A15)-'Caso 5'!$B$20</f>
        <v>7599.9999999999418</v>
      </c>
      <c r="F15" s="9">
        <f>($A15-F$11)*($B$5-$B$6*$A15)-'Caso 5'!$B$20</f>
        <v>7199.9999999999454</v>
      </c>
      <c r="G15" s="9">
        <f>($A15-G$11)*($B$5-$B$6*$A15)-'Caso 5'!$B$20</f>
        <v>6799.9999999999472</v>
      </c>
      <c r="H15" s="9">
        <f>($A15-H$11)*($B$5-$B$6*$A15)-'Caso 5'!$B$20</f>
        <v>6399.9999999999491</v>
      </c>
    </row>
    <row r="16" spans="1:8" ht="15" customHeight="1" x14ac:dyDescent="0.3">
      <c r="A16" s="9">
        <v>62</v>
      </c>
      <c r="B16" s="9">
        <f>($A16-B$11)*($B$5-$B$6*$A16)-'Caso 5'!$B$20</f>
        <v>8829.9999999999309</v>
      </c>
      <c r="C16" s="9">
        <f>($A16-C$11)*($B$5-$B$6*$A16)-'Caso 5'!$B$20</f>
        <v>8453.3333333332666</v>
      </c>
      <c r="D16" s="9">
        <f>($A16-D$11)*($B$5-$B$6*$A16)-'Caso 5'!$B$20</f>
        <v>8076.6666666666024</v>
      </c>
      <c r="E16" s="9">
        <f>($A16-E$11)*($B$5-$B$6*$A16)-'Caso 5'!$B$20</f>
        <v>7699.9999999999382</v>
      </c>
      <c r="F16" s="9">
        <f>($A16-F$11)*($B$5-$B$6*$A16)-'Caso 5'!$B$20</f>
        <v>7323.3333333332721</v>
      </c>
      <c r="G16" s="9">
        <f>($A16-G$11)*($B$5-$B$6*$A16)-'Caso 5'!$B$20</f>
        <v>6946.6666666666079</v>
      </c>
      <c r="H16" s="9">
        <f>($A16-H$11)*($B$5-$B$6*$A16)-'Caso 5'!$B$20</f>
        <v>6569.9999999999436</v>
      </c>
    </row>
    <row r="17" spans="1:8" ht="15" customHeight="1" x14ac:dyDescent="0.3">
      <c r="A17" s="9">
        <v>64</v>
      </c>
      <c r="B17" s="9">
        <f>($A17-B$11)*($B$5-$B$6*$A17)-'Caso 5'!$B$20</f>
        <v>8766.6666666665915</v>
      </c>
      <c r="C17" s="9">
        <f>($A17-C$11)*($B$5-$B$6*$A17)-'Caso 5'!$B$20</f>
        <v>8413.3333333332612</v>
      </c>
      <c r="D17" s="9">
        <f>($A17-D$11)*($B$5-$B$6*$A17)-'Caso 5'!$B$20</f>
        <v>8059.9999999999309</v>
      </c>
      <c r="E17" s="9">
        <f>($A17-E$11)*($B$5-$B$6*$A17)-'Caso 5'!$B$20</f>
        <v>7706.6666666665988</v>
      </c>
      <c r="F17" s="9">
        <f>($A17-F$11)*($B$5-$B$6*$A17)-'Caso 5'!$B$20</f>
        <v>7353.3333333332666</v>
      </c>
      <c r="G17" s="9">
        <f>($A17-G$11)*($B$5-$B$6*$A17)-'Caso 5'!$B$20</f>
        <v>6999.9999999999363</v>
      </c>
      <c r="H17" s="9">
        <f>($A17-H$11)*($B$5-$B$6*$A17)-'Caso 5'!$B$20</f>
        <v>6646.666666666606</v>
      </c>
    </row>
    <row r="18" spans="1:8" ht="15" customHeight="1" x14ac:dyDescent="0.3">
      <c r="A18" s="9">
        <v>66</v>
      </c>
      <c r="B18" s="9">
        <f>($A18-B$11)*($B$5-$B$6*$A18)-'Caso 5'!$B$20</f>
        <v>8609.99999999992</v>
      </c>
      <c r="C18" s="9">
        <f>($A18-C$11)*($B$5-$B$6*$A18)-'Caso 5'!$B$20</f>
        <v>8279.9999999999218</v>
      </c>
      <c r="D18" s="9">
        <f>($A18-D$11)*($B$5-$B$6*$A18)-'Caso 5'!$B$20</f>
        <v>7949.9999999999236</v>
      </c>
      <c r="E18" s="9">
        <f>($A18-E$11)*($B$5-$B$6*$A18)-'Caso 5'!$B$20</f>
        <v>7619.9999999999272</v>
      </c>
      <c r="F18" s="9">
        <f>($A18-F$11)*($B$5-$B$6*$A18)-'Caso 5'!$B$20</f>
        <v>7289.9999999999291</v>
      </c>
      <c r="G18" s="9">
        <f>($A18-G$11)*($B$5-$B$6*$A18)-'Caso 5'!$B$20</f>
        <v>6959.9999999999309</v>
      </c>
      <c r="H18" s="9">
        <f>($A18-H$11)*($B$5-$B$6*$A18)-'Caso 5'!$B$20</f>
        <v>6629.9999999999327</v>
      </c>
    </row>
    <row r="19" spans="1:8" ht="15" customHeight="1" x14ac:dyDescent="0.3">
      <c r="A19" s="4"/>
      <c r="B19" s="4"/>
      <c r="C19" s="4"/>
      <c r="D19" s="4"/>
      <c r="E19" s="4"/>
      <c r="F19" s="4"/>
      <c r="G19" s="4"/>
      <c r="H19" s="4"/>
    </row>
    <row r="20" spans="1:8" ht="15" customHeight="1" x14ac:dyDescent="0.3">
      <c r="A20" s="5" t="s">
        <v>179</v>
      </c>
      <c r="B20" s="4"/>
      <c r="C20" s="4"/>
      <c r="D20" s="4"/>
      <c r="E20" s="4"/>
      <c r="F20" s="4"/>
      <c r="G20" s="4"/>
      <c r="H20" s="4"/>
    </row>
    <row r="21" spans="1:8" ht="15" customHeight="1" x14ac:dyDescent="0.3">
      <c r="A21" s="7" t="s">
        <v>180</v>
      </c>
      <c r="B21" s="9">
        <f>-$B$6*Datos!B7/$B$7</f>
        <v>-1.750000000000014</v>
      </c>
      <c r="C21" s="4"/>
      <c r="D21" s="4"/>
      <c r="E21" s="4"/>
      <c r="F21" s="4"/>
      <c r="G21" s="4"/>
      <c r="H21" s="4"/>
    </row>
    <row r="22" spans="1:8" ht="15" customHeight="1" x14ac:dyDescent="0.3">
      <c r="A22" s="7" t="s">
        <v>181</v>
      </c>
      <c r="B22" s="7" t="s">
        <v>182</v>
      </c>
      <c r="C22" s="4"/>
      <c r="D22" s="4"/>
      <c r="E22" s="4"/>
      <c r="F22" s="4"/>
      <c r="G22" s="4"/>
      <c r="H22" s="4"/>
    </row>
    <row r="23" spans="1:8" ht="15" customHeight="1" x14ac:dyDescent="0.3">
      <c r="A23" s="4"/>
      <c r="B23" s="4"/>
      <c r="C23" s="4"/>
      <c r="D23" s="4"/>
      <c r="E23" s="4"/>
      <c r="F23" s="4"/>
      <c r="G23" s="4"/>
      <c r="H23" s="4"/>
    </row>
    <row r="24" spans="1:8" ht="15" customHeight="1" x14ac:dyDescent="0.3">
      <c r="A24" s="5" t="s">
        <v>183</v>
      </c>
      <c r="B24" s="4"/>
      <c r="C24" s="4"/>
      <c r="D24" s="4"/>
      <c r="E24" s="4"/>
      <c r="F24" s="4"/>
      <c r="G24" s="4"/>
      <c r="H24" s="4"/>
    </row>
    <row r="25" spans="1:8" ht="15" customHeight="1" x14ac:dyDescent="0.3">
      <c r="A25" s="6" t="s">
        <v>79</v>
      </c>
      <c r="B25" s="6" t="s">
        <v>138</v>
      </c>
      <c r="C25" s="6" t="s">
        <v>140</v>
      </c>
      <c r="D25" s="6" t="s">
        <v>143</v>
      </c>
      <c r="E25" s="4"/>
      <c r="F25" s="4"/>
      <c r="G25" s="4"/>
      <c r="H25" s="4"/>
    </row>
    <row r="26" spans="1:8" ht="15" customHeight="1" x14ac:dyDescent="0.3">
      <c r="A26" s="9">
        <v>58</v>
      </c>
      <c r="B26" s="13">
        <f t="shared" ref="B26:B66" si="0">$B$5-$B$6*A26</f>
        <v>423.33333333333144</v>
      </c>
      <c r="C26" s="9">
        <f>A26-'Caso 5'!$B$16</f>
        <v>27</v>
      </c>
      <c r="D26" s="9">
        <f>C26*B26-'Caso 5'!$B$20</f>
        <v>7829.9999999999491</v>
      </c>
      <c r="E26" s="4"/>
      <c r="F26" s="4"/>
      <c r="G26" s="4"/>
      <c r="H26" s="4"/>
    </row>
    <row r="27" spans="1:8" ht="15" customHeight="1" x14ac:dyDescent="0.3">
      <c r="A27" s="9">
        <v>58.25</v>
      </c>
      <c r="B27" s="13">
        <f t="shared" si="0"/>
        <v>420.4166666666647</v>
      </c>
      <c r="C27" s="9">
        <f>A27-'Caso 5'!$B$16</f>
        <v>27.25</v>
      </c>
      <c r="D27" s="9">
        <f>C27*B27-'Caso 5'!$B$20</f>
        <v>7856.3541666666133</v>
      </c>
      <c r="E27" s="4"/>
      <c r="F27" s="4"/>
      <c r="G27" s="4"/>
      <c r="H27" s="4"/>
    </row>
    <row r="28" spans="1:8" ht="15" customHeight="1" x14ac:dyDescent="0.3">
      <c r="A28" s="9">
        <v>58.5</v>
      </c>
      <c r="B28" s="13">
        <f t="shared" si="0"/>
        <v>417.49999999999807</v>
      </c>
      <c r="C28" s="9">
        <f>A28-'Caso 5'!$B$16</f>
        <v>27.5</v>
      </c>
      <c r="D28" s="9">
        <f>C28*B28-'Caso 5'!$B$20</f>
        <v>7881.2499999999472</v>
      </c>
      <c r="E28" s="4"/>
      <c r="F28" s="4"/>
      <c r="G28" s="4"/>
      <c r="H28" s="4"/>
    </row>
    <row r="29" spans="1:8" ht="15" customHeight="1" x14ac:dyDescent="0.3">
      <c r="A29" s="9">
        <v>58.75</v>
      </c>
      <c r="B29" s="13">
        <f t="shared" si="0"/>
        <v>414.58333333333144</v>
      </c>
      <c r="C29" s="9">
        <f>A29-'Caso 5'!$B$16</f>
        <v>27.75</v>
      </c>
      <c r="D29" s="9">
        <f>C29*B29-'Caso 5'!$B$20</f>
        <v>7904.6874999999472</v>
      </c>
      <c r="E29" s="4"/>
      <c r="F29" s="4"/>
      <c r="G29" s="4"/>
      <c r="H29" s="4"/>
    </row>
    <row r="30" spans="1:8" ht="15" customHeight="1" x14ac:dyDescent="0.3">
      <c r="A30" s="9">
        <v>59</v>
      </c>
      <c r="B30" s="13">
        <f t="shared" si="0"/>
        <v>411.6666666666647</v>
      </c>
      <c r="C30" s="9">
        <f>A30-'Caso 5'!$B$16</f>
        <v>28</v>
      </c>
      <c r="D30" s="9">
        <f>C30*B30-'Caso 5'!$B$20</f>
        <v>7926.6666666666115</v>
      </c>
      <c r="E30" s="4"/>
      <c r="F30" s="4"/>
      <c r="G30" s="4"/>
      <c r="H30" s="4"/>
    </row>
    <row r="31" spans="1:8" ht="15" customHeight="1" x14ac:dyDescent="0.3">
      <c r="A31" s="9">
        <v>59.25</v>
      </c>
      <c r="B31" s="13">
        <f t="shared" si="0"/>
        <v>408.74999999999807</v>
      </c>
      <c r="C31" s="9">
        <f>A31-'Caso 5'!$B$16</f>
        <v>28.25</v>
      </c>
      <c r="D31" s="9">
        <f>C31*B31-'Caso 5'!$B$20</f>
        <v>7947.1874999999454</v>
      </c>
      <c r="E31" s="4"/>
      <c r="F31" s="4"/>
      <c r="G31" s="4"/>
      <c r="H31" s="4"/>
    </row>
    <row r="32" spans="1:8" ht="15" customHeight="1" x14ac:dyDescent="0.3">
      <c r="A32" s="9">
        <v>59.5</v>
      </c>
      <c r="B32" s="13">
        <f t="shared" si="0"/>
        <v>405.83333333333132</v>
      </c>
      <c r="C32" s="9">
        <f>A32-'Caso 5'!$B$16</f>
        <v>28.5</v>
      </c>
      <c r="D32" s="9">
        <f>C32*B32-'Caso 5'!$B$20</f>
        <v>7966.2499999999436</v>
      </c>
      <c r="E32" s="4"/>
      <c r="F32" s="4"/>
      <c r="G32" s="4"/>
      <c r="H32" s="4"/>
    </row>
    <row r="33" spans="1:8" ht="15" customHeight="1" x14ac:dyDescent="0.3">
      <c r="A33" s="9">
        <v>59.75</v>
      </c>
      <c r="B33" s="13">
        <f t="shared" si="0"/>
        <v>402.9166666666647</v>
      </c>
      <c r="C33" s="9">
        <f>A33-'Caso 5'!$B$16</f>
        <v>28.75</v>
      </c>
      <c r="D33" s="9">
        <f>C33*B33-'Caso 5'!$B$20</f>
        <v>7983.8541666666097</v>
      </c>
      <c r="E33" s="4"/>
      <c r="F33" s="4"/>
      <c r="G33" s="4"/>
      <c r="H33" s="4"/>
    </row>
    <row r="34" spans="1:8" ht="15" customHeight="1" x14ac:dyDescent="0.3">
      <c r="A34" s="9">
        <v>60</v>
      </c>
      <c r="B34" s="13">
        <f t="shared" si="0"/>
        <v>399.99999999999795</v>
      </c>
      <c r="C34" s="9">
        <f>A34-'Caso 5'!$B$16</f>
        <v>29</v>
      </c>
      <c r="D34" s="9">
        <f>C34*B34-'Caso 5'!$B$20</f>
        <v>7999.99999999994</v>
      </c>
      <c r="E34" s="4"/>
      <c r="F34" s="4"/>
      <c r="G34" s="4"/>
      <c r="H34" s="4"/>
    </row>
    <row r="35" spans="1:8" ht="15" customHeight="1" x14ac:dyDescent="0.3">
      <c r="A35" s="9">
        <v>60.25</v>
      </c>
      <c r="B35" s="13">
        <f t="shared" si="0"/>
        <v>397.08333333333132</v>
      </c>
      <c r="C35" s="9">
        <f>A35-'Caso 5'!$B$16</f>
        <v>29.25</v>
      </c>
      <c r="D35" s="9">
        <f>C35*B35-'Caso 5'!$B$20</f>
        <v>8014.6874999999418</v>
      </c>
      <c r="E35" s="4"/>
      <c r="F35" s="4"/>
      <c r="G35" s="4"/>
      <c r="H35" s="4"/>
    </row>
    <row r="36" spans="1:8" ht="15" customHeight="1" x14ac:dyDescent="0.3">
      <c r="A36" s="9">
        <v>60.5</v>
      </c>
      <c r="B36" s="13">
        <f t="shared" si="0"/>
        <v>394.1666666666647</v>
      </c>
      <c r="C36" s="9">
        <f>A36-'Caso 5'!$B$16</f>
        <v>29.5</v>
      </c>
      <c r="D36" s="9">
        <f>C36*B36-'Caso 5'!$B$20</f>
        <v>8027.9166666666079</v>
      </c>
      <c r="E36" s="4"/>
      <c r="F36" s="4"/>
      <c r="G36" s="4"/>
      <c r="H36" s="4"/>
    </row>
    <row r="37" spans="1:8" ht="15" customHeight="1" x14ac:dyDescent="0.3">
      <c r="A37" s="9">
        <v>60.75</v>
      </c>
      <c r="B37" s="13">
        <f t="shared" si="0"/>
        <v>391.24999999999795</v>
      </c>
      <c r="C37" s="9">
        <f>A37-'Caso 5'!$B$16</f>
        <v>29.75</v>
      </c>
      <c r="D37" s="9">
        <f>C37*B37-'Caso 5'!$B$20</f>
        <v>8039.68749999994</v>
      </c>
      <c r="E37" s="4"/>
      <c r="F37" s="4"/>
      <c r="G37" s="4"/>
      <c r="H37" s="4"/>
    </row>
    <row r="38" spans="1:8" ht="15" customHeight="1" x14ac:dyDescent="0.3">
      <c r="A38" s="9">
        <v>61</v>
      </c>
      <c r="B38" s="13">
        <f t="shared" si="0"/>
        <v>388.33333333333132</v>
      </c>
      <c r="C38" s="9">
        <f>A38-'Caso 5'!$B$16</f>
        <v>30</v>
      </c>
      <c r="D38" s="9">
        <f>C38*B38-'Caso 5'!$B$20</f>
        <v>8049.99999999994</v>
      </c>
      <c r="E38" s="4"/>
      <c r="F38" s="4"/>
      <c r="G38" s="4"/>
      <c r="H38" s="4"/>
    </row>
    <row r="39" spans="1:8" ht="15" customHeight="1" x14ac:dyDescent="0.3">
      <c r="A39" s="9">
        <v>61.25</v>
      </c>
      <c r="B39" s="13">
        <f t="shared" si="0"/>
        <v>385.41666666666458</v>
      </c>
      <c r="C39" s="9">
        <f>A39-'Caso 5'!$B$16</f>
        <v>30.25</v>
      </c>
      <c r="D39" s="9">
        <f>C39*B39-'Caso 5'!$B$20</f>
        <v>8058.8541666666042</v>
      </c>
      <c r="E39" s="4"/>
      <c r="F39" s="4"/>
      <c r="G39" s="4"/>
      <c r="H39" s="4"/>
    </row>
    <row r="40" spans="1:8" ht="15" customHeight="1" x14ac:dyDescent="0.3">
      <c r="A40" s="9">
        <v>61.5</v>
      </c>
      <c r="B40" s="13">
        <f t="shared" si="0"/>
        <v>382.49999999999795</v>
      </c>
      <c r="C40" s="9">
        <f>A40-'Caso 5'!$B$16</f>
        <v>30.5</v>
      </c>
      <c r="D40" s="9">
        <f>C40*B40-'Caso 5'!$B$20</f>
        <v>8066.2499999999382</v>
      </c>
      <c r="E40" s="4"/>
      <c r="F40" s="4"/>
      <c r="G40" s="4"/>
      <c r="H40" s="4"/>
    </row>
    <row r="41" spans="1:8" ht="15" customHeight="1" x14ac:dyDescent="0.3">
      <c r="A41" s="9">
        <v>61.75</v>
      </c>
      <c r="B41" s="13">
        <f t="shared" si="0"/>
        <v>379.58333333333132</v>
      </c>
      <c r="C41" s="9">
        <f>A41-'Caso 5'!$B$16</f>
        <v>30.75</v>
      </c>
      <c r="D41" s="9">
        <f>C41*B41-'Caso 5'!$B$20</f>
        <v>8072.1874999999382</v>
      </c>
      <c r="E41" s="4"/>
      <c r="F41" s="4"/>
      <c r="G41" s="4"/>
      <c r="H41" s="4"/>
    </row>
    <row r="42" spans="1:8" ht="15" customHeight="1" x14ac:dyDescent="0.3">
      <c r="A42" s="9">
        <v>62</v>
      </c>
      <c r="B42" s="13">
        <f t="shared" si="0"/>
        <v>376.66666666666458</v>
      </c>
      <c r="C42" s="9">
        <f>A42-'Caso 5'!$B$16</f>
        <v>31</v>
      </c>
      <c r="D42" s="9">
        <f>C42*B42-'Caso 5'!$B$20</f>
        <v>8076.6666666666024</v>
      </c>
      <c r="E42" s="4"/>
      <c r="F42" s="4"/>
      <c r="G42" s="4"/>
      <c r="H42" s="4"/>
    </row>
    <row r="43" spans="1:8" ht="15" customHeight="1" x14ac:dyDescent="0.3">
      <c r="A43" s="9">
        <v>62.25</v>
      </c>
      <c r="B43" s="13">
        <f t="shared" si="0"/>
        <v>373.74999999999795</v>
      </c>
      <c r="C43" s="9">
        <f>A43-'Caso 5'!$B$16</f>
        <v>31.25</v>
      </c>
      <c r="D43" s="9">
        <f>C43*B43-'Caso 5'!$B$20</f>
        <v>8079.6874999999363</v>
      </c>
      <c r="E43" s="4"/>
      <c r="F43" s="4"/>
      <c r="G43" s="4"/>
      <c r="H43" s="4"/>
    </row>
    <row r="44" spans="1:8" ht="15" customHeight="1" x14ac:dyDescent="0.3">
      <c r="A44" s="9">
        <v>62.5</v>
      </c>
      <c r="B44" s="13">
        <f t="shared" si="0"/>
        <v>370.83333333333121</v>
      </c>
      <c r="C44" s="9">
        <f>A44-'Caso 5'!$B$16</f>
        <v>31.5</v>
      </c>
      <c r="D44" s="9">
        <f>C44*B44-'Caso 5'!$B$20</f>
        <v>8081.2499999999327</v>
      </c>
      <c r="E44" s="4"/>
      <c r="F44" s="4"/>
      <c r="G44" s="4"/>
      <c r="H44" s="4"/>
    </row>
    <row r="45" spans="1:8" ht="15" customHeight="1" x14ac:dyDescent="0.3">
      <c r="A45" s="9">
        <v>62.75</v>
      </c>
      <c r="B45" s="13">
        <f t="shared" si="0"/>
        <v>367.91666666666458</v>
      </c>
      <c r="C45" s="9">
        <f>A45-'Caso 5'!$B$16</f>
        <v>31.75</v>
      </c>
      <c r="D45" s="9">
        <f>C45*B45-'Caso 5'!$B$20</f>
        <v>8081.3541666666006</v>
      </c>
      <c r="E45" s="4"/>
      <c r="F45" s="4"/>
      <c r="G45" s="4"/>
      <c r="H45" s="4"/>
    </row>
    <row r="46" spans="1:8" ht="15" customHeight="1" x14ac:dyDescent="0.3">
      <c r="A46" s="9">
        <v>63</v>
      </c>
      <c r="B46" s="13">
        <f t="shared" si="0"/>
        <v>364.99999999999795</v>
      </c>
      <c r="C46" s="9">
        <f>A46-'Caso 5'!$B$16</f>
        <v>32</v>
      </c>
      <c r="D46" s="9">
        <f>C46*B46-'Caso 5'!$B$20</f>
        <v>8079.9999999999345</v>
      </c>
      <c r="E46" s="4"/>
      <c r="F46" s="4"/>
      <c r="G46" s="4"/>
      <c r="H46" s="4"/>
    </row>
    <row r="47" spans="1:8" ht="15" customHeight="1" x14ac:dyDescent="0.3">
      <c r="A47" s="9">
        <v>63.25</v>
      </c>
      <c r="B47" s="13">
        <f t="shared" si="0"/>
        <v>362.08333333333121</v>
      </c>
      <c r="C47" s="9">
        <f>A47-'Caso 5'!$B$16</f>
        <v>32.25</v>
      </c>
      <c r="D47" s="9">
        <f>C47*B47-'Caso 5'!$B$20</f>
        <v>8077.1874999999309</v>
      </c>
      <c r="E47" s="4"/>
      <c r="F47" s="4"/>
      <c r="G47" s="4"/>
      <c r="H47" s="4"/>
    </row>
    <row r="48" spans="1:8" ht="15" customHeight="1" x14ac:dyDescent="0.3">
      <c r="A48" s="9">
        <v>63.5</v>
      </c>
      <c r="B48" s="13">
        <f t="shared" si="0"/>
        <v>359.16666666666458</v>
      </c>
      <c r="C48" s="9">
        <f>A48-'Caso 5'!$B$16</f>
        <v>32.5</v>
      </c>
      <c r="D48" s="9">
        <f>C48*B48-'Caso 5'!$B$20</f>
        <v>8072.9166666665988</v>
      </c>
      <c r="E48" s="4"/>
      <c r="F48" s="4"/>
      <c r="G48" s="4"/>
      <c r="H48" s="4"/>
    </row>
    <row r="49" spans="1:8" ht="15" customHeight="1" x14ac:dyDescent="0.3">
      <c r="A49" s="9">
        <v>63.75</v>
      </c>
      <c r="B49" s="13">
        <f t="shared" si="0"/>
        <v>356.24999999999784</v>
      </c>
      <c r="C49" s="9">
        <f>A49-'Caso 5'!$B$16</f>
        <v>32.75</v>
      </c>
      <c r="D49" s="9">
        <f>C49*B49-'Caso 5'!$B$20</f>
        <v>8067.1874999999291</v>
      </c>
      <c r="E49" s="4"/>
      <c r="F49" s="4"/>
      <c r="G49" s="4"/>
      <c r="H49" s="4"/>
    </row>
    <row r="50" spans="1:8" ht="15" customHeight="1" x14ac:dyDescent="0.3">
      <c r="A50" s="9">
        <v>64</v>
      </c>
      <c r="B50" s="13">
        <f t="shared" si="0"/>
        <v>353.33333333333121</v>
      </c>
      <c r="C50" s="9">
        <f>A50-'Caso 5'!$B$16</f>
        <v>33</v>
      </c>
      <c r="D50" s="9">
        <f>C50*B50-'Caso 5'!$B$20</f>
        <v>8059.9999999999309</v>
      </c>
      <c r="E50" s="4"/>
      <c r="F50" s="4"/>
      <c r="G50" s="4"/>
      <c r="H50" s="4"/>
    </row>
    <row r="51" spans="1:8" ht="15" customHeight="1" x14ac:dyDescent="0.3">
      <c r="A51" s="9">
        <v>64.25</v>
      </c>
      <c r="B51" s="13">
        <f t="shared" si="0"/>
        <v>350.41666666666458</v>
      </c>
      <c r="C51" s="9">
        <f>A51-'Caso 5'!$B$16</f>
        <v>33.25</v>
      </c>
      <c r="D51" s="9">
        <f>C51*B51-'Caso 5'!$B$20</f>
        <v>8051.3541666665969</v>
      </c>
      <c r="E51" s="4"/>
      <c r="F51" s="4"/>
      <c r="G51" s="4"/>
      <c r="H51" s="4"/>
    </row>
    <row r="52" spans="1:8" ht="15" customHeight="1" x14ac:dyDescent="0.3">
      <c r="A52" s="9">
        <v>64.5</v>
      </c>
      <c r="B52" s="13">
        <f t="shared" si="0"/>
        <v>347.49999999999784</v>
      </c>
      <c r="C52" s="9">
        <f>A52-'Caso 5'!$B$16</f>
        <v>33.5</v>
      </c>
      <c r="D52" s="9">
        <f>C52*B52-'Caso 5'!$B$20</f>
        <v>8041.2499999999272</v>
      </c>
      <c r="E52" s="4"/>
      <c r="F52" s="4"/>
      <c r="G52" s="4"/>
      <c r="H52" s="4"/>
    </row>
    <row r="53" spans="1:8" ht="15" customHeight="1" x14ac:dyDescent="0.3">
      <c r="A53" s="9">
        <v>64.75</v>
      </c>
      <c r="B53" s="13">
        <f t="shared" si="0"/>
        <v>344.58333333333121</v>
      </c>
      <c r="C53" s="9">
        <f>A53-'Caso 5'!$B$16</f>
        <v>33.75</v>
      </c>
      <c r="D53" s="9">
        <f>C53*B53-'Caso 5'!$B$20</f>
        <v>8029.6874999999291</v>
      </c>
      <c r="E53" s="4"/>
      <c r="F53" s="4"/>
      <c r="G53" s="4"/>
      <c r="H53" s="4"/>
    </row>
    <row r="54" spans="1:8" ht="15" customHeight="1" x14ac:dyDescent="0.3">
      <c r="A54" s="9">
        <v>65</v>
      </c>
      <c r="B54" s="13">
        <f t="shared" si="0"/>
        <v>341.66666666666447</v>
      </c>
      <c r="C54" s="9">
        <f>A54-'Caso 5'!$B$16</f>
        <v>34</v>
      </c>
      <c r="D54" s="9">
        <f>C54*B54-'Caso 5'!$B$20</f>
        <v>8016.6666666665915</v>
      </c>
      <c r="E54" s="4"/>
      <c r="F54" s="4"/>
      <c r="G54" s="4"/>
      <c r="H54" s="4"/>
    </row>
    <row r="55" spans="1:8" ht="15" customHeight="1" x14ac:dyDescent="0.3">
      <c r="A55" s="9">
        <v>65.25</v>
      </c>
      <c r="B55" s="13">
        <f t="shared" si="0"/>
        <v>338.74999999999784</v>
      </c>
      <c r="C55" s="9">
        <f>A55-'Caso 5'!$B$16</f>
        <v>34.25</v>
      </c>
      <c r="D55" s="9">
        <f>C55*B55-'Caso 5'!$B$20</f>
        <v>8002.1874999999254</v>
      </c>
      <c r="E55" s="4"/>
      <c r="F55" s="4"/>
      <c r="G55" s="4"/>
      <c r="H55" s="4"/>
    </row>
    <row r="56" spans="1:8" ht="15" customHeight="1" x14ac:dyDescent="0.3">
      <c r="A56" s="9">
        <v>65.5</v>
      </c>
      <c r="B56" s="13">
        <f t="shared" si="0"/>
        <v>335.83333333333121</v>
      </c>
      <c r="C56" s="9">
        <f>A56-'Caso 5'!$B$16</f>
        <v>34.5</v>
      </c>
      <c r="D56" s="9">
        <f>C56*B56-'Caso 5'!$B$20</f>
        <v>7986.2499999999272</v>
      </c>
      <c r="E56" s="4"/>
      <c r="F56" s="4"/>
      <c r="G56" s="4"/>
      <c r="H56" s="4"/>
    </row>
    <row r="57" spans="1:8" ht="15" customHeight="1" x14ac:dyDescent="0.3">
      <c r="A57" s="9">
        <v>65.75</v>
      </c>
      <c r="B57" s="13">
        <f t="shared" si="0"/>
        <v>332.91666666666447</v>
      </c>
      <c r="C57" s="9">
        <f>A57-'Caso 5'!$B$16</f>
        <v>34.75</v>
      </c>
      <c r="D57" s="9">
        <f>C57*B57-'Caso 5'!$B$20</f>
        <v>7968.8541666665897</v>
      </c>
      <c r="E57" s="4"/>
      <c r="F57" s="4"/>
      <c r="G57" s="4"/>
      <c r="H57" s="4"/>
    </row>
    <row r="58" spans="1:8" ht="15" customHeight="1" x14ac:dyDescent="0.3">
      <c r="A58" s="9">
        <v>66</v>
      </c>
      <c r="B58" s="13">
        <f t="shared" si="0"/>
        <v>329.99999999999784</v>
      </c>
      <c r="C58" s="9">
        <f>A58-'Caso 5'!$B$16</f>
        <v>35</v>
      </c>
      <c r="D58" s="9">
        <f>C58*B58-'Caso 5'!$B$20</f>
        <v>7949.9999999999236</v>
      </c>
      <c r="E58" s="4"/>
      <c r="F58" s="4"/>
      <c r="G58" s="4"/>
      <c r="H58" s="4"/>
    </row>
    <row r="59" spans="1:8" ht="15" customHeight="1" x14ac:dyDescent="0.3">
      <c r="A59" s="9">
        <v>66.25</v>
      </c>
      <c r="B59" s="13">
        <f t="shared" si="0"/>
        <v>327.0833333333311</v>
      </c>
      <c r="C59" s="9">
        <f>A59-'Caso 5'!$B$16</f>
        <v>35.25</v>
      </c>
      <c r="D59" s="9">
        <f>C59*B59-'Caso 5'!$B$20</f>
        <v>7929.6874999999218</v>
      </c>
      <c r="E59" s="4"/>
      <c r="F59" s="4"/>
      <c r="G59" s="4"/>
      <c r="H59" s="4"/>
    </row>
    <row r="60" spans="1:8" ht="15" customHeight="1" x14ac:dyDescent="0.3">
      <c r="A60" s="9">
        <v>66.5</v>
      </c>
      <c r="B60" s="13">
        <f t="shared" si="0"/>
        <v>324.16666666666447</v>
      </c>
      <c r="C60" s="9">
        <f>A60-'Caso 5'!$B$16</f>
        <v>35.5</v>
      </c>
      <c r="D60" s="9">
        <f>C60*B60-'Caso 5'!$B$20</f>
        <v>7907.9166666665878</v>
      </c>
      <c r="E60" s="4"/>
      <c r="F60" s="4"/>
      <c r="G60" s="4"/>
      <c r="H60" s="4"/>
    </row>
    <row r="61" spans="1:8" ht="15" customHeight="1" x14ac:dyDescent="0.3">
      <c r="A61" s="9">
        <v>66.75</v>
      </c>
      <c r="B61" s="13">
        <f t="shared" si="0"/>
        <v>321.24999999999784</v>
      </c>
      <c r="C61" s="9">
        <f>A61-'Caso 5'!$B$16</f>
        <v>35.75</v>
      </c>
      <c r="D61" s="9">
        <f>C61*B61-'Caso 5'!$B$20</f>
        <v>7884.6874999999236</v>
      </c>
      <c r="E61" s="4"/>
      <c r="F61" s="4"/>
      <c r="G61" s="4"/>
      <c r="H61" s="4"/>
    </row>
    <row r="62" spans="1:8" ht="15" customHeight="1" x14ac:dyDescent="0.3">
      <c r="A62" s="9">
        <v>67</v>
      </c>
      <c r="B62" s="13">
        <f t="shared" si="0"/>
        <v>318.3333333333311</v>
      </c>
      <c r="C62" s="9">
        <f>A62-'Caso 5'!$B$16</f>
        <v>36</v>
      </c>
      <c r="D62" s="9">
        <f>C62*B62-'Caso 5'!$B$20</f>
        <v>7859.99999999992</v>
      </c>
      <c r="E62" s="4"/>
      <c r="F62" s="4"/>
      <c r="G62" s="4"/>
      <c r="H62" s="4"/>
    </row>
    <row r="63" spans="1:8" ht="15" customHeight="1" x14ac:dyDescent="0.3">
      <c r="A63" s="9">
        <v>67.25</v>
      </c>
      <c r="B63" s="13">
        <f t="shared" si="0"/>
        <v>315.41666666666447</v>
      </c>
      <c r="C63" s="9">
        <f>A63-'Caso 5'!$B$16</f>
        <v>36.25</v>
      </c>
      <c r="D63" s="9">
        <f>C63*B63-'Caso 5'!$B$20</f>
        <v>7833.8541666665878</v>
      </c>
      <c r="E63" s="4"/>
      <c r="F63" s="4"/>
      <c r="G63" s="4"/>
      <c r="H63" s="4"/>
    </row>
    <row r="64" spans="1:8" ht="15" customHeight="1" x14ac:dyDescent="0.3">
      <c r="A64" s="9">
        <v>67.5</v>
      </c>
      <c r="B64" s="13">
        <f t="shared" si="0"/>
        <v>312.49999999999773</v>
      </c>
      <c r="C64" s="9">
        <f>A64-'Caso 5'!$B$16</f>
        <v>36.5</v>
      </c>
      <c r="D64" s="9">
        <f>C64*B64-'Caso 5'!$B$20</f>
        <v>7806.2499999999163</v>
      </c>
      <c r="E64" s="4"/>
      <c r="F64" s="4"/>
      <c r="G64" s="4"/>
      <c r="H64" s="4"/>
    </row>
    <row r="65" spans="1:8" ht="15" customHeight="1" x14ac:dyDescent="0.3">
      <c r="A65" s="9">
        <v>67.75</v>
      </c>
      <c r="B65" s="13">
        <f t="shared" si="0"/>
        <v>309.5833333333311</v>
      </c>
      <c r="C65" s="9">
        <f>A65-'Caso 5'!$B$16</f>
        <v>36.75</v>
      </c>
      <c r="D65" s="9">
        <f>C65*B65-'Caso 5'!$B$20</f>
        <v>7777.1874999999181</v>
      </c>
      <c r="E65" s="4"/>
      <c r="F65" s="4"/>
      <c r="G65" s="4"/>
      <c r="H65" s="4"/>
    </row>
    <row r="66" spans="1:8" ht="15" customHeight="1" x14ac:dyDescent="0.3">
      <c r="A66" s="9">
        <v>68</v>
      </c>
      <c r="B66" s="13">
        <f t="shared" si="0"/>
        <v>306.66666666666447</v>
      </c>
      <c r="C66" s="9">
        <f>A66-'Caso 5'!$B$16</f>
        <v>37</v>
      </c>
      <c r="D66" s="9">
        <f>C66*B66-'Caso 5'!$B$20</f>
        <v>7746.666666666586</v>
      </c>
      <c r="E66" s="4"/>
      <c r="F66" s="4"/>
      <c r="G66" s="4"/>
      <c r="H66" s="4"/>
    </row>
    <row r="67" spans="1:8" ht="15" customHeight="1" x14ac:dyDescent="0.3">
      <c r="A67" s="4"/>
      <c r="B67" s="4"/>
      <c r="C67" s="4"/>
      <c r="D67" s="4"/>
      <c r="E67" s="4"/>
      <c r="F67" s="4"/>
      <c r="G67" s="4"/>
      <c r="H67" s="4"/>
    </row>
    <row r="68" spans="1:8" ht="15" customHeight="1" x14ac:dyDescent="0.3">
      <c r="A68" s="7" t="s">
        <v>184</v>
      </c>
      <c r="B68" s="9">
        <f>MAX(D26:D66)</f>
        <v>8081.3541666666006</v>
      </c>
      <c r="C68" s="4"/>
      <c r="D68" s="4"/>
      <c r="E68" s="4"/>
      <c r="F68" s="4"/>
      <c r="G68" s="4"/>
      <c r="H68" s="4"/>
    </row>
    <row r="69" spans="1:8" ht="15" customHeight="1" x14ac:dyDescent="0.3">
      <c r="A69" s="7" t="s">
        <v>185</v>
      </c>
      <c r="B69" s="9">
        <f>INDEX(A26:A66,MATCH(MAX(D26:D66),D26:D66,0))</f>
        <v>62.75</v>
      </c>
      <c r="C69" s="4"/>
      <c r="D69" s="4"/>
      <c r="E69" s="4"/>
      <c r="F69" s="4"/>
      <c r="G69" s="4"/>
      <c r="H69" s="4"/>
    </row>
    <row r="70" spans="1:8" ht="15" customHeight="1" x14ac:dyDescent="0.3">
      <c r="A70" s="7" t="s">
        <v>186</v>
      </c>
      <c r="B70" s="9">
        <f>B68-'Caso 5'!B24</f>
        <v>81.354166666600577</v>
      </c>
      <c r="C70" s="4"/>
      <c r="D70" s="4"/>
      <c r="E70" s="4"/>
      <c r="F70" s="4"/>
      <c r="G70" s="4"/>
      <c r="H70" s="4"/>
    </row>
    <row r="71" spans="1:8" ht="15" customHeight="1" x14ac:dyDescent="0.3">
      <c r="A71" s="4"/>
      <c r="B71" s="4"/>
      <c r="C71" s="4"/>
      <c r="D71" s="4"/>
      <c r="E71" s="4"/>
      <c r="F71" s="4"/>
      <c r="G71" s="4"/>
      <c r="H71" s="4"/>
    </row>
    <row r="72" spans="1:8" ht="15" customHeight="1" x14ac:dyDescent="0.3">
      <c r="A72" s="7" t="s">
        <v>187</v>
      </c>
      <c r="B72" s="9">
        <f>Datos!B7-(9000+'Caso 5'!B20)/Datos!B6</f>
        <v>28.5</v>
      </c>
      <c r="C72" s="4"/>
      <c r="D72" s="4"/>
      <c r="E72" s="4"/>
      <c r="F72" s="4"/>
      <c r="G72" s="4"/>
      <c r="H72" s="4"/>
    </row>
    <row r="73" spans="1:8" ht="15" customHeight="1" x14ac:dyDescent="0.3">
      <c r="A73" s="7" t="s">
        <v>188</v>
      </c>
      <c r="B73" s="10">
        <f>B72/'Caso 5'!B16-1</f>
        <v>-8.064516129032262E-2</v>
      </c>
      <c r="C73" s="4"/>
      <c r="D73" s="4"/>
      <c r="E73" s="4"/>
      <c r="F73" s="4"/>
      <c r="G73" s="4"/>
      <c r="H73" s="4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Instrucciones</vt:lpstr>
      <vt:lpstr>Datos</vt:lpstr>
      <vt:lpstr>Caso 1</vt:lpstr>
      <vt:lpstr>Caso 2</vt:lpstr>
      <vt:lpstr>Caso 3</vt:lpstr>
      <vt:lpstr>Caso 4</vt:lpstr>
      <vt:lpstr>Caso 5</vt:lpstr>
      <vt:lpstr>Caso 6</vt:lpstr>
      <vt:lpstr>Caso 7</vt:lpstr>
      <vt:lpstr>Reto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Usuario</cp:lastModifiedBy>
  <cp:revision>0</cp:revision>
  <dcterms:created xsi:type="dcterms:W3CDTF">2026-09-08T15:26:43Z</dcterms:created>
  <dcterms:modified xsi:type="dcterms:W3CDTF">2026-09-09T03:23:04Z</dcterms:modified>
  <dc:language>en-US</dc:language>
</cp:coreProperties>
</file>