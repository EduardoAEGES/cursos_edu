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PLAN SESIÓN A SESIÓN" sheetId="2" state="visible" r:id="rId4"/>
    <sheet name="AVANCE POR SEMANA" sheetId="3" state="visible" r:id="rId5"/>
    <sheet name="DETALLE SEMANAS 11 A 15" sheetId="4" state="visible" r:id="rId6"/>
  </sheets>
  <definedNames>
    <definedName function="false" hidden="true" localSheetId="1" name="_xlnm._FilterDatabase" vbProcedure="false">'PLAN SESIÓN A SESIÓN'!$A$3:$L$29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<sst xmlns="http://schemas.openxmlformats.org/spreadsheetml/2006/main" count="859" uniqueCount="520">
  <si>
    <t xml:space="preserve">PLAN DE CLASE · SEMANAS 3 A 15</t>
  </si>
  <si>
    <t xml:space="preserve">ANÁLISIS DE COSTOS Y PRESUPUESTOS · MARKETING · III ciclo · 2026-II · sesiones 5 a 30</t>
  </si>
  <si>
    <t xml:space="preserve">Unidad didáctica</t>
  </si>
  <si>
    <t xml:space="preserve">ANÁLISIS DE COSTOS Y PRESUPUESTOS · IES «Thomas Jefferson» · 6 horas académicas · 16 semanas</t>
  </si>
  <si>
    <t xml:space="preserve">Unidad de competencia</t>
  </si>
  <si>
    <t xml:space="preserve">UC2: Ejecutar las estrategias del desarrollo del producto y/o servicio, en función a los objetivos de la empresa.</t>
  </si>
  <si>
    <t xml:space="preserve">Horario</t>
  </si>
  <si>
    <t xml:space="preserve">Martes 17:00–19:15 (135 min) · Jueves 14:30–16:45 (135 min)</t>
  </si>
  <si>
    <t xml:space="preserve">Alcance de este plan</t>
  </si>
  <si>
    <t xml:space="preserve">26 sesiones · semanas 3 a 15 · de la sesión 5 (01/09/2026) a la sesión 30 (26/11/2026). La semana 16 se indica solo como referencia de cierre.</t>
  </si>
  <si>
    <t xml:space="preserve">Proyecto integrador</t>
  </si>
  <si>
    <t xml:space="preserve">Proyecto Final MKT 3 (III Ciclo): propuesta de un nuevo producto o servicio y evaluación de su rentabilidad. A esta unidad le corresponde el CAPÍTULO 5 completo (5.1 a 5.8) y el Anexo A.4.</t>
  </si>
  <si>
    <t xml:space="preserve">LAS DOS ETAPAS DEL SEMESTRE</t>
  </si>
  <si>
    <t xml:space="preserve">Semanas 3 a 10 · CONSTRUCCIÓN</t>
  </si>
  <si>
    <t xml:space="preserve">Sesiones 5 a 20. Cada sesión produce material del capítulo 5. Al terminar la sesión 20 el capítulo queda cerrado del punto 5.1 al 5.8 y el modelo financiero del Anexo A.4 queda funcionando. Corresponde al plan detallado vigente y aquí se reproduce a nivel de sesión.</t>
  </si>
  <si>
    <t xml:space="preserve">Semanas 11 a 15 · MEJORAMIENTO</t>
  </si>
  <si>
    <t xml:space="preserve">Sesiones 21 a 30. No se genera material nuevo del informe: el sílabo desarrolla los mismos temas en profundidad y los equipos vuelven sobre su propio modelo para mejorarlo. Se entregan cuatro mejoras y la versión final. Este tramo se elabora aquí por primera vez.</t>
  </si>
  <si>
    <t xml:space="preserve">Regla de avance del proyecto</t>
  </si>
  <si>
    <t xml:space="preserve">En las semanas 3 a 10 hay trabajo de proyecto en todas las sesiones. En las semanas 11 a 15 el avance se concentra en la sesión del jueves: el martes es clase técnica sin avance del informe. La excepción es la semana 15, donde ambas sesiones avanzan.</t>
  </si>
  <si>
    <t xml:space="preserve">ADVERTENCIAS QUE CONVIENE TENER PRESENTES</t>
  </si>
  <si>
    <t xml:space="preserve">Numeración del informe</t>
  </si>
  <si>
    <t xml:space="preserve">El control de avance silábico cita los avances como «Capítulo 4.x». En el documento vigente del Proyecto Final MKT 3 la parte de Costos es el CAPÍTULO 5 (puntos 5.1 a 5.8) y el Anexo A.4. Este plan usa la numeración del proyecto vigente.</t>
  </si>
  <si>
    <t xml:space="preserve">Numeración de las sesiones con adelanto</t>
  </si>
  <si>
    <t xml:space="preserve">En la hoja ADELANTOS PUNTUALES del plan vigente los cinco adelantos figuran en las sesiones 8, 12, 16, 19 y 20, mientras que en la hoja PLAN DETALLADO figuran en las sesiones 7, 11, 15, 19 y 20. Este plan sigue la hoja PLAN DETALLADO, que es la que fija fecha y hora. Conviene corregir la hoja de adelantos para que ambas coincidan.</t>
  </si>
  <si>
    <t xml:space="preserve">Evaluaciones del período</t>
  </si>
  <si>
    <t xml:space="preserve">Evaluación Permanente 1 (30 %) en la sesión 18, semana 9. Evaluación Permanente 2 (30 %) en la sesión 30, semana 15. Evaluación Final (40 %) en la semana 16.</t>
  </si>
  <si>
    <t xml:space="preserve">Semana 16 (fuera de este plan)</t>
  </si>
  <si>
    <t xml:space="preserve">Sesiones 31 y 32, martes 01/12 y jueves 03/12: consolidación de la monografía, auditoría final de las plantillas del modelo y sustentación final ante el jurado. Evaluación Final.</t>
  </si>
  <si>
    <t xml:space="preserve">HOJAS DE ESTE ARCHIVO</t>
  </si>
  <si>
    <t xml:space="preserve">PLAN SESIÓN A SESIÓN</t>
  </si>
  <si>
    <t xml:space="preserve">Las 26 sesiones, de la 5 a la 30: tema del sílabo, subtemas que se dictan, qué se hace en clase, si avanza el proyecto, el punto exacto del informe y el entregable.</t>
  </si>
  <si>
    <t xml:space="preserve">AVANCE POR SEMANA</t>
  </si>
  <si>
    <t xml:space="preserve">Semana por semana: si corresponde avance, el punto exacto, qué debe quedar terminado al cierre y en qué estado queda el capítulo 5.</t>
  </si>
  <si>
    <t xml:space="preserve">DETALLE SEMANAS 11 A 15</t>
  </si>
  <si>
    <t xml:space="preserve">Las diez sesiones nuevas, tramo por tramo y minuto a minuto, al mismo nivel de detalle que el plan vigente de las semanas 1 a 10.</t>
  </si>
  <si>
    <t xml:space="preserve">PLAN DE CLASE SESIÓN A SESIÓN · SEMANAS 3 A 15 · SESIONES 5 A 30</t>
  </si>
  <si>
    <t xml:space="preserve">SEM</t>
  </si>
  <si>
    <t xml:space="preserve">SESIÓN</t>
  </si>
  <si>
    <t xml:space="preserve">FECHA</t>
  </si>
  <si>
    <t xml:space="preserve">DÍA</t>
  </si>
  <si>
    <t xml:space="preserve">ACTIVIDAD Y TEMA DEL SÍLABO</t>
  </si>
  <si>
    <t xml:space="preserve">SUBTEMAS QUE SE DICTAN</t>
  </si>
  <si>
    <t xml:space="preserve">QUÉ SE HACE EN CLASE (laboratorios, prácticas y talleres)</t>
  </si>
  <si>
    <t xml:space="preserve">¿AVANZA EL PROYECTO?</t>
  </si>
  <si>
    <t xml:space="preserve">PUNTO DEL INFORME QUE AVANZA</t>
  </si>
  <si>
    <t xml:space="preserve">QUÉ SE PRODUCE EXACTAMENTE DEL INFORME</t>
  </si>
  <si>
    <t xml:space="preserve">ENTREGABLE / EVIDENCIA</t>
  </si>
  <si>
    <t xml:space="preserve">INSTRUMENTO DE EVALUACIÓN</t>
  </si>
  <si>
    <t xml:space="preserve">01/09/2026</t>
  </si>
  <si>
    <t xml:space="preserve">Martes</t>
  </si>
  <si>
    <t xml:space="preserve">Actividad 3 (continuación) — Valuación de inventarios y kárdex comercial</t>
  </si>
  <si>
    <t xml:space="preserve">3.3. Valuación de inventarios comerciales bajo PEPS y Promedio Ponderado.  3.4. Control de almacén a traves del Kárdex comercial para materiales de campaña.</t>
  </si>
  <si>
    <t xml:space="preserve">Conflicto cognitivo con dos kárdex del mismo movimiento. Microclase de PEPS y promedio ponderado (10 min). Laboratorio 6: kárdex PEPS con fórmulas activas (30 min). Laboratorio 7: kárdex promedio ponderado y cuantificación de la diferencia en utilidad (25 min).</t>
  </si>
  <si>
    <t xml:space="preserve">SÍ — con entrega</t>
  </si>
  <si>
    <t xml:space="preserve">5.2</t>
  </si>
  <si>
    <t xml:space="preserve">Costo de adquisición real de los insumos con evidencia, elección justificada del método de valuación, kárdex del insumo principal y costo de adquisición unitario definitivo.</t>
  </si>
  <si>
    <t xml:space="preserve">AVANCE 2: costeo de adquisición y kárdex del insumo principal (punto 5.2)</t>
  </si>
  <si>
    <t xml:space="preserve">Rúbrica del kárdex y del costeo de adquisición (punto 5.2)</t>
  </si>
  <si>
    <t xml:space="preserve">03/09/2026</t>
  </si>
  <si>
    <t xml:space="preserve">Jueves</t>
  </si>
  <si>
    <t xml:space="preserve">Actividad 4 — Fijación de precios sobre el costo total y margen de utilidad</t>
  </si>
  <si>
    <t xml:space="preserve">4.1. Métodos de fijación de precios basados en el costo total (Cost-Plus Pricing).  4.2. Determinación del margen de utilidad bruta deseada y el precio de venta final.</t>
  </si>
  <si>
    <t xml:space="preserve">Conflicto cognitivo numérico sobre margen sobre costo y margen sobre precio. Laboratorio 8: calculadora de precios en Excel que devuelve el precio por ambos métodos (30 min). Microclase de la cadena costo-precio (10 min). Práctica calificada de fijación de precios y márgenes (25 min).</t>
  </si>
  <si>
    <t xml:space="preserve">SÍ — sin entrega (taller)</t>
  </si>
  <si>
    <t xml:space="preserve">5.2 (se dicta la base de 5.3)</t>
  </si>
  <si>
    <t xml:space="preserve">Consolidación del costo unitario completo de la propuesta: costo de adquisición del punto 5.2 más los costos variables de operación, verificando la evidencia de cada componente.</t>
  </si>
  <si>
    <t xml:space="preserve">Costo unitario consolidado con evidencia de cada componente</t>
  </si>
  <si>
    <t xml:space="preserve">Práctica calificada de fijación de precios y márgenes</t>
  </si>
  <si>
    <t xml:space="preserve">08/09/2026</t>
  </si>
  <si>
    <t xml:space="preserve">Actividad 4 (continuación) — Sensibilidad de precios, margen de contribución y punto de equilibrio</t>
  </si>
  <si>
    <t xml:space="preserve">4.3. Análisis de sensibilidad de precios e impacto en los ingresos de ventas.  4.4. Avance del Proyecto Integrador: auditoría del precio actual y cálculo del margen de contribución unitario.</t>
  </si>
  <si>
    <t xml:space="preserve">Laboratorio 9: tabla de sensibilidad de doble entrada precio-volumen (25 min). ADELANTO PUNTUAL de 15 min: margen de contribución y punto de equilibrio (contenido de la semana 13). Laboratorio 10: punto de equilibrio con gráfico de ingresos y costos totales (25 min).</t>
  </si>
  <si>
    <t xml:space="preserve">5.3 y 5.4 (se inicia 5.7)</t>
  </si>
  <si>
    <t xml:space="preserve">Auditoría del precio actual del producto de la empresa, fijación del precio de la propuesta, margen de contribución unitario y primer punto de equilibrio en unidades y en soles con su gráfico.</t>
  </si>
  <si>
    <t xml:space="preserve">AVANCE 3: precio de venta, margen de contribución y punto de equilibrio (puntos 5.3 y 5.4)</t>
  </si>
  <si>
    <t xml:space="preserve">Rúbrica del avance del precio de venta y del margen de contribución (puntos 5.3 y 5.4)</t>
  </si>
  <si>
    <t xml:space="preserve">10/09/2026</t>
  </si>
  <si>
    <t xml:space="preserve">Actividad 5 — Costeo de servicios y costo por hora del personal</t>
  </si>
  <si>
    <t xml:space="preserve">5.1. Particularidades del costeo en el sector servicios frente al industrial.  5.2. Cálculo del costo por hora de trabajo del personal de contacto y soporte técnico.</t>
  </si>
  <si>
    <t xml:space="preserve">Reto de apertura sobre el costo real de una hora de asesor. Laboratorio 11: costo por hora sobre horas efectivamente productivas (30 min). Plenario de contraste. Laboratorio 12: costeo de un servicio completo de 40 minutos (25 min).</t>
  </si>
  <si>
    <t xml:space="preserve">5.1 y 5.2</t>
  </si>
  <si>
    <t xml:space="preserve">Identificación del personal requerido para operar la propuesta, costo por hora de cada perfil y separación entre la porción fija y la porción variable de ese costo.</t>
  </si>
  <si>
    <t xml:space="preserve">Costo por hora del personal de la propuesta calculado</t>
  </si>
  <si>
    <t xml:space="preserve">Práctica dirigida de costo por hora con lista de cotejo</t>
  </si>
  <si>
    <t xml:space="preserve">15/09/2026</t>
  </si>
  <si>
    <t xml:space="preserve">Actividad 5 (continuación) — Tarifas de servicios profesionales y costos fijos de personal</t>
  </si>
  <si>
    <t xml:space="preserve">5.3. Determinación de tarifas de consultoría comercial y diseño estratégico de marca.  5.4. Avance del Proyecto Integrador: identificación de costos fijos de personal operativo.</t>
  </si>
  <si>
    <t xml:space="preserve">Caso detonante con una propuesta económica real de agencia. Microclase de la estructura de una tarifa profesional. Laboratorio 13: propuesta económica completa de un proyecto de identidad de marca (35 min). Contraste de tarifas entre equipos. Punto de control del proyecto con tablero del aula (20 min).</t>
  </si>
  <si>
    <t xml:space="preserve">Clasificación definitiva de los costos fijos de personal de la propuesta y consolidación del costo unitario completo, dejando cerrado el total de costos fijos mensuales para el punto de equilibrio.</t>
  </si>
  <si>
    <t xml:space="preserve">AVANCE 4: costos fijos de personal y costo unitario consolidado (puntos 5.1 y 5.2)</t>
  </si>
  <si>
    <t xml:space="preserve">Rúbrica de la propuesta económica y del avance de los puntos 5.1 y 5.2</t>
  </si>
  <si>
    <t xml:space="preserve">17/09/2026</t>
  </si>
  <si>
    <t xml:space="preserve">Actividad 6 — Costeo por órdenes y hoja de costos de campaña</t>
  </si>
  <si>
    <t xml:space="preserve">6.1. Fundamentos del costeo por órdenes de trabajo aplicables a proyectos comerciales.  6.2. Estructuración de la Hoja de Costos por Órdenes para campañas y eventos promocionales.</t>
  </si>
  <si>
    <t xml:space="preserve">Reto de apertura sobre el costo exacto de una activación. Laboratorio 14: hoja de costos por órdenes con sus tres secciones y fórmulas de acumulación (30 min). Laboratorio 15: costeo de un evento promocional completo y costo por asistente (25 min). Plenario de omisiones frecuentes.</t>
  </si>
  <si>
    <t xml:space="preserve">5.5 (se inicia)</t>
  </si>
  <si>
    <t xml:space="preserve">Estructuración de la hoja de costos por órdenes de las actividades de lanzamiento de la propuesta: activación, material promocional y evento de presentación, con cotizaciones reales.</t>
  </si>
  <si>
    <t xml:space="preserve">Hoja de costos por órdenes del lanzamiento iniciada</t>
  </si>
  <si>
    <t xml:space="preserve">Lista de cotejo de la Hoja de Costos por Órdenes elaborada</t>
  </si>
  <si>
    <t xml:space="preserve">22/09/2026</t>
  </si>
  <si>
    <t xml:space="preserve">Actividad 6 (continuación) — Acumulación modular por campaña y presupuesto de inversión</t>
  </si>
  <si>
    <t xml:space="preserve">6.3. Acumulación modular de materiales directos, personal directo y servicios tercerizados por campaña.  6.4. Avance del Proyecto Integrador: costeo modular por órdenes de los eventos de lanzamiento.</t>
  </si>
  <si>
    <t xml:space="preserve">Control del encargo de cotizaciones. Laboratorio 16: consolidación modular con fórmulas de referencia entre hojas (30 min). ADELANTO PUNTUAL de 15 min: estructura del presupuesto de inversión inicial (contenido de las semanas 14 y 15). Revisión cruzada entre equipos.</t>
  </si>
  <si>
    <t xml:space="preserve">5.5</t>
  </si>
  <si>
    <t xml:space="preserve">Consolidación de la hoja de costos por órdenes y su traslado al presupuesto de inversión inicial por categorías (activos, adecuación, lanzamiento y capital de trabajo del primer mes).</t>
  </si>
  <si>
    <t xml:space="preserve">AVANCE 5: presupuesto de inversión inicial (punto 5.5)</t>
  </si>
  <si>
    <t xml:space="preserve">Rúbrica del avance del costeo por órdenes (punto 5.5)</t>
  </si>
  <si>
    <t xml:space="preserve">24/09/2026</t>
  </si>
  <si>
    <t xml:space="preserve">Actividad 7 — Costeo basado en actividades (ABC): inductores y jerarquía de actividades</t>
  </si>
  <si>
    <t xml:space="preserve">7.1. Limitaciones del prorrateo comercial tradicional sobre base de volumen de ventas.  7.2. Concepto de actividades, recursos y cost drivers comerciales.  7.3. Jerarquía de costos de cuatro niveles de ABC aplicada a canales y líneas de productos.</t>
  </si>
  <si>
    <t xml:space="preserve">Conflicto cognitivo sobre el subsidio entre líneas. Asignación de inductores a seis actividades comerciales en parejas (20 min). Laboratorio 17: modelo ABC de dos etapas comparado con el prorrateo tradicional (30 min). Práctica calificada de aplicación del modelo ABC (25 min).</t>
  </si>
  <si>
    <t xml:space="preserve">Listado de las actividades indirectas que consume la propuesta, definición del inductor de cada una y estimación de su volumen mensual, dejando el modelo listo para asignar los indirectos.</t>
  </si>
  <si>
    <t xml:space="preserve">Matriz de actividades indirectas e inductores de costo</t>
  </si>
  <si>
    <t xml:space="preserve">Práctica calificada de aplicación del modelo ABC</t>
  </si>
  <si>
    <t xml:space="preserve">29/09/2026</t>
  </si>
  <si>
    <t xml:space="preserve">Actividad 7 (continuación) — Costos de soporte por cliente y costo unitario definitivo</t>
  </si>
  <si>
    <t xml:space="preserve">7.4. Asignación de costos de servicio y soporte a clientes específicos en sistemas CRM.  7.5. Avance del Proyecto Integrador: costo de las actividades operativas de soporte.</t>
  </si>
  <si>
    <t xml:space="preserve">Microclase del costo de atender a cada cliente. Laboratorio 18: rentabilidad por cliente y ordenamiento de la cartera (30 min). Plenario de decisión sobre el cliente menos rentable. Taller de proyecto extendido (55 min).</t>
  </si>
  <si>
    <t xml:space="preserve">5.2 y 5.4</t>
  </si>
  <si>
    <t xml:space="preserve">Aplicación del modelo de inductores para asignar los costos indirectos y obtener el costo unitario definitivo. Recálculo del margen de contribución y del punto de equilibrio de la sesión 7 con ese dato.</t>
  </si>
  <si>
    <t xml:space="preserve">AVANCE 6: costo unitario definitivo y punto de equilibrio recalculado (puntos 5.2 y 5.4)</t>
  </si>
  <si>
    <t xml:space="preserve">Rúbrica del avance del costo unitario definitivo (puntos 5.2 y 5.4)</t>
  </si>
  <si>
    <t xml:space="preserve">01/10/2026</t>
  </si>
  <si>
    <t xml:space="preserve">Actividad 8 — Costo de adquisición de clientes (CAC) y valor de vida del cliente (CLV)</t>
  </si>
  <si>
    <t xml:space="preserve">8.1. Cálculo del Costo de Adquisición de Clientes (CAC) y sus componentes promocionales.  8.2. Determinación del Valor de Vida del Cliente (Customer Lifetime Value).</t>
  </si>
  <si>
    <t xml:space="preserve">Reto de apertura sobre la rentabilidad de una campaña. Laboratorio 19: CAC por canal y decisión de que canal escalar (25 min). Laboratorio 20: relación CLV sobre CAC y criterio de tres a uno (25 min). Práctica calificada de CAC y CLV (20 min).</t>
  </si>
  <si>
    <t xml:space="preserve">5.5 y 5.6</t>
  </si>
  <si>
    <t xml:space="preserve">CAC del plan de lanzamiento calculado con el presupuesto de la sesión 11 y CLV del cliente de la propuesta estimado, coordinando la cifra con Marketing Relacional y CRM.</t>
  </si>
  <si>
    <t xml:space="preserve">CAC y CLV de la propuesta calculados</t>
  </si>
  <si>
    <t xml:space="preserve">Práctica calificada de cálculo e interpretación de CAC y CLV</t>
  </si>
  <si>
    <t xml:space="preserve">06/10/2026</t>
  </si>
  <si>
    <t xml:space="preserve">Actividad 8 (continuación) — Rentabilidad de la cartera y proyección de ventas del primer año</t>
  </si>
  <si>
    <t xml:space="preserve">8.3. Análisis de rentabilidad de la cartera de clientes y tasas de retención.  8.4. Avance del Proyecto Integrador: justificación financiera de la fidelización.</t>
  </si>
  <si>
    <t xml:space="preserve">Microclase con demostración numérica del efecto de la retención. Laboratorio 21: utilidad anual con tres tasas de retención y valor de un punto de retención (30 min). ADELANTO PUNTUAL de 15 min: cédula de ingresos y proyección mensualizada (contenido de la semana 14). Auditoría de supuestos entre equipos.</t>
  </si>
  <si>
    <t xml:space="preserve">5.6</t>
  </si>
  <si>
    <t xml:space="preserve">Cédula de ingresos mensualizada de doce meses, con el punto de equilibrio como piso y el CLV y la captación proyectada como sustento del volumen, y justificación escrita de la tasa de crecimiento asumida.</t>
  </si>
  <si>
    <t xml:space="preserve">AVANCE 7: proyección de ventas mensualizada del primer año (punto 5.6)</t>
  </si>
  <si>
    <t xml:space="preserve">Rúbrica del avance de la proyección de ventas (punto 5.6)</t>
  </si>
  <si>
    <t xml:space="preserve">08/10/2026</t>
  </si>
  <si>
    <t xml:space="preserve">Actividad 9 — Composición de la planilla comercial y costo real del empleador</t>
  </si>
  <si>
    <t xml:space="preserve">9.1. Clasificación del costo de personal comercial (fuerza de ventas, community managers, analistas de CRM).  9.2. Composición de la planilla bajo el régimen laboral general peruano: EsSalud, gratificaciones, CTS y vacaciones.</t>
  </si>
  <si>
    <t xml:space="preserve">Reto de apertura sobre el costo anual real de un vendedor. Microclase de la estructura del costo empleador. Laboratorio 22: planilla anual de un trabajador y factor de sobrecosto (40 min). Contraste del impacto sobre el punto de equilibrio en el tablero del aula.</t>
  </si>
  <si>
    <t xml:space="preserve">SÍ — sin entrega (actualización)</t>
  </si>
  <si>
    <t xml:space="preserve">5.1 y 5.4</t>
  </si>
  <si>
    <t xml:space="preserve">Recálculo del costo del personal de la propuesta con el factor de sobrecosto obtenido, actualización de los costos fijos mensuales y verificación del impacto sobre el punto de equilibrio de la sesión 13.</t>
  </si>
  <si>
    <t xml:space="preserve">Costos fijos de personal actualizados con el factor de sobrecosto laboral</t>
  </si>
  <si>
    <t xml:space="preserve">Ficha de observación y lista de cotejo del cálculo del costo empleador</t>
  </si>
  <si>
    <t xml:space="preserve">13/10/2026</t>
  </si>
  <si>
    <t xml:space="preserve">Actividad 9 (continuación) — Modalidad de contratación y simulación del costo empleador</t>
  </si>
  <si>
    <t xml:space="preserve">9.3. Contratación por recibos por honorarios frente a contrato en planilla.  9.4. Simulación del costo real empleador mensual y anual de un equipo comercial.</t>
  </si>
  <si>
    <t xml:space="preserve">Microclase comparativa de modalidades y riesgo de desnaturalización. Laboratorio 23: simulación del costo de un equipo de tres personas bajo ambas modalidades (30 min). Práctica calificada de planilla y costo empleador (25 min). Ensayo de la sustentación y armado de la lámina.</t>
  </si>
  <si>
    <t xml:space="preserve">SÍ — sin entrega (cierre y ensayo)</t>
  </si>
  <si>
    <t xml:space="preserve">5.1 (cierra) y 5.1 a 5.4 (consolidación)</t>
  </si>
  <si>
    <t xml:space="preserve">Cierre del costo del equipo humano de la propuesta con la modalidad de contratación decidida y justificada, y consolidación del modelo para la sustentación del jueves.</t>
  </si>
  <si>
    <t xml:space="preserve">Modelo consolidado y lámina de sustentación lista</t>
  </si>
  <si>
    <t xml:space="preserve">Práctica calificada de elaboración de planilla y cálculo del costo empleador</t>
  </si>
  <si>
    <t xml:space="preserve">15/10/2026</t>
  </si>
  <si>
    <t xml:space="preserve">Actividad 9 (evaluación) — EVALUACIÓN PERMANENTE 1: sustentación del avance del capítulo 5</t>
  </si>
  <si>
    <t xml:space="preserve">9.5. Avance del Proyecto Integrador – Evaluación Permanente 1: sustentación del diagnóstico de costos actuales y del cálculo del punto de equilibrio.</t>
  </si>
  <si>
    <t xml:space="preserve">Sustentación por equipos de 8 minutos más 3 de preguntas, con el modelo de Excel proyectado y sus fórmulas visibles (90 min). Retroalimentación individualizada por equipo con dos observaciones y una corrección obligatoria (25 min).</t>
  </si>
  <si>
    <t xml:space="preserve">SÍ — EVALUACIÓN</t>
  </si>
  <si>
    <t xml:space="preserve">5.1 a 5.4</t>
  </si>
  <si>
    <t xml:space="preserve">Defensa técnica de la clasificación de costos, el costo unitario, el precio, el margen de contribución y el punto de equilibrio ante el docente.</t>
  </si>
  <si>
    <t xml:space="preserve">EVALUACIÓN PERMANENTE 1 (30 %): sustentación de los puntos 5.1 a 5.4</t>
  </si>
  <si>
    <t xml:space="preserve">Rúbrica de sustentación de avance (Evaluación Permanente 1 – 30 %)</t>
  </si>
  <si>
    <t xml:space="preserve">20/10/2026</t>
  </si>
  <si>
    <t xml:space="preserve">Actividad 10 — Remuneración variable, comisiones y estado de resultados proyectado</t>
  </si>
  <si>
    <t xml:space="preserve">10.1. Estructura de remuneraciones variables de la fuerza de ventas.  10.2. Modelamiento de comisiones por escala de metas e incentivos comerciales.</t>
  </si>
  <si>
    <t xml:space="preserve">Reto comparativo entre comisión plana y escalonada. Laboratorio 24: modelo de comisión escalonada de tres tramos con búsqueda por rangos (30 min). Práctica calificada de modelamiento de comisiones (20 min). ADELANTO PUNTUAL de 15 min: estado de resultados proyectado (contenido de la semana 15).</t>
  </si>
  <si>
    <t xml:space="preserve">SÍ — sin entrega (construcción)</t>
  </si>
  <si>
    <t xml:space="preserve">Enlace de la cédula de ingresos con la estructura de costos para obtener el estado de resultados proyectado de los doce meses, incorporando comisiones y sobrecostos laborales.</t>
  </si>
  <si>
    <t xml:space="preserve">Estado de resultados proyectado de los doce meses construido</t>
  </si>
  <si>
    <t xml:space="preserve">Práctica calificada de modelamiento de comisiones en Excel</t>
  </si>
  <si>
    <t xml:space="preserve">22/10/2026</t>
  </si>
  <si>
    <t xml:space="preserve">Actividad 10 (continuación) — Costeo por objetivos, escenarios y cierre del capítulo de rentabilidad</t>
  </si>
  <si>
    <t xml:space="preserve">10.3. Filosofía del Target Costing: precio meta, utilidad deseada y costo meta.  10.4. Ingeniería de valor aplicada a la reducción de costos del empaque.  10.5. Avance del Proyecto Integrador: costo meta y cierre del capítulo de rentabilidad.</t>
  </si>
  <si>
    <t xml:space="preserve">Microclase de target costing contrastada con el cost-plus de la sesión 6. Laboratorio 25: ingeniería de valor sobre el empaque con costo meta 15 % menor (20 min). ADELANTO PUNTUAL de 15 min: escenarios, índice costo-beneficio y periodo de recuperación. Taller final de cierre (60 min).</t>
  </si>
  <si>
    <t xml:space="preserve">SÍ — CIERRE DEL CAPÍTULO 5</t>
  </si>
  <si>
    <t xml:space="preserve">5.3 (afina), 5.7 y 5.8 (cierran)</t>
  </si>
  <si>
    <t xml:space="preserve">Tres escenarios sobre el estado de resultados, índice costo-beneficio, periodo de recuperación, conclusión de viabilidad redactada y verificación de que el modelo tenga todas sus fórmulas activas.</t>
  </si>
  <si>
    <t xml:space="preserve">CAPÍTULO 5 COMPLETO (5.1 a 5.8) Y MODELO FINANCIERO DEL ANEXO A.4 ENTREGADO</t>
  </si>
  <si>
    <t xml:space="preserve">Rúbrica del cierre del capítulo 5 completo del informe</t>
  </si>
  <si>
    <t xml:space="preserve">27/10/2026</t>
  </si>
  <si>
    <t xml:space="preserve">Actividad 11 — Costos directos e indirectos: centros de costo y direccionamiento primario</t>
  </si>
  <si>
    <t xml:space="preserve">11.1. Los costos directos de la empresa.  11.2. Los costos indirectos de la empresa.  Aplicación comercial: mapa de centros de costo y direccionamiento primario de cargos indirectos.</t>
  </si>
  <si>
    <t xml:space="preserve">Reto de apertura: quien paga el alquiler del almacén cuando conviven dos líneas. Microclase de centros de costo comerciales y su tipología, productivos y de servicio (15 min). Laboratorio 26: mapa de centros de costo de una empresa comercial (35 min). Microclase de bases de reparto y relación causal (15 min). Laboratorio 27: cédula de direccionamiento primario con tres bases y comparación de resultados (35 min).</t>
  </si>
  <si>
    <t xml:space="preserve">NO — clase técnica</t>
  </si>
  <si>
    <t xml:space="preserve">—</t>
  </si>
  <si>
    <t xml:space="preserve">No se produce material nuevo del informe. La sesión prepara la mejora del punto 5.2 que se entrega el jueves.</t>
  </si>
  <si>
    <t xml:space="preserve">Cédula de direccionamiento primario resuelta (evidencia de aula, no del informe)</t>
  </si>
  <si>
    <t xml:space="preserve">Lista de cotejo del mapa de centros de costo</t>
  </si>
  <si>
    <t xml:space="preserve">29/10/2026</t>
  </si>
  <si>
    <t xml:space="preserve">Actividad 11 (continuación) — Direccionamiento secundario entre centros de costo</t>
  </si>
  <si>
    <t xml:space="preserve">11.2. Los costos indirectos de la empresa (continuación).  Aplicación comercial: direccionamiento secundario por método directo y escalonado, y orden de cierre de centros de servicio.</t>
  </si>
  <si>
    <t xml:space="preserve">Control del encargo con el listado de centros de costo de cada propuesta. Microclase de direccionamiento secundario y del criterio para ordenar el cierre de los centros de servicio (15 min). Laboratorio 28: direccionamiento secundario por los dos métodos y cuantificación de la diferencia sobre el costo unitario (35 min). Taller de proyecto (50 min) y revisión cruzada entre equipos (15 min).</t>
  </si>
  <si>
    <t xml:space="preserve">SÍ — con entrega (MEJORA 1)</t>
  </si>
  <si>
    <t xml:space="preserve">5.2 (versión 2)</t>
  </si>
  <si>
    <t xml:space="preserve">La asignación de indirectos por inductores de la sesión 13 se rehace con el método formal: mapa de centros de costo de la propuesta, direccionamiento primario y secundario documentado y costo unitario recalculado. Se cuantifica cuánto cambio respecto de la versión de la semana 7.</t>
  </si>
  <si>
    <t xml:space="preserve">MEJORA 1: mapa de centros de costo y cédulas de direccionamiento; costo unitario versión 2 (punto 5.2)</t>
  </si>
  <si>
    <t xml:space="preserve">Rúbrica de la mejora del punto 5.2 con cuadro comparativo versión 1 frente a versión 2</t>
  </si>
  <si>
    <t xml:space="preserve">03/11/2026</t>
  </si>
  <si>
    <t xml:space="preserve">Actividad 12 — Clasificación de los costos indirectos y tasa predeterminada de aplicación</t>
  </si>
  <si>
    <t xml:space="preserve">12.1. Clasificación de los costos indirectos.  12.2. Costos de fabricación y su equivalente comercial.  Aplicación comercial: tasa predeterminada de aplicación de cargos indirectos.</t>
  </si>
  <si>
    <t xml:space="preserve">Conflicto cognitivo: por qué no esperar al cierre del año para conocer el costo de una campaña. Microclase de la tasa predeterminada, su numerador y su denominador (15 min). Laboratorio 29: cálculo de la tasa con tres bases distintas y elección justificada (35 min). Plenario de elección de base (10 min). Laboratorio 30: aplicación de la tasa a tres campañas del periodo (30 min). Práctica calificada de tasa predeterminada (25 min).</t>
  </si>
  <si>
    <t xml:space="preserve">No se produce material nuevo del informe. La sesión prepara la mejora de los puntos 5.2 y 5.5 que se entrega el jueves.</t>
  </si>
  <si>
    <t xml:space="preserve">Tasa predeterminada calculada y aplicada (evidencia de aula, no del informe)</t>
  </si>
  <si>
    <t xml:space="preserve">Práctica calificada de cálculo y aplicación de la tasa predeterminada</t>
  </si>
  <si>
    <t xml:space="preserve">05/11/2026</t>
  </si>
  <si>
    <t xml:space="preserve">Actividad 12 (continuación) — Aplicación de indirectos y análisis de variaciones</t>
  </si>
  <si>
    <t xml:space="preserve">12.2. Costos de fabricación (continuación).  Aplicación comercial: sub y sobreaplicación de cargos indirectos, cálculo de la variación y su tratamiento al cierre.</t>
  </si>
  <si>
    <t xml:space="preserve">Encuadre con meta. Microclase de sub y sobreaplicación y del tratamiento de la variación contra el costo de ventas (15 min). Laboratorio 31: cálculo de la variación de un periodo y su cierre (35 min). Taller de proyecto (50 min) y revisión cruzada entre equipos (15 min).</t>
  </si>
  <si>
    <t xml:space="preserve">SÍ — con entrega (MEJORA 2)</t>
  </si>
  <si>
    <t xml:space="preserve">5.2 y 5.5 (versión 2)</t>
  </si>
  <si>
    <t xml:space="preserve">El modelo pasa de una asignación anual estática a una tasa predeterminada que permite costear cada campaña durante el año y detectar desvíos. La tasa se incorpora al presupuesto operativo del punto 5.5 y se define el procedimiento de control de la variación.</t>
  </si>
  <si>
    <t xml:space="preserve">MEJORA 2: tasa predeterminada incorporada al modelo y al presupuesto operativo (puntos 5.2 y 5.5)</t>
  </si>
  <si>
    <t xml:space="preserve">Rúbrica de la mejora de los puntos 5.2 y 5.5</t>
  </si>
  <si>
    <t xml:space="preserve">10/11/2026</t>
  </si>
  <si>
    <t xml:space="preserve">Actividad 13 — Punto de equilibrio: desarrollo completo, mezcla, margen de seguridad y apalancamiento</t>
  </si>
  <si>
    <t xml:space="preserve">13.1. Concepto de punto de equilibrio.  13.2. Fórmula del punto de equilibrio.  13.3. Métodos para determinarlo: ecuación, margen de contribución y gráfico.  Ampliación: punto de equilibrio con mezcla de productos, margen de seguridad y apalancamiento operativo.</t>
  </si>
  <si>
    <t xml:space="preserve">Reto de apertura. Desarrollo completo del contenido que en la sesión 7 se dictó en formato condensado, ahora con mezcla de productos (15 min). Laboratorio 32: punto de equilibrio con mezcla y efecto del cambio de mezcla (35 min). Microclase de margen de seguridad y grado de apalancamiento operativo (15 min). Laboratorio 33: margen de seguridad y apalancamiento del caso (30 min). Práctica calificada (20 min).</t>
  </si>
  <si>
    <t xml:space="preserve">No se produce material nuevo del informe. La sesión prepara la mejora de los puntos 5.7 y 5.8 que se entrega el jueves.</t>
  </si>
  <si>
    <t xml:space="preserve">Punto de equilibrio con mezcla y margen de seguridad resueltos (evidencia de aula, no del informe)</t>
  </si>
  <si>
    <t xml:space="preserve">Práctica calificada de punto de equilibrio con mezcla y margen de seguridad</t>
  </si>
  <si>
    <t xml:space="preserve">12/11/2026</t>
  </si>
  <si>
    <t xml:space="preserve">Actividad 13 (continuación) — Índice costo-beneficio, información relevante y análisis marginal</t>
  </si>
  <si>
    <t xml:space="preserve">13.4. Índice costo beneficio y sus fórmulas.  13.5. Caso práctico.  Ampliación: información relevante para decisiones de corto plazo, costos evitables y hundidos, decisión de tercerizar o producir.</t>
  </si>
  <si>
    <t xml:space="preserve">Conflicto cognitivo: conviene aceptar un pedido por debajo del costo total. Microclase de información relevante, costos evitables y hundidos (15 min). Laboratorio 34: decisión de tercerizar o producir con costos relevantes (30 min). Microclase de la estructuración formal del índice costo-beneficio (15 min). Taller de proyecto (45 min) y actualización del tablero de viabilidad (20 min).</t>
  </si>
  <si>
    <t xml:space="preserve">SÍ — con entrega (MEJORA 3)</t>
  </si>
  <si>
    <t xml:space="preserve">5.7 y 5.8 (versión 2)</t>
  </si>
  <si>
    <t xml:space="preserve">El índice costo-beneficio calculado en la sesión 20 se reformula con la estructura completa y se agrega el análisis marginal: cada tercerización o internalización de la propuesta queda justificada con números y no por comodidad. La conclusión de viabilidad se reescribe con esas decisiones incorporadas.</t>
  </si>
  <si>
    <t xml:space="preserve">MEJORA 3: decisiones de tercerización sustentadas e índice costo-beneficio reformulado (puntos 5.7 y 5.8)</t>
  </si>
  <si>
    <t xml:space="preserve">Rúbrica de la mejora de los puntos 5.7 y 5.8</t>
  </si>
  <si>
    <t xml:space="preserve">17/11/2026</t>
  </si>
  <si>
    <t xml:space="preserve">Actividad 14 — Planeación financiera y presupuesto maestro</t>
  </si>
  <si>
    <t xml:space="preserve">14.1. Definición e importancia del presupuesto.  14.2. Ventajas y desventajas.  14.3. Principios.  14.4. Estrategias.  14.5. Etapas y elementos del proceso presupuestario.  Aplicación comercial: estructura del presupuesto maestro.</t>
  </si>
  <si>
    <t xml:space="preserve">Pregunta detonante sobre por qué fracasan los presupuestos. Microclase de definición, importancia, ventajas, desventajas y principios (15 min). Microclase de etapas y elementos del proceso presupuestario (15 min). Laboratorio 35: armado del esquema del presupuesto maestro y su secuencia de dependencias (35 min). Laboratorio 36: efecto cascada de un error en el presupuesto rector de ventas (30 min). Práctica calificada (20 min).</t>
  </si>
  <si>
    <t xml:space="preserve">No se produce material nuevo del informe. La sesión prepara la mejora del punto 5.6 que se entrega el jueves.</t>
  </si>
  <si>
    <t xml:space="preserve">Esquema del presupuesto maestro construido (evidencia de aula, no del informe)</t>
  </si>
  <si>
    <t xml:space="preserve">Práctica calificada de estructura y secuencia del presupuesto maestro</t>
  </si>
  <si>
    <t xml:space="preserve">19/11/2026</t>
  </si>
  <si>
    <t xml:space="preserve">Actividad 14 (continuación) — Presupuesto de ventas y métodos de proyección de la demanda</t>
  </si>
  <si>
    <t xml:space="preserve">14.5. Etapas y elementos (continuación).  Aplicación comercial: el presupuesto de ventas como presupuesto rector, métodos de proyección de la demanda y tratamiento de la estacionalidad.</t>
  </si>
  <si>
    <t xml:space="preserve">Control del encargo con la serie histórica de ventas de cada empresa. Microclase de los métodos de proyección y de cuando corresponde cada uno (15 min). Laboratorio 37: proyección por tendencia, promedios móviles e índice de estacionalidad sobre una misma serie (35 min). Taller de proyecto (50 min) y auditoría de supuestos entre equipos (15 min).</t>
  </si>
  <si>
    <t xml:space="preserve">SÍ — con entrega (MEJORA 4)</t>
  </si>
  <si>
    <t xml:space="preserve">5.6 (versión 2)</t>
  </si>
  <si>
    <t xml:space="preserve">La cédula de ingresos de la sesión 15 se rehace: la proyección deja de basarse en una tasa de crecimiento asumida y pasa a sustentarse en un método de proyección declarado y defendible, con estacionalidad justificada. El estado de resultados se recalcula con la nueva proyección.</t>
  </si>
  <si>
    <t xml:space="preserve">MEJORA 4: cédula de ingresos con método de proyección declarado y estado de resultados recalculado (punto 5.6)</t>
  </si>
  <si>
    <t xml:space="preserve">Rúbrica de la mejora del punto 5.6 con justificación del método de proyección</t>
  </si>
  <si>
    <t xml:space="preserve">24/11/2026</t>
  </si>
  <si>
    <t xml:space="preserve">Actividad 15 — Presupuesto operativo, presupuesto financiero y flujo de caja proforma</t>
  </si>
  <si>
    <t xml:space="preserve">15.1. Presupuesto Operativo.  15.2. Presupuesto Financiero.  15.3. Otros tipos de presupuestos.  Aplicación comercial: cédulas del presupuesto operativo y flujo de caja proforma mensualizado.</t>
  </si>
  <si>
    <t xml:space="preserve">Encuadre con meta. Microclase de las cédulas del presupuesto operativo y su consolidación (15 min). Laboratorio 38: presupuesto operativo mensualizado enlazado a la cédula de ingresos (30 min). Microclase de la diferencia entre utilidad y caja, y estructura del flujo de caja proforma (15 min). Taller de proyecto (50 min) y auditoría de coherencia del modelo con lista de cotejo (15 min).</t>
  </si>
  <si>
    <t xml:space="preserve">5.5 y 5.6 · Anexo A.4</t>
  </si>
  <si>
    <t xml:space="preserve">Presupuesto operativo mensualizado completo y flujo de caja proforma, que el capítulo 5 no exige pero que fortalece la defensa de la viabilidad. El modelo pasa de estado de resultados a modelo integrado: se demuestra que la propuesta gana y además que tiene caja para operar mes a mes.</t>
  </si>
  <si>
    <t xml:space="preserve">Presupuesto operativo integrado y flujo de caja proforma construidos en el modelo</t>
  </si>
  <si>
    <t xml:space="preserve">Lista de cotejo de coherencia del modelo financiero</t>
  </si>
  <si>
    <t xml:space="preserve">26/11/2026</t>
  </si>
  <si>
    <t xml:space="preserve">Actividad 15 (evaluación) — EVALUACIÓN PERMANENTE 2: sustentación del capítulo 5 mejorado</t>
  </si>
  <si>
    <t xml:space="preserve">15.4. Avance del Proyecto Integrador – Evaluación Permanente 2: sustentación del capítulo 5 completo en su versión mejorada y del modelo financiero del Anexo A.4.</t>
  </si>
  <si>
    <t xml:space="preserve">Indicaciones y verificación de archivos. Sustentación por equipos de 10 minutos más 3 de preguntas, con el modelo proyectado y sus fórmulas visibles (90 min). Retroalimentación individualizada por equipo (25 min). Encuadre de la semana 16.</t>
  </si>
  <si>
    <t xml:space="preserve">SÍ — EVALUACIÓN y entrega final</t>
  </si>
  <si>
    <t xml:space="preserve">5.1 a 5.8 · Anexo A.4 (versión final)</t>
  </si>
  <si>
    <t xml:space="preserve">Defensa de las cuatro mejoras incorporadas: direccionamiento de indirectos, tasa predeterminada, análisis marginal e índice costo-beneficio, y método de proyección. Entrega de la versión final del capítulo 5 y del modelo financiero auditado.</t>
  </si>
  <si>
    <t xml:space="preserve">EVALUACIÓN PERMANENTE 2 (30 %): capítulo 5 versión final y Anexo A.4 auditado</t>
  </si>
  <si>
    <t xml:space="preserve">Rúbrica de sustentación del capítulo 5 mejorado (Evaluación Permanente 2 – 30 %)</t>
  </si>
  <si>
    <t xml:space="preserve">AVANCE DEL PROYECTO INTEGRADOR SEMANA A SEMANA · CAPÍTULO 5 Y ANEXO A.4</t>
  </si>
  <si>
    <t xml:space="preserve">En las semanas 11 a 15 el avance corresponde solo a la sesión del jueves, salvo la semana 15, en la que avanzan las dos sesiones.</t>
  </si>
  <si>
    <t xml:space="preserve">SEMANA</t>
  </si>
  <si>
    <t xml:space="preserve">SESIONES</t>
  </si>
  <si>
    <t xml:space="preserve">¿CORRESPONDE AVANCE DEL PROYECTO?</t>
  </si>
  <si>
    <t xml:space="preserve">PUNTO EXACTO DEL INFORME</t>
  </si>
  <si>
    <t xml:space="preserve">QUÉ DEBE QUEDAR TERMINADO AL CIERRE DE LA SEMANA</t>
  </si>
  <si>
    <t xml:space="preserve">ESTADO DEL CAPÍTULO 5 AL CERRAR LA SEMANA</t>
  </si>
  <si>
    <t xml:space="preserve">5 y 6</t>
  </si>
  <si>
    <t xml:space="preserve">SÍ</t>
  </si>
  <si>
    <t xml:space="preserve">Costeo de adquisición, kárdex del insumo principal y costo unitario consolidado con evidencia de cada componente.</t>
  </si>
  <si>
    <t xml:space="preserve">5.1 cerrado en avance. 5.2 en construcción.</t>
  </si>
  <si>
    <t xml:space="preserve">7 y 8</t>
  </si>
  <si>
    <t xml:space="preserve">5.3 y 5.4</t>
  </si>
  <si>
    <t xml:space="preserve">Precio de venta fijado, margen de contribución unitario y primer punto de equilibrio en unidades y en soles con su gráfico. Costo por hora del personal calculado.</t>
  </si>
  <si>
    <t xml:space="preserve">5.1 y 5.3 en avance. 5.4 con primera versión. 5.2 en construcción.</t>
  </si>
  <si>
    <t xml:space="preserve">9 y 10</t>
  </si>
  <si>
    <t xml:space="preserve">Costos fijos de personal clasificados y costo unitario consolidado. Hoja de costos por órdenes del lanzamiento iniciada.</t>
  </si>
  <si>
    <t xml:space="preserve">5.1 y 5.2 consolidados. 5.5 iniciado.</t>
  </si>
  <si>
    <t xml:space="preserve">11 y 12</t>
  </si>
  <si>
    <t xml:space="preserve">Presupuesto de inversión inicial por categorías, con capital de trabajo del primer mes. Matriz de actividades indirectas e inductores.</t>
  </si>
  <si>
    <t xml:space="preserve">5.5 cerrado en su primera versión. 5.2 listo para recibir los indirectos.</t>
  </si>
  <si>
    <t xml:space="preserve">13 y 14</t>
  </si>
  <si>
    <t xml:space="preserve">Costo unitario definitivo con indirectos asignados y punto de equilibrio recalculado. CAC y CLV de la propuesta.</t>
  </si>
  <si>
    <t xml:space="preserve">5.2 y 5.4 cerrados. 5.6 con insumos listos.</t>
  </si>
  <si>
    <t xml:space="preserve">15 y 16</t>
  </si>
  <si>
    <t xml:space="preserve">Cédula de ingresos mensualizada de doce meses con su tasa de crecimiento justificada. Costos fijos actualizados con el factor de sobrecosto laboral.</t>
  </si>
  <si>
    <t xml:space="preserve">5.6 en construcción. 5.1 actualizado con sobrecostos.</t>
  </si>
  <si>
    <t xml:space="preserve">17 y 18</t>
  </si>
  <si>
    <t xml:space="preserve">EVALUACIÓN PERMANENTE 1 (30 %): sustentación del diagnóstico de costos y del punto de equilibrio, con el modelo proyectado.</t>
  </si>
  <si>
    <t xml:space="preserve">5.1 a 5.4 sustentados y observados. Correcciones asignadas.</t>
  </si>
  <si>
    <t xml:space="preserve">19 y 20</t>
  </si>
  <si>
    <t xml:space="preserve">5.3, 5.6, 5.7 y 5.8</t>
  </si>
  <si>
    <t xml:space="preserve">Estado de resultados proyectado de los doce meses, tres escenarios, índice costo-beneficio, periodo de recuperación y conclusión de viabilidad redactada.</t>
  </si>
  <si>
    <t xml:space="preserve">CAPÍTULO 5 COMPLETO (5.1 a 5.8) y Anexo A.4 funcionando.</t>
  </si>
  <si>
    <t xml:space="preserve">21 y 22</t>
  </si>
  <si>
    <t xml:space="preserve">SÍ, solo la sesión 22</t>
  </si>
  <si>
    <t xml:space="preserve">Mapa de centros de costo de la propuesta, cédulas de direccionamiento primario y secundario, y costo unitario recalculado con el método formal.</t>
  </si>
  <si>
    <t xml:space="preserve">Capítulo 5 completo desde la semana 10. Se abre la etapa de mejoramiento: 5.2 en versión 2.</t>
  </si>
  <si>
    <t xml:space="preserve">23 y 24</t>
  </si>
  <si>
    <t xml:space="preserve">SÍ, solo la sesión 24</t>
  </si>
  <si>
    <t xml:space="preserve">Tasa predeterminada de aplicación de indirectos incorporada al modelo y al presupuesto operativo, con procedimiento de control de la variación.</t>
  </si>
  <si>
    <t xml:space="preserve">5.2 y 5.5 en versión 2.</t>
  </si>
  <si>
    <t xml:space="preserve">25 y 26</t>
  </si>
  <si>
    <t xml:space="preserve">SÍ, solo la sesión 26</t>
  </si>
  <si>
    <t xml:space="preserve">Decisiones de tercerizar o internalizar sustentadas con análisis marginal e índice costo-beneficio reformulado. Conclusión de viabilidad reescrita.</t>
  </si>
  <si>
    <t xml:space="preserve">5.7 y 5.8 en versión 2.</t>
  </si>
  <si>
    <t xml:space="preserve">27 y 28</t>
  </si>
  <si>
    <t xml:space="preserve">SÍ, solo la sesión 28</t>
  </si>
  <si>
    <t xml:space="preserve">Cédula de ingresos rehecha con método de proyección declarado y estacionalidad justificada. Estado de resultados recalculado.</t>
  </si>
  <si>
    <t xml:space="preserve">5.6 en versión 2.</t>
  </si>
  <si>
    <t xml:space="preserve">29 y 30</t>
  </si>
  <si>
    <t xml:space="preserve">SÍ, las dos sesiones</t>
  </si>
  <si>
    <t xml:space="preserve">5.5, 5.6 y Anexo A.4 · sustentación de 5.1 a 5.8</t>
  </si>
  <si>
    <t xml:space="preserve">Presupuesto operativo integrado y flujo de caja proforma. EVALUACIÓN PERMANENTE 2 (30 %) y entrega de la versión final del capítulo 5 con el modelo auditado.</t>
  </si>
  <si>
    <t xml:space="preserve">CAPÍTULO 5 EN VERSIÓN FINAL y Anexo A.4 auditado. Listo para la consolidación de la semana 16.</t>
  </si>
  <si>
    <t xml:space="preserve">16</t>
  </si>
  <si>
    <t xml:space="preserve">31 y 32</t>
  </si>
  <si>
    <t xml:space="preserve">Fuera de este plan</t>
  </si>
  <si>
    <t xml:space="preserve">Capítulo 5 completo y Anexo A.4</t>
  </si>
  <si>
    <t xml:space="preserve">Consolidación de la monografía, auditoría de las plantillas del modelo y sustentación final ante el jurado. Evaluación Final (40 %).</t>
  </si>
  <si>
    <t xml:space="preserve">Informe final entregado y sustentado.</t>
  </si>
  <si>
    <t xml:space="preserve">DETALLE TRAMO POR TRAMO · SESIONES 21 A 30 · SEMANAS 11 A 15</t>
  </si>
  <si>
    <t xml:space="preserve">Martes 17:00–19:15 y jueves 14:30–16:45 · 135 minutos por sesión · cada sesión reserva cinco minutos de holgura</t>
  </si>
  <si>
    <t xml:space="preserve">INICIO</t>
  </si>
  <si>
    <t xml:space="preserve">FIN</t>
  </si>
  <si>
    <t xml:space="preserve">MIN</t>
  </si>
  <si>
    <t xml:space="preserve">MOMENTO</t>
  </si>
  <si>
    <t xml:space="preserve">BLOQUE</t>
  </si>
  <si>
    <t xml:space="preserve">ACTIVIDAD DETALLADA (qué se hace, paso a paso)</t>
  </si>
  <si>
    <t xml:space="preserve">PUNTO DEL INFORME</t>
  </si>
  <si>
    <t xml:space="preserve">SESIÓN 21 · SEMANA 11 · Martes 27/10/2026 · Actividad 11 — Costos directos e indirectos: centros de costo y direccionamiento primario</t>
  </si>
  <si>
    <t xml:space="preserve">17:00</t>
  </si>
  <si>
    <t xml:space="preserve">17:05</t>
  </si>
  <si>
    <t xml:space="preserve">Inicio</t>
  </si>
  <si>
    <t xml:space="preserve">Reto de apertura</t>
  </si>
  <si>
    <t xml:space="preserve">Se proyecta la planilla de gastos de un local con dos líneas de producto y se pregunta quién paga el alquiler del almacén. Se recogen tres respuestas y se dejan en pizarra sin corregir.</t>
  </si>
  <si>
    <t xml:space="preserve">17:20</t>
  </si>
  <si>
    <t xml:space="preserve">Desarrollo</t>
  </si>
  <si>
    <t xml:space="preserve">11.1 y 11.2. Costos directos, indirectos y centros de costo</t>
  </si>
  <si>
    <t xml:space="preserve">Microexplicación de la noción de centro de costo comercial y de su tipología: centros productivos o de línea y centros de servicio. Se arma en pizarra el mapa de una empresa de dos líneas con almacén y administración.</t>
  </si>
  <si>
    <t xml:space="preserve">17:55</t>
  </si>
  <si>
    <t xml:space="preserve">Laboratorio 26: mapa de centros de costo</t>
  </si>
  <si>
    <t xml:space="preserve">Cada estudiante construye en Excel el mapa de centros de costo de una empresa comercial, asigna cada desembolso a su centro y verifica que ningún costo quede sin centro asignado.</t>
  </si>
  <si>
    <t xml:space="preserve">18:10</t>
  </si>
  <si>
    <t xml:space="preserve">Bases de reparto y relación causal</t>
  </si>
  <si>
    <t xml:space="preserve">Microexplicación de las bases de direccionamiento primario: metros cuadrados, número de trabajadores, consumo, horas. Se advierte el error de elegir la base por disponibilidad del dato y no por relación causal.</t>
  </si>
  <si>
    <t xml:space="preserve">18:45</t>
  </si>
  <si>
    <t xml:space="preserve">Laboratorio 27: cédula de direccionamiento primario</t>
  </si>
  <si>
    <t xml:space="preserve">Cada estudiante reparte los cargos indirectos entre los centros con tres bases distintas y cuantifica cuánto cambia el costo de cada centro según la base elegida.</t>
  </si>
  <si>
    <t xml:space="preserve">18:50</t>
  </si>
  <si>
    <t xml:space="preserve">Holgura</t>
  </si>
  <si>
    <t xml:space="preserve">Consultas y corrección de fórmulas.</t>
  </si>
  <si>
    <t xml:space="preserve">19:05</t>
  </si>
  <si>
    <t xml:space="preserve">Socialización de bases elegidas</t>
  </si>
  <si>
    <t xml:space="preserve">Tres estudiantes exponen qué base eligieron y por qué. El aula evalua si la relación causal está sustentada o si se eligio por comodidad.</t>
  </si>
  <si>
    <t xml:space="preserve">19:15</t>
  </si>
  <si>
    <t xml:space="preserve">Cierre</t>
  </si>
  <si>
    <t xml:space="preserve">Encargo</t>
  </si>
  <si>
    <t xml:space="preserve">Encargo: cada equipo trae el jueves el listado de centros de costo de su propuesta con el responsable de cada uno.</t>
  </si>
  <si>
    <t xml:space="preserve">TOTAL</t>
  </si>
  <si>
    <t xml:space="preserve">Sesión 21 — total de minutos lectivos</t>
  </si>
  <si>
    <t xml:space="preserve">SESIÓN 22 · SEMANA 11 · Jueves 29/10/2026 · Actividad 11 (continuación) — Direccionamiento secundario · MEJORA 1 del punto 5.2</t>
  </si>
  <si>
    <t xml:space="preserve">14:30</t>
  </si>
  <si>
    <t xml:space="preserve">14:35</t>
  </si>
  <si>
    <t xml:space="preserve">Control del encargo</t>
  </si>
  <si>
    <t xml:space="preserve">Cada equipo declara cuántos centros de costo definió para su propuesta. Se actualiza el tablero de avance.</t>
  </si>
  <si>
    <t xml:space="preserve">14:50</t>
  </si>
  <si>
    <t xml:space="preserve">Direccionamiento secundario</t>
  </si>
  <si>
    <t xml:space="preserve">Microexplicación del método directo y del escalonado, y del criterio para ordenar el cierre de los centros de servicio. Se muestra por qué el orden altera el resultado.</t>
  </si>
  <si>
    <t xml:space="preserve">15:25</t>
  </si>
  <si>
    <t xml:space="preserve">Laboratorio 28: direccionamiento secundario por los dos métodos</t>
  </si>
  <si>
    <t xml:space="preserve">Cada estudiante distribuye los centros de servicio por método directo y por escalonado, compara los costos unitarios resultantes y cuantifica la diferencia.</t>
  </si>
  <si>
    <t xml:space="preserve">15:30</t>
  </si>
  <si>
    <t xml:space="preserve">Consultas y ajustes del laboratorio.</t>
  </si>
  <si>
    <t xml:space="preserve">16:20</t>
  </si>
  <si>
    <t xml:space="preserve">Proyecto</t>
  </si>
  <si>
    <t xml:space="preserve">MEJORA 1 del punto 5.2</t>
  </si>
  <si>
    <t xml:space="preserve">Cada equipo rehace la asignación de indirectos de su modelo: construye el mapa de centros de costo de su propuesta, aplica el direccionamiento primario y secundario, recalcula el costo unitario y arma el cuadro comparativo entre la versión 1 de la semana 7 y la versión 2.</t>
  </si>
  <si>
    <t xml:space="preserve">16:35</t>
  </si>
  <si>
    <t xml:space="preserve">Revisión cruzada entre equipos</t>
  </si>
  <si>
    <t xml:space="preserve">Los equipos intercambian su cédula y verifican dos cosas: que cada base de reparto tenga relación causal declarada y que el orden de cierre de los centros de servicio este justificado.</t>
  </si>
  <si>
    <t xml:space="preserve">16:45</t>
  </si>
  <si>
    <t xml:space="preserve">Síntesis y puente</t>
  </si>
  <si>
    <t xml:space="preserve">Se sistematiza cuánto cambió el costo unitario del aula al pasar del inductor único al direccionamiento formal. Anuncio: el martes se calcula la tasa que permite costear durante el año y no solo al cierre.</t>
  </si>
  <si>
    <t xml:space="preserve">Sesión 22 — total de minutos lectivos</t>
  </si>
  <si>
    <t xml:space="preserve">SESIÓN 23 · SEMANA 12 · Martes 03/11/2026 · Actividad 12 — Clasificación de los costos indirectos y tasa predeterminada</t>
  </si>
  <si>
    <t xml:space="preserve">Conflicto cognitivo</t>
  </si>
  <si>
    <t xml:space="preserve">Una agencia necesita cotizar una campaña en marzo, pero sus costos indirectos anuales recién se conoceran en diciembre. Pregunta: cómo cotiza hoy sin inventar.</t>
  </si>
  <si>
    <t xml:space="preserve">12.1 y 12.2. Clasificación de indirectos y tasa predeterminada</t>
  </si>
  <si>
    <t xml:space="preserve">Microexplicación de la clasificación de los cargos indirectos y de la tasa predeterminada: indirectos presupuestados entre nivel de actividad presupuestado. Se resuelve el conflicto del inicio.</t>
  </si>
  <si>
    <t xml:space="preserve">Laboratorio 29: cálculo de la tasa con tres bases</t>
  </si>
  <si>
    <t xml:space="preserve">Cada estudiante calcula la tasa predeterminada con tres denominadores distintos, horas de personal, unidades y soles de venta, y determina cuál representa mejor el consumo del recurso.</t>
  </si>
  <si>
    <t xml:space="preserve">18:05</t>
  </si>
  <si>
    <t xml:space="preserve">Plenario de elección de base</t>
  </si>
  <si>
    <t xml:space="preserve">Se compara la elección del aula y se discute el efecto de una base mal elegida sobre el precio de una campaña.</t>
  </si>
  <si>
    <t xml:space="preserve">18:35</t>
  </si>
  <si>
    <t xml:space="preserve">Laboratorio 30: aplicación de la tasa a tres campañas</t>
  </si>
  <si>
    <t xml:space="preserve">Cada pareja aplica la tasa a tres campañas de distinto tamaño y obtiene el costo indirecto aplicado a cada una durante el periodo.</t>
  </si>
  <si>
    <t xml:space="preserve">18:40</t>
  </si>
  <si>
    <t xml:space="preserve">Cierre de archivos y consultas.</t>
  </si>
  <si>
    <t xml:space="preserve">Práctica calificada de tasa predeterminada</t>
  </si>
  <si>
    <t xml:space="preserve">Práctica individual calificada: calcular la tasa, aplicarla a dos órdenes y explicar qué decisión comercial cambia si la base elegida es otra.</t>
  </si>
  <si>
    <t xml:space="preserve">Retroalimentación y encargo</t>
  </si>
  <si>
    <t xml:space="preserve">Se resuelve el ítem de mayor dificultad. Encargo: cada equipo llega el jueves con su nivel de actividad presupuestado para el primer año.</t>
  </si>
  <si>
    <t xml:space="preserve">Sesión 23 — total de minutos lectivos</t>
  </si>
  <si>
    <t xml:space="preserve">SESIÓN 24 · SEMANA 12 · Jueves 05/11/2026 · Actividad 12 (continuación) — Variaciones de indirectos · MEJORA 2 de los puntos 5.2 y 5.5</t>
  </si>
  <si>
    <t xml:space="preserve">Encuadre con meta</t>
  </si>
  <si>
    <t xml:space="preserve">Meta de la sesión: cada equipo sale con su tasa predeterminada incorporada al modelo y con su procedimiento de control de la variación definido.</t>
  </si>
  <si>
    <t xml:space="preserve">Sub y sobreaplicación de cargos indirectos</t>
  </si>
  <si>
    <t xml:space="preserve">Microexplicación de la variación entre indirectos aplicados y reales, de su lectura y de su tratamiento al cierre contra el costo de ventas.</t>
  </si>
  <si>
    <t xml:space="preserve">Laboratorio 31: variación de indirectos y su cierre</t>
  </si>
  <si>
    <t xml:space="preserve">Cada estudiante calcula la variación de un periodo, determina si hubo sub o sobreaplicación, la cierra y explica qué decisión de gestión se desprende del signo.</t>
  </si>
  <si>
    <t xml:space="preserve">MEJORA 2 de los puntos 5.2 y 5.5</t>
  </si>
  <si>
    <t xml:space="preserve">Cada equipo calcula la tasa predeterminada de su propuesta con el nivel de actividad presupuestado, la incorpora al modelo para poder costear cada campaña del año, la traslada al presupuesto operativo del punto 5.5 y define el procedimiento de control de la variación.</t>
  </si>
  <si>
    <t xml:space="preserve">5.2 y 5.5</t>
  </si>
  <si>
    <t xml:space="preserve">Los equipos verifican dos cosas: que el nivel de actividad presupuestado coincida con la proyección de ventas del punto 5.6 y que la tasa esté enlazada por fórmula y no digitada.</t>
  </si>
  <si>
    <t xml:space="preserve">Se sistematiza el error más frecuente: presupuestar un nivel de actividad distinto del proyectado en el punto 5.6. Anuncio: el martes se desarrolla completo el punto de equilibrio adelantado en la sesión 7.</t>
  </si>
  <si>
    <t xml:space="preserve">Sesión 24 — total de minutos lectivos</t>
  </si>
  <si>
    <t xml:space="preserve">SESIÓN 25 · SEMANA 13 · Martes 10/11/2026 · Actividad 13 — Punto de equilibrio completo, mezcla, margen de seguridad y apalancamiento</t>
  </si>
  <si>
    <t xml:space="preserve">Una empresa vende tres productos con márgenes distintos y alcanza su punto de equilibrio. Al mes siguiente vende lo mismo en soles y pierde dinero. Pregunta: qué cambió.</t>
  </si>
  <si>
    <t xml:space="preserve">13.1 a 13.3. Punto de equilibrio: desarrollo completo</t>
  </si>
  <si>
    <t xml:space="preserve">Desarrollo del contenido que en la sesión 7 se dictó en formato condensado: los tres métodos de determinación, de la ecuación al gráfico, y la extensión a mezcla de productos. Se resuelve el reto del inicio.</t>
  </si>
  <si>
    <t xml:space="preserve">Laboratorio 32: punto de equilibrio con mezcla</t>
  </si>
  <si>
    <t xml:space="preserve">Cada estudiante calcula el punto de equilibrio de una empresa de tres líneas con margen de contribución ponderado y comprueba cómo se desplaza al cambiar la mezcla.</t>
  </si>
  <si>
    <t xml:space="preserve">Margen de seguridad y apalancamiento operativo</t>
  </si>
  <si>
    <t xml:space="preserve">Microexplicación de las dos medidas: cuánto puede caer la venta antes de perder, y cuánto amplifica la utilidad un cambio en el volumen según la estructura de costos fijos.</t>
  </si>
  <si>
    <t xml:space="preserve">Laboratorio 33: margen de seguridad y apalancamiento</t>
  </si>
  <si>
    <t xml:space="preserve">Cada pareja calcula ambas medidas para dos empresas con la misma utilidad pero distinta proporción de costos fijos, y determina cual resiste mejor una caída de ventas.</t>
  </si>
  <si>
    <t xml:space="preserve">Práctica calificada</t>
  </si>
  <si>
    <t xml:space="preserve">Práctica individual calificada: punto de equilibrio con mezcla, margen de seguridad y lectura del grado de apalancamiento operativo.</t>
  </si>
  <si>
    <t xml:space="preserve">Encargo: cada equipo identifica para el jueves qué actividades de su propuesta podrían tercerizarse y consigue al menos una cotización de cada una.</t>
  </si>
  <si>
    <t xml:space="preserve">Sesión 25 — total de minutos lectivos</t>
  </si>
  <si>
    <t xml:space="preserve">SESIÓN 26 · SEMANA 13 · Jueves 12/11/2026 · Actividad 13 (continuación) — Análisis marginal e índice costo-beneficio · MEJORA 3 de los puntos 5.7 y 5.8</t>
  </si>
  <si>
    <t xml:space="preserve">Un cliente ofrece pagar por debajo del costo unitario total. Pregunta: se acepta o se rechaza el pedido. Se recogen posiciones sin corregir.</t>
  </si>
  <si>
    <t xml:space="preserve">Información relevante, costos evitables y hundidos</t>
  </si>
  <si>
    <t xml:space="preserve">Microexplicación del criterio de relevancia: solo importan los costos futuros que cambian con la decisión. Se resuelve el conflicto del inicio y se muestra por qué el costo unitario total confunde en el corto plazo.</t>
  </si>
  <si>
    <t xml:space="preserve">15:20</t>
  </si>
  <si>
    <t xml:space="preserve">Laboratorio 34: tercerizar o producir</t>
  </si>
  <si>
    <t xml:space="preserve">Cada pareja evalua con costos relevantes si conviene tercerizar el empaque de un producto, incorporando la capacidad liberada como beneficio de la alternativa.</t>
  </si>
  <si>
    <t xml:space="preserve">15:35</t>
  </si>
  <si>
    <t xml:space="preserve">13.4. Índice costo-beneficio: estructuración formal</t>
  </si>
  <si>
    <t xml:space="preserve">Microexplicación de la construcción completa del índice: qué entra como beneficio, qué entra como costo, en qué horizonte y por qué un índice mal armado aprueba proyectos que pierden.</t>
  </si>
  <si>
    <t xml:space="preserve">5.8</t>
  </si>
  <si>
    <t xml:space="preserve">15:40</t>
  </si>
  <si>
    <t xml:space="preserve">Consultas antes del taller.</t>
  </si>
  <si>
    <t xml:space="preserve">16:25</t>
  </si>
  <si>
    <t xml:space="preserve">MEJORA 3 de los puntos 5.7 y 5.8</t>
  </si>
  <si>
    <t xml:space="preserve">Cada equipo evalua con análisis marginal cada actividad tercerizable de su propuesta, decide y justifica con números, reformula el índice costo-beneficio con la estructura completa y reescribe la conclusión de viabilidad incorporando esas decisiones.</t>
  </si>
  <si>
    <t xml:space="preserve">5.7 y 5.8</t>
  </si>
  <si>
    <t xml:space="preserve">Tablero de viabilidad actualizado</t>
  </si>
  <si>
    <t xml:space="preserve">Cada equipo declara si su índice mejoró, empeoró o se mantuvo tras la reformulación, y que decisión de tercerización explica el cambio. Se actualiza el tablero del aula.</t>
  </si>
  <si>
    <t xml:space="preserve">Sesión 26 — total de minutos lectivos</t>
  </si>
  <si>
    <t xml:space="preserve">SESIÓN 27 · SEMANA 14 · Martes 17/11/2026 · Actividad 14 — Planeación financiera y presupuesto maestro</t>
  </si>
  <si>
    <t xml:space="preserve">Pregunta detonante</t>
  </si>
  <si>
    <t xml:space="preserve">Se pregunta por qué la mayoría de los presupuestos se incumplen antes del tercer mes. Se recogen tres causas y se dejan en pizarra.</t>
  </si>
  <si>
    <t xml:space="preserve">14.1 a 14.3. Definición, importancia, ventajas, desventajas y principios</t>
  </si>
  <si>
    <t xml:space="preserve">Microexplicación del presupuesto como instrumento de decisión y no como pronóstico, con sus ventajas, sus limitaciones y los principios que lo rigen.</t>
  </si>
  <si>
    <t xml:space="preserve">17:35</t>
  </si>
  <si>
    <t xml:space="preserve">14.4 y 14.5. Estrategias, etapas y elementos</t>
  </si>
  <si>
    <t xml:space="preserve">Microexplicación del ciclo presupuestario, de sus etapas y de los elementos que debe contener cada cédula para ser auditable.</t>
  </si>
  <si>
    <t xml:space="preserve">Laboratorio 35: esquema del presupuesto maestro</t>
  </si>
  <si>
    <t xml:space="preserve">Cada estudiante arma en Excel el esquema del presupuesto maestro con sus cédulas enlazadas y ordena la secuencia de dependencias, identificando cuál no puede elaborarse antes que otra.</t>
  </si>
  <si>
    <t xml:space="preserve">18:15</t>
  </si>
  <si>
    <t xml:space="preserve">Consultas y ajustes del esquema.</t>
  </si>
  <si>
    <t xml:space="preserve">Laboratorio 36: efecto cascada del presupuesto rector</t>
  </si>
  <si>
    <t xml:space="preserve">Cada pareja modifica el presupuesto de ventas en un 15 % y rastrea cuántas cédulas del maestro se alteran, comprobando por qué las ventas son el presupuesto rector.</t>
  </si>
  <si>
    <t xml:space="preserve">Práctica individual calificada: ordenar la secuencia del presupuesto maestro, identificar el presupuesto rector y explicar el efecto de un error en el.</t>
  </si>
  <si>
    <t xml:space="preserve">Encargo: cada equipo consigue para el jueves la serie histórica de ventas de su empresa, con el mayor número de meses disponible.</t>
  </si>
  <si>
    <t xml:space="preserve">Sesión 27 — total de minutos lectivos</t>
  </si>
  <si>
    <t xml:space="preserve">SESIÓN 28 · SEMANA 14 · Jueves 19/11/2026 · Actividad 14 (continuación) — Presupuesto de ventas y proyección de la demanda · MEJORA 4 del punto 5.6</t>
  </si>
  <si>
    <t xml:space="preserve">Cada equipo declara cuántos meses de serie histórica consiguió. Se registra en el tablero y se asignan alternativas a quienes no consiguieron datos.</t>
  </si>
  <si>
    <t xml:space="preserve">Presupuesto de ventas y métodos de proyección de la demanda</t>
  </si>
  <si>
    <t xml:space="preserve">Microexplicación de los métodos de proyección, de sus supuestos y de cuando corresponde cada uno. Se advierte que una tasa asumida sin método no es defendible ante un jurado.</t>
  </si>
  <si>
    <t xml:space="preserve">Laboratorio 37: tendencia, promedios móviles y estacionalidad</t>
  </si>
  <si>
    <t xml:space="preserve">Cada estudiante proyecta la misma serie por los tres métodos, calcula el índice de estacionalidad y compara los tres resultados con el dato real reservado para la prueba.</t>
  </si>
  <si>
    <t xml:space="preserve">MEJORA 4 del punto 5.6</t>
  </si>
  <si>
    <t xml:space="preserve">Cada equipo rehace su cédula de ingresos con un método de proyección declarado, aplica el índice de estacionalidad de su categoría, justifica por escrito la elección del método y recalcula el estado de resultados con la nueva proyección.</t>
  </si>
  <si>
    <t xml:space="preserve">Auditoría de supuestos entre equipos</t>
  </si>
  <si>
    <t xml:space="preserve">Los equipos intercambian proyecciones y cuestionan un solo punto: si el método declarado sostiene la cifra proyectada. Una proyección sin método se devuelve para corrección.</t>
  </si>
  <si>
    <t xml:space="preserve">Se sistematiza la diferencia entre proyectar y desear. Anuncio: el martes el modelo pasa de estado de resultados a modelo integrado con presupuesto operativo y flujo de caja.</t>
  </si>
  <si>
    <t xml:space="preserve">Sesión 28 — total de minutos lectivos</t>
  </si>
  <si>
    <t xml:space="preserve">SESIÓN 29 · SEMANA 15 · Martes 24/11/2026 · Actividad 15 — Presupuesto operativo, presupuesto financiero y flujo de caja proforma</t>
  </si>
  <si>
    <t xml:space="preserve">Meta de la sesión: cada equipo sale con su presupuesto operativo mensualizado y su flujo de caja proforma enlazados al modelo.</t>
  </si>
  <si>
    <t xml:space="preserve">15.1. Presupuesto operativo: cédulas y consolidación</t>
  </si>
  <si>
    <t xml:space="preserve">Microexplicación de las cédulas del presupuesto operativo, de su enlace con la cédula de ingresos y de su consolidación en el estado de resultados presupuestado.</t>
  </si>
  <si>
    <t xml:space="preserve">17:50</t>
  </si>
  <si>
    <t xml:space="preserve">Laboratorio 38: presupuesto operativo mensualizado</t>
  </si>
  <si>
    <t xml:space="preserve">Cada estudiante construye el presupuesto operativo de doce meses enlazado por fórmula a la cédula de ingresos, de modo que un cambio en el volumen recorra todas las cédulas.</t>
  </si>
  <si>
    <t xml:space="preserve">15.2 y 15.3. Presupuesto financiero y flujo de caja proforma</t>
  </si>
  <si>
    <t xml:space="preserve">Microexplicación de la diferencia entre utilidad y caja, con el caso de una empresa rentable que no puede pagar planilla. Estructura del flujo de caja proforma y tratamiento de los desfases de cobro y pago.</t>
  </si>
  <si>
    <t xml:space="preserve">19:00</t>
  </si>
  <si>
    <t xml:space="preserve">Presupuesto operativo integrado y flujo de caja proforma</t>
  </si>
  <si>
    <t xml:space="preserve">Cada equipo completa su presupuesto operativo mensualizado, construye el flujo de caja proforma de los doce meses con los desfases reales de cobro y pago de su empresa, e identifica el mes de menor caja y el capital de trabajo que exige.</t>
  </si>
  <si>
    <t xml:space="preserve">Auditoría de coherencia del modelo</t>
  </si>
  <si>
    <t xml:space="preserve">Cada equipo aplica la lista de cotejo sobre su modelo: sin referencias rotas, sin valores digitados donde debe haber fórmula, y con el volumen coincidiendo entre cédula de ingresos, estado de resultados y punto de equilibrio.</t>
  </si>
  <si>
    <t xml:space="preserve">Anexo A.4</t>
  </si>
  <si>
    <t xml:space="preserve">Sesión 29 — total de minutos lectivos</t>
  </si>
  <si>
    <t xml:space="preserve">SESIÓN 30 · SEMANA 15 · Jueves 26/11/2026 · Actividad 15 (evaluación) — EVALUACIÓN PERMANENTE 2 (30 %): sustentación del capítulo 5 mejorado</t>
  </si>
  <si>
    <t xml:space="preserve">Indicaciones de la sustentación</t>
  </si>
  <si>
    <t xml:space="preserve">Verificación del orden sorteado, del tiempo de diez minutos por equipo y de los tres de preguntas. Prueba de proyección de los modelos.</t>
  </si>
  <si>
    <t xml:space="preserve">16:05</t>
  </si>
  <si>
    <t xml:space="preserve">Evaluación</t>
  </si>
  <si>
    <t xml:space="preserve">EVALUACIÓN PERMANENTE 2: sustentación por equipos</t>
  </si>
  <si>
    <t xml:space="preserve">Cada equipo sustenta diez minutos y responde tres de preguntas sobre las cuatro mejoras incorporadas: direccionamiento de indirectos, tasa predeterminada, análisis marginal e índice costo-beneficio, y método de proyección. El modelo se proyecta con las fórmulas visibles.</t>
  </si>
  <si>
    <t xml:space="preserve">5.1 a 5.8 · Anexo A.4</t>
  </si>
  <si>
    <t xml:space="preserve">16:10</t>
  </si>
  <si>
    <t xml:space="preserve">Transición entre equipos y ajustes técnicos.</t>
  </si>
  <si>
    <t xml:space="preserve">Retroalimentación por equipo</t>
  </si>
  <si>
    <t xml:space="preserve">El docente devuelve a cada equipo dos observaciones concretas y una corrección obligatoria antes de la consolidación de la monografía.</t>
  </si>
  <si>
    <t xml:space="preserve">5.1 a 5.8</t>
  </si>
  <si>
    <t xml:space="preserve">Encuadre de la semana 16</t>
  </si>
  <si>
    <t xml:space="preserve">Se anuncia el trabajo de la semana 16: consolidación de la monografía, auditoría final de las plantillas del modelo y preparación de la sustentación final ante el jurado. Evaluación Final (40 %).</t>
  </si>
  <si>
    <t xml:space="preserve">Capítulo 5 completo</t>
  </si>
  <si>
    <t xml:space="preserve">Sesión 30 — total de minutos lectivos</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</si>
</sst>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1"/>
      <color rgb="FF595959"/>
      <name val="Arial"/>
      <family val="0"/>
      <charset val="1"/>
    </font>
    <font>
      <b val="true"/>
      <sz val="10"/>
      <color rgb="FF404040"/>
      <name val="Arial"/>
      <family val="0"/>
      <charset val="1"/>
    </font>
    <font>
      <sz val="10"/>
      <name val="Arial"/>
      <family val="0"/>
      <charset val="1"/>
    </font>
    <font>
      <b val="true"/>
      <sz val="12"/>
      <color rgb="FF1F3864"/>
      <name val="Arial"/>
      <family val="0"/>
      <charset val="1"/>
    </font>
    <font>
      <b val="true"/>
      <sz val="13"/>
      <color rgb="FF1F3864"/>
      <name val="Arial"/>
      <family val="0"/>
      <charset val="1"/>
    </font>
    <font>
      <b val="true"/>
      <sz val="9"/>
      <color rgb="FFFFFFFF"/>
      <name val="Arial"/>
      <family val="0"/>
      <charset val="1"/>
    </font>
    <font>
      <b val="true"/>
      <sz val="9"/>
      <name val="Arial"/>
      <family val="0"/>
      <charset val="1"/>
    </font>
    <font>
      <sz val="9"/>
      <name val="Arial"/>
      <family val="0"/>
      <charset val="1"/>
    </font>
    <font>
      <i val="true"/>
      <sz val="9"/>
      <color rgb="FF595959"/>
      <name val="Arial"/>
      <family val="0"/>
      <charset val="1"/>
    </font>
    <font>
      <b val="true"/>
      <sz val="11"/>
      <name val="Arial"/>
      <family val="0"/>
      <charset val="1"/>
    </font>
    <font>
      <i val="true"/>
      <sz val="9"/>
      <name val="Arial"/>
      <family val="0"/>
      <charset val="1"/>
    </font>
    <font>
      <b val="true"/>
      <sz val="10"/>
      <color rgb="FFFFFFFF"/>
      <name val="Arial"/>
      <family val="0"/>
      <charset val="1"/>
    </font>
    <font>
      <b val="true"/>
      <i val="true"/>
      <sz val="9"/>
      <name val="Arial"/>
      <family val="0"/>
      <charset val="1"/>
    </font>
  </fonts>
  <fills count="10">
    <fill>
      <patternFill patternType="none"/>
    </fill>
    <fill>
      <patternFill patternType="gray125"/>
    </fill>
    <fill>
      <patternFill patternType="solid">
        <fgColor rgb="FFDDEBF7"/>
        <bgColor rgb="FFE2EFDA"/>
      </patternFill>
    </fill>
    <fill>
      <patternFill patternType="solid">
        <fgColor rgb="FFE2EFDA"/>
        <bgColor rgb="FFDDEBF7"/>
      </patternFill>
    </fill>
    <fill>
      <patternFill patternType="solid">
        <fgColor rgb="FFFFF2CC"/>
        <bgColor rgb="FFFCE4D6"/>
      </patternFill>
    </fill>
    <fill>
      <patternFill patternType="solid">
        <fgColor rgb="FF1F3864"/>
        <bgColor rgb="FF404040"/>
      </patternFill>
    </fill>
    <fill>
      <patternFill patternType="solid">
        <fgColor rgb="FFFCE4D6"/>
        <bgColor rgb="FFFFD9CC"/>
      </patternFill>
    </fill>
    <fill>
      <patternFill patternType="solid">
        <fgColor rgb="FFFFD9CC"/>
        <bgColor rgb="FFFCE4D6"/>
      </patternFill>
    </fill>
    <fill>
      <patternFill patternType="solid">
        <fgColor rgb="FFF2F2F2"/>
        <bgColor rgb="FFE2EFDA"/>
      </patternFill>
    </fill>
    <fill>
      <patternFill patternType="solid">
        <fgColor rgb="FF2F5597"/>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fals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12" fillId="8"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4" fillId="8" borderId="1" xfId="0" applyFont="true" applyBorder="true" applyAlignment="true" applyProtection="false">
      <alignment horizontal="general" vertical="top" textRotation="0" wrapText="true" indent="0" shrinkToFit="false"/>
      <protection locked="true" hidden="false"/>
    </xf>
    <xf numFmtId="164" fontId="15" fillId="8" borderId="1" xfId="0" applyFont="true" applyBorder="true" applyAlignment="true" applyProtection="false">
      <alignment horizontal="general" vertical="top" textRotation="0" wrapText="true" indent="0" shrinkToFit="false"/>
      <protection locked="true" hidden="false"/>
    </xf>
    <xf numFmtId="164" fontId="16" fillId="9" borderId="0" xfId="0" applyFont="true" applyBorder="false" applyAlignment="true" applyProtection="false">
      <alignment horizontal="general" vertical="center"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12" fillId="4" borderId="1" xfId="0" applyFont="true" applyBorder="true" applyAlignment="true" applyProtection="false">
      <alignment horizontal="center" vertical="top" textRotation="0" wrapText="false" indent="0" shrinkToFit="false"/>
      <protection locked="true" hidden="false"/>
    </xf>
    <xf numFmtId="164" fontId="12" fillId="3" borderId="1" xfId="0" applyFont="true" applyBorder="true" applyAlignment="true" applyProtection="false">
      <alignment horizontal="center" vertical="top"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false" indent="0" shrinkToFit="false"/>
      <protection locked="true" hidden="false"/>
    </xf>
    <xf numFmtId="164" fontId="11" fillId="8" borderId="1"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5" fontId="11" fillId="8" borderId="1" xfId="0" applyFont="true" applyBorder="true" applyAlignment="true" applyProtection="false">
      <alignment horizontal="center" vertical="bottom" textRotation="0" wrapText="false" indent="0" shrinkToFit="false"/>
      <protection locked="true" hidden="false"/>
    </xf>
    <xf numFmtId="164" fontId="17" fillId="8" borderId="1"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top" textRotation="0" wrapText="fals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FFFFF"/>
          <bgColor rgb="FF000000"/>
        </patternFill>
      </fill>
    </dxf>
    <dxf>
      <fill>
        <patternFill patternType="solid">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D9CC"/>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FFD9C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18"/>
  </cols>
  <sheetData>
    <row r="2" customFormat="false" ht="22.05" hidden="false" customHeight="false" outlineLevel="0" collapsed="false">
      <c r="B2" s="1" t="s">
        <v>0</v>
      </c>
    </row>
    <row r="3" customFormat="false" ht="15" hidden="false" customHeight="false" outlineLevel="0" collapsed="false">
      <c r="B3" s="2" t="s">
        <v>1</v>
      </c>
    </row>
    <row r="5" customFormat="false" ht="30" hidden="false" customHeight="true" outlineLevel="0" collapsed="false">
      <c r="B5" s="3" t="s">
        <v>2</v>
      </c>
      <c r="C5" s="4" t="s">
        <v>3</v>
      </c>
    </row>
    <row r="6" customFormat="false" ht="30" hidden="false" customHeight="true" outlineLevel="0" collapsed="false">
      <c r="B6" s="3" t="s">
        <v>4</v>
      </c>
      <c r="C6" s="4" t="s">
        <v>5</v>
      </c>
    </row>
    <row r="7" customFormat="false" ht="30" hidden="false" customHeight="true" outlineLevel="0" collapsed="false">
      <c r="B7" s="3" t="s">
        <v>6</v>
      </c>
      <c r="C7" s="4" t="s">
        <v>7</v>
      </c>
    </row>
    <row r="8" customFormat="false" ht="31.5" hidden="false" customHeight="true" outlineLevel="0" collapsed="false">
      <c r="B8" s="3" t="s">
        <v>8</v>
      </c>
      <c r="C8" s="4" t="s">
        <v>9</v>
      </c>
    </row>
    <row r="9" customFormat="false" ht="31.5" hidden="false" customHeight="true" outlineLevel="0" collapsed="false">
      <c r="B9" s="3" t="s">
        <v>10</v>
      </c>
      <c r="C9" s="4" t="s">
        <v>11</v>
      </c>
    </row>
    <row r="10" customFormat="false" ht="30" hidden="false" customHeight="true" outlineLevel="0" collapsed="false"/>
    <row r="11" customFormat="false" ht="30" hidden="false" customHeight="true" outlineLevel="0" collapsed="false">
      <c r="B11" s="5" t="s">
        <v>12</v>
      </c>
    </row>
    <row r="12" customFormat="false" ht="45.75" hidden="false" customHeight="true" outlineLevel="0" collapsed="false">
      <c r="B12" s="6" t="s">
        <v>13</v>
      </c>
      <c r="C12" s="7" t="s">
        <v>14</v>
      </c>
    </row>
    <row r="13" customFormat="false" ht="45.75" hidden="false" customHeight="true" outlineLevel="0" collapsed="false">
      <c r="B13" s="8" t="s">
        <v>15</v>
      </c>
      <c r="C13" s="9" t="s">
        <v>16</v>
      </c>
    </row>
    <row r="14" customFormat="false" ht="45.75" hidden="false" customHeight="true" outlineLevel="0" collapsed="false">
      <c r="B14" s="10" t="s">
        <v>17</v>
      </c>
      <c r="C14" s="11" t="s">
        <v>18</v>
      </c>
    </row>
    <row r="15" customFormat="false" ht="30" hidden="false" customHeight="true" outlineLevel="0" collapsed="false"/>
    <row r="16" customFormat="false" ht="30" hidden="false" customHeight="true" outlineLevel="0" collapsed="false">
      <c r="B16" s="5" t="s">
        <v>19</v>
      </c>
    </row>
    <row r="17" customFormat="false" ht="45.75" hidden="false" customHeight="true" outlineLevel="0" collapsed="false">
      <c r="B17" s="3" t="s">
        <v>20</v>
      </c>
      <c r="C17" s="4" t="s">
        <v>21</v>
      </c>
    </row>
    <row r="18" customFormat="false" ht="45.75" hidden="false" customHeight="true" outlineLevel="0" collapsed="false">
      <c r="B18" s="3" t="s">
        <v>22</v>
      </c>
      <c r="C18" s="4" t="s">
        <v>23</v>
      </c>
    </row>
    <row r="19" customFormat="false" ht="30" hidden="false" customHeight="true" outlineLevel="0" collapsed="false">
      <c r="B19" s="3" t="s">
        <v>24</v>
      </c>
      <c r="C19" s="4" t="s">
        <v>25</v>
      </c>
    </row>
    <row r="20" customFormat="false" ht="30" hidden="false" customHeight="true" outlineLevel="0" collapsed="false">
      <c r="B20" s="3" t="s">
        <v>26</v>
      </c>
      <c r="C20" s="4" t="s">
        <v>27</v>
      </c>
    </row>
    <row r="21" customFormat="false" ht="30" hidden="false" customHeight="true" outlineLevel="0" collapsed="false"/>
    <row r="22" customFormat="false" ht="30" hidden="false" customHeight="true" outlineLevel="0" collapsed="false">
      <c r="B22" s="5" t="s">
        <v>28</v>
      </c>
    </row>
    <row r="23" customFormat="false" ht="30" hidden="false" customHeight="true" outlineLevel="0" collapsed="false">
      <c r="B23" s="3" t="s">
        <v>29</v>
      </c>
      <c r="C23" s="4" t="s">
        <v>30</v>
      </c>
    </row>
    <row r="24" customFormat="false" ht="30" hidden="false" customHeight="true" outlineLevel="0" collapsed="false">
      <c r="B24" s="3" t="s">
        <v>31</v>
      </c>
      <c r="C24" s="4" t="s">
        <v>32</v>
      </c>
    </row>
    <row r="25" customFormat="false" ht="30" hidden="false" customHeight="true" outlineLevel="0" collapsed="false">
      <c r="B25" s="3" t="s">
        <v>33</v>
      </c>
      <c r="C25" s="4"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12"/>
    <col collapsed="false" customWidth="true" hidden="false" outlineLevel="0" max="4" min="4" style="0" width="10"/>
    <col collapsed="false" customWidth="true" hidden="false" outlineLevel="0" max="5" min="5" style="0" width="44"/>
    <col collapsed="false" customWidth="true" hidden="false" outlineLevel="0" max="6" min="6" style="0" width="50"/>
    <col collapsed="false" customWidth="true" hidden="false" outlineLevel="0" max="7" min="7" style="0" width="62"/>
    <col collapsed="false" customWidth="true" hidden="false" outlineLevel="0" max="8" min="8" style="0" width="22"/>
    <col collapsed="false" customWidth="true" hidden="false" outlineLevel="0" max="9" min="9" style="0" width="26"/>
    <col collapsed="false" customWidth="true" hidden="false" outlineLevel="0" max="10" min="10" style="0" width="62"/>
    <col collapsed="false" customWidth="true" hidden="false" outlineLevel="0" max="11" min="11" style="0" width="42"/>
    <col collapsed="false" customWidth="true" hidden="false" outlineLevel="0" max="12" min="12" style="0" width="40"/>
  </cols>
  <sheetData>
    <row r="1" customFormat="false" ht="16.15" hidden="false" customHeight="false" outlineLevel="0" collapsed="false">
      <c r="A1" s="12" t="s">
        <v>35</v>
      </c>
    </row>
    <row r="3" customFormat="false" ht="42" hidden="false" customHeight="true" outlineLevel="0" collapsed="false">
      <c r="A3" s="13" t="s">
        <v>36</v>
      </c>
      <c r="B3" s="13" t="s">
        <v>37</v>
      </c>
      <c r="C3" s="13" t="s">
        <v>38</v>
      </c>
      <c r="D3" s="13" t="s">
        <v>39</v>
      </c>
      <c r="E3" s="13" t="s">
        <v>40</v>
      </c>
      <c r="F3" s="13" t="s">
        <v>41</v>
      </c>
      <c r="G3" s="13" t="s">
        <v>42</v>
      </c>
      <c r="H3" s="13" t="s">
        <v>43</v>
      </c>
      <c r="I3" s="13" t="s">
        <v>44</v>
      </c>
      <c r="J3" s="13" t="s">
        <v>45</v>
      </c>
      <c r="K3" s="13" t="s">
        <v>46</v>
      </c>
      <c r="L3" s="13" t="s">
        <v>47</v>
      </c>
    </row>
    <row r="4" customFormat="false" ht="91.5" hidden="false" customHeight="true" outlineLevel="0" collapsed="false">
      <c r="A4" s="14" t="n">
        <v>3</v>
      </c>
      <c r="B4" s="14" t="n">
        <v>5</v>
      </c>
      <c r="C4" s="14" t="s">
        <v>48</v>
      </c>
      <c r="D4" s="14" t="s">
        <v>49</v>
      </c>
      <c r="E4" s="15" t="s">
        <v>50</v>
      </c>
      <c r="F4" s="15" t="s">
        <v>51</v>
      </c>
      <c r="G4" s="15" t="s">
        <v>52</v>
      </c>
      <c r="H4" s="16" t="s">
        <v>53</v>
      </c>
      <c r="I4" s="16" t="s">
        <v>54</v>
      </c>
      <c r="J4" s="17" t="s">
        <v>55</v>
      </c>
      <c r="K4" s="16" t="s">
        <v>56</v>
      </c>
      <c r="L4" s="15" t="s">
        <v>57</v>
      </c>
    </row>
    <row r="5" customFormat="false" ht="91.5" hidden="false" customHeight="true" outlineLevel="0" collapsed="false">
      <c r="A5" s="14" t="n">
        <v>3</v>
      </c>
      <c r="B5" s="14" t="n">
        <v>6</v>
      </c>
      <c r="C5" s="14" t="s">
        <v>58</v>
      </c>
      <c r="D5" s="14" t="s">
        <v>59</v>
      </c>
      <c r="E5" s="15" t="s">
        <v>60</v>
      </c>
      <c r="F5" s="15" t="s">
        <v>61</v>
      </c>
      <c r="G5" s="15" t="s">
        <v>62</v>
      </c>
      <c r="H5" s="18" t="s">
        <v>63</v>
      </c>
      <c r="I5" s="18" t="s">
        <v>64</v>
      </c>
      <c r="J5" s="19" t="s">
        <v>65</v>
      </c>
      <c r="K5" s="18" t="s">
        <v>66</v>
      </c>
      <c r="L5" s="15" t="s">
        <v>67</v>
      </c>
    </row>
    <row r="6" customFormat="false" ht="91.5" hidden="false" customHeight="true" outlineLevel="0" collapsed="false">
      <c r="A6" s="14" t="n">
        <v>4</v>
      </c>
      <c r="B6" s="14" t="n">
        <v>7</v>
      </c>
      <c r="C6" s="14" t="s">
        <v>68</v>
      </c>
      <c r="D6" s="14" t="s">
        <v>49</v>
      </c>
      <c r="E6" s="15" t="s">
        <v>69</v>
      </c>
      <c r="F6" s="15" t="s">
        <v>70</v>
      </c>
      <c r="G6" s="15" t="s">
        <v>71</v>
      </c>
      <c r="H6" s="16" t="s">
        <v>53</v>
      </c>
      <c r="I6" s="16" t="s">
        <v>72</v>
      </c>
      <c r="J6" s="17" t="s">
        <v>73</v>
      </c>
      <c r="K6" s="16" t="s">
        <v>74</v>
      </c>
      <c r="L6" s="15" t="s">
        <v>75</v>
      </c>
    </row>
    <row r="7" customFormat="false" ht="91.5" hidden="false" customHeight="true" outlineLevel="0" collapsed="false">
      <c r="A7" s="14" t="n">
        <v>4</v>
      </c>
      <c r="B7" s="14" t="n">
        <v>8</v>
      </c>
      <c r="C7" s="14" t="s">
        <v>76</v>
      </c>
      <c r="D7" s="14" t="s">
        <v>59</v>
      </c>
      <c r="E7" s="15" t="s">
        <v>77</v>
      </c>
      <c r="F7" s="15" t="s">
        <v>78</v>
      </c>
      <c r="G7" s="15" t="s">
        <v>79</v>
      </c>
      <c r="H7" s="18" t="s">
        <v>63</v>
      </c>
      <c r="I7" s="18" t="s">
        <v>80</v>
      </c>
      <c r="J7" s="19" t="s">
        <v>81</v>
      </c>
      <c r="K7" s="18" t="s">
        <v>82</v>
      </c>
      <c r="L7" s="15" t="s">
        <v>83</v>
      </c>
    </row>
    <row r="8" customFormat="false" ht="91.5" hidden="false" customHeight="true" outlineLevel="0" collapsed="false">
      <c r="A8" s="14" t="n">
        <v>5</v>
      </c>
      <c r="B8" s="14" t="n">
        <v>9</v>
      </c>
      <c r="C8" s="14" t="s">
        <v>84</v>
      </c>
      <c r="D8" s="14" t="s">
        <v>49</v>
      </c>
      <c r="E8" s="15" t="s">
        <v>85</v>
      </c>
      <c r="F8" s="15" t="s">
        <v>86</v>
      </c>
      <c r="G8" s="15" t="s">
        <v>87</v>
      </c>
      <c r="H8" s="16" t="s">
        <v>53</v>
      </c>
      <c r="I8" s="16" t="s">
        <v>80</v>
      </c>
      <c r="J8" s="17" t="s">
        <v>88</v>
      </c>
      <c r="K8" s="16" t="s">
        <v>89</v>
      </c>
      <c r="L8" s="15" t="s">
        <v>90</v>
      </c>
    </row>
    <row r="9" customFormat="false" ht="91.5" hidden="false" customHeight="true" outlineLevel="0" collapsed="false">
      <c r="A9" s="14" t="n">
        <v>5</v>
      </c>
      <c r="B9" s="14" t="n">
        <v>10</v>
      </c>
      <c r="C9" s="14" t="s">
        <v>91</v>
      </c>
      <c r="D9" s="14" t="s">
        <v>59</v>
      </c>
      <c r="E9" s="15" t="s">
        <v>92</v>
      </c>
      <c r="F9" s="15" t="s">
        <v>93</v>
      </c>
      <c r="G9" s="15" t="s">
        <v>94</v>
      </c>
      <c r="H9" s="18" t="s">
        <v>63</v>
      </c>
      <c r="I9" s="18" t="s">
        <v>95</v>
      </c>
      <c r="J9" s="19" t="s">
        <v>96</v>
      </c>
      <c r="K9" s="18" t="s">
        <v>97</v>
      </c>
      <c r="L9" s="15" t="s">
        <v>98</v>
      </c>
    </row>
    <row r="10" customFormat="false" ht="91.5" hidden="false" customHeight="true" outlineLevel="0" collapsed="false">
      <c r="A10" s="14" t="n">
        <v>6</v>
      </c>
      <c r="B10" s="14" t="n">
        <v>11</v>
      </c>
      <c r="C10" s="14" t="s">
        <v>99</v>
      </c>
      <c r="D10" s="14" t="s">
        <v>49</v>
      </c>
      <c r="E10" s="15" t="s">
        <v>100</v>
      </c>
      <c r="F10" s="15" t="s">
        <v>101</v>
      </c>
      <c r="G10" s="15" t="s">
        <v>102</v>
      </c>
      <c r="H10" s="16" t="s">
        <v>53</v>
      </c>
      <c r="I10" s="16" t="s">
        <v>103</v>
      </c>
      <c r="J10" s="17" t="s">
        <v>104</v>
      </c>
      <c r="K10" s="16" t="s">
        <v>105</v>
      </c>
      <c r="L10" s="15" t="s">
        <v>106</v>
      </c>
    </row>
    <row r="11" customFormat="false" ht="91.5" hidden="false" customHeight="true" outlineLevel="0" collapsed="false">
      <c r="A11" s="14" t="n">
        <v>6</v>
      </c>
      <c r="B11" s="14" t="n">
        <v>12</v>
      </c>
      <c r="C11" s="14" t="s">
        <v>107</v>
      </c>
      <c r="D11" s="14" t="s">
        <v>59</v>
      </c>
      <c r="E11" s="15" t="s">
        <v>108</v>
      </c>
      <c r="F11" s="15" t="s">
        <v>109</v>
      </c>
      <c r="G11" s="15" t="s">
        <v>110</v>
      </c>
      <c r="H11" s="18" t="s">
        <v>63</v>
      </c>
      <c r="I11" s="18" t="s">
        <v>54</v>
      </c>
      <c r="J11" s="19" t="s">
        <v>111</v>
      </c>
      <c r="K11" s="18" t="s">
        <v>112</v>
      </c>
      <c r="L11" s="15" t="s">
        <v>113</v>
      </c>
    </row>
    <row r="12" customFormat="false" ht="91.5" hidden="false" customHeight="true" outlineLevel="0" collapsed="false">
      <c r="A12" s="14" t="n">
        <v>7</v>
      </c>
      <c r="B12" s="14" t="n">
        <v>13</v>
      </c>
      <c r="C12" s="14" t="s">
        <v>114</v>
      </c>
      <c r="D12" s="14" t="s">
        <v>49</v>
      </c>
      <c r="E12" s="15" t="s">
        <v>115</v>
      </c>
      <c r="F12" s="15" t="s">
        <v>116</v>
      </c>
      <c r="G12" s="15" t="s">
        <v>117</v>
      </c>
      <c r="H12" s="16" t="s">
        <v>53</v>
      </c>
      <c r="I12" s="16" t="s">
        <v>118</v>
      </c>
      <c r="J12" s="17" t="s">
        <v>119</v>
      </c>
      <c r="K12" s="16" t="s">
        <v>120</v>
      </c>
      <c r="L12" s="15" t="s">
        <v>121</v>
      </c>
    </row>
    <row r="13" customFormat="false" ht="91.5" hidden="false" customHeight="true" outlineLevel="0" collapsed="false">
      <c r="A13" s="14" t="n">
        <v>7</v>
      </c>
      <c r="B13" s="14" t="n">
        <v>14</v>
      </c>
      <c r="C13" s="14" t="s">
        <v>122</v>
      </c>
      <c r="D13" s="14" t="s">
        <v>59</v>
      </c>
      <c r="E13" s="15" t="s">
        <v>123</v>
      </c>
      <c r="F13" s="15" t="s">
        <v>124</v>
      </c>
      <c r="G13" s="15" t="s">
        <v>125</v>
      </c>
      <c r="H13" s="18" t="s">
        <v>63</v>
      </c>
      <c r="I13" s="18" t="s">
        <v>126</v>
      </c>
      <c r="J13" s="19" t="s">
        <v>127</v>
      </c>
      <c r="K13" s="18" t="s">
        <v>128</v>
      </c>
      <c r="L13" s="15" t="s">
        <v>129</v>
      </c>
    </row>
    <row r="14" customFormat="false" ht="91.5" hidden="false" customHeight="true" outlineLevel="0" collapsed="false">
      <c r="A14" s="14" t="n">
        <v>8</v>
      </c>
      <c r="B14" s="14" t="n">
        <v>15</v>
      </c>
      <c r="C14" s="14" t="s">
        <v>130</v>
      </c>
      <c r="D14" s="14" t="s">
        <v>49</v>
      </c>
      <c r="E14" s="15" t="s">
        <v>131</v>
      </c>
      <c r="F14" s="15" t="s">
        <v>132</v>
      </c>
      <c r="G14" s="15" t="s">
        <v>133</v>
      </c>
      <c r="H14" s="16" t="s">
        <v>53</v>
      </c>
      <c r="I14" s="16" t="s">
        <v>134</v>
      </c>
      <c r="J14" s="17" t="s">
        <v>135</v>
      </c>
      <c r="K14" s="16" t="s">
        <v>136</v>
      </c>
      <c r="L14" s="15" t="s">
        <v>137</v>
      </c>
    </row>
    <row r="15" customFormat="false" ht="91.5" hidden="false" customHeight="true" outlineLevel="0" collapsed="false">
      <c r="A15" s="14" t="n">
        <v>8</v>
      </c>
      <c r="B15" s="14" t="n">
        <v>16</v>
      </c>
      <c r="C15" s="14" t="s">
        <v>138</v>
      </c>
      <c r="D15" s="14" t="s">
        <v>59</v>
      </c>
      <c r="E15" s="15" t="s">
        <v>139</v>
      </c>
      <c r="F15" s="15" t="s">
        <v>140</v>
      </c>
      <c r="G15" s="15" t="s">
        <v>141</v>
      </c>
      <c r="H15" s="18" t="s">
        <v>142</v>
      </c>
      <c r="I15" s="18" t="s">
        <v>143</v>
      </c>
      <c r="J15" s="19" t="s">
        <v>144</v>
      </c>
      <c r="K15" s="18" t="s">
        <v>145</v>
      </c>
      <c r="L15" s="15" t="s">
        <v>146</v>
      </c>
    </row>
    <row r="16" customFormat="false" ht="91.5" hidden="false" customHeight="true" outlineLevel="0" collapsed="false">
      <c r="A16" s="14" t="n">
        <v>9</v>
      </c>
      <c r="B16" s="14" t="n">
        <v>17</v>
      </c>
      <c r="C16" s="14" t="s">
        <v>147</v>
      </c>
      <c r="D16" s="14" t="s">
        <v>49</v>
      </c>
      <c r="E16" s="15" t="s">
        <v>148</v>
      </c>
      <c r="F16" s="15" t="s">
        <v>149</v>
      </c>
      <c r="G16" s="15" t="s">
        <v>150</v>
      </c>
      <c r="H16" s="18" t="s">
        <v>151</v>
      </c>
      <c r="I16" s="18" t="s">
        <v>152</v>
      </c>
      <c r="J16" s="19" t="s">
        <v>153</v>
      </c>
      <c r="K16" s="18" t="s">
        <v>154</v>
      </c>
      <c r="L16" s="15" t="s">
        <v>155</v>
      </c>
    </row>
    <row r="17" customFormat="false" ht="99.75" hidden="false" customHeight="true" outlineLevel="0" collapsed="false">
      <c r="A17" s="14" t="n">
        <v>9</v>
      </c>
      <c r="B17" s="14" t="n">
        <v>18</v>
      </c>
      <c r="C17" s="14" t="s">
        <v>156</v>
      </c>
      <c r="D17" s="14" t="s">
        <v>59</v>
      </c>
      <c r="E17" s="15" t="s">
        <v>157</v>
      </c>
      <c r="F17" s="15" t="s">
        <v>158</v>
      </c>
      <c r="G17" s="15" t="s">
        <v>159</v>
      </c>
      <c r="H17" s="20" t="s">
        <v>160</v>
      </c>
      <c r="I17" s="20" t="s">
        <v>161</v>
      </c>
      <c r="J17" s="21" t="s">
        <v>162</v>
      </c>
      <c r="K17" s="20" t="s">
        <v>163</v>
      </c>
      <c r="L17" s="15" t="s">
        <v>164</v>
      </c>
    </row>
    <row r="18" customFormat="false" ht="91.5" hidden="false" customHeight="true" outlineLevel="0" collapsed="false">
      <c r="A18" s="14" t="n">
        <v>10</v>
      </c>
      <c r="B18" s="14" t="n">
        <v>19</v>
      </c>
      <c r="C18" s="14" t="s">
        <v>165</v>
      </c>
      <c r="D18" s="14" t="s">
        <v>49</v>
      </c>
      <c r="E18" s="15" t="s">
        <v>166</v>
      </c>
      <c r="F18" s="15" t="s">
        <v>167</v>
      </c>
      <c r="G18" s="15" t="s">
        <v>168</v>
      </c>
      <c r="H18" s="18" t="s">
        <v>169</v>
      </c>
      <c r="I18" s="18" t="s">
        <v>134</v>
      </c>
      <c r="J18" s="19" t="s">
        <v>170</v>
      </c>
      <c r="K18" s="18" t="s">
        <v>171</v>
      </c>
      <c r="L18" s="15" t="s">
        <v>172</v>
      </c>
    </row>
    <row r="19" customFormat="false" ht="99.75" hidden="false" customHeight="true" outlineLevel="0" collapsed="false">
      <c r="A19" s="14" t="n">
        <v>10</v>
      </c>
      <c r="B19" s="14" t="n">
        <v>20</v>
      </c>
      <c r="C19" s="14" t="s">
        <v>173</v>
      </c>
      <c r="D19" s="14" t="s">
        <v>59</v>
      </c>
      <c r="E19" s="15" t="s">
        <v>174</v>
      </c>
      <c r="F19" s="15" t="s">
        <v>175</v>
      </c>
      <c r="G19" s="15" t="s">
        <v>176</v>
      </c>
      <c r="H19" s="16" t="s">
        <v>177</v>
      </c>
      <c r="I19" s="16" t="s">
        <v>178</v>
      </c>
      <c r="J19" s="17" t="s">
        <v>179</v>
      </c>
      <c r="K19" s="16" t="s">
        <v>180</v>
      </c>
      <c r="L19" s="15" t="s">
        <v>181</v>
      </c>
    </row>
    <row r="20" customFormat="false" ht="91.5" hidden="false" customHeight="true" outlineLevel="0" collapsed="false">
      <c r="A20" s="22" t="n">
        <v>11</v>
      </c>
      <c r="B20" s="22" t="n">
        <v>21</v>
      </c>
      <c r="C20" s="22" t="s">
        <v>182</v>
      </c>
      <c r="D20" s="22" t="s">
        <v>49</v>
      </c>
      <c r="E20" s="15" t="s">
        <v>183</v>
      </c>
      <c r="F20" s="15" t="s">
        <v>184</v>
      </c>
      <c r="G20" s="15" t="s">
        <v>185</v>
      </c>
      <c r="H20" s="23" t="s">
        <v>186</v>
      </c>
      <c r="I20" s="23" t="s">
        <v>187</v>
      </c>
      <c r="J20" s="24" t="s">
        <v>188</v>
      </c>
      <c r="K20" s="23" t="s">
        <v>189</v>
      </c>
      <c r="L20" s="15" t="s">
        <v>190</v>
      </c>
    </row>
    <row r="21" customFormat="false" ht="91.5" hidden="false" customHeight="true" outlineLevel="0" collapsed="false">
      <c r="A21" s="22" t="n">
        <v>11</v>
      </c>
      <c r="B21" s="22" t="n">
        <v>22</v>
      </c>
      <c r="C21" s="22" t="s">
        <v>191</v>
      </c>
      <c r="D21" s="22" t="s">
        <v>59</v>
      </c>
      <c r="E21" s="15" t="s">
        <v>192</v>
      </c>
      <c r="F21" s="15" t="s">
        <v>193</v>
      </c>
      <c r="G21" s="15" t="s">
        <v>194</v>
      </c>
      <c r="H21" s="16" t="s">
        <v>195</v>
      </c>
      <c r="I21" s="16" t="s">
        <v>196</v>
      </c>
      <c r="J21" s="17" t="s">
        <v>197</v>
      </c>
      <c r="K21" s="16" t="s">
        <v>198</v>
      </c>
      <c r="L21" s="15" t="s">
        <v>199</v>
      </c>
    </row>
    <row r="22" customFormat="false" ht="91.5" hidden="false" customHeight="true" outlineLevel="0" collapsed="false">
      <c r="A22" s="22" t="n">
        <v>12</v>
      </c>
      <c r="B22" s="22" t="n">
        <v>23</v>
      </c>
      <c r="C22" s="22" t="s">
        <v>200</v>
      </c>
      <c r="D22" s="22" t="s">
        <v>49</v>
      </c>
      <c r="E22" s="15" t="s">
        <v>201</v>
      </c>
      <c r="F22" s="15" t="s">
        <v>202</v>
      </c>
      <c r="G22" s="15" t="s">
        <v>203</v>
      </c>
      <c r="H22" s="23" t="s">
        <v>186</v>
      </c>
      <c r="I22" s="23" t="s">
        <v>187</v>
      </c>
      <c r="J22" s="24" t="s">
        <v>204</v>
      </c>
      <c r="K22" s="23" t="s">
        <v>205</v>
      </c>
      <c r="L22" s="15" t="s">
        <v>206</v>
      </c>
    </row>
    <row r="23" customFormat="false" ht="91.5" hidden="false" customHeight="true" outlineLevel="0" collapsed="false">
      <c r="A23" s="22" t="n">
        <v>12</v>
      </c>
      <c r="B23" s="22" t="n">
        <v>24</v>
      </c>
      <c r="C23" s="22" t="s">
        <v>207</v>
      </c>
      <c r="D23" s="22" t="s">
        <v>59</v>
      </c>
      <c r="E23" s="15" t="s">
        <v>208</v>
      </c>
      <c r="F23" s="15" t="s">
        <v>209</v>
      </c>
      <c r="G23" s="15" t="s">
        <v>210</v>
      </c>
      <c r="H23" s="16" t="s">
        <v>211</v>
      </c>
      <c r="I23" s="16" t="s">
        <v>212</v>
      </c>
      <c r="J23" s="17" t="s">
        <v>213</v>
      </c>
      <c r="K23" s="16" t="s">
        <v>214</v>
      </c>
      <c r="L23" s="15" t="s">
        <v>215</v>
      </c>
    </row>
    <row r="24" customFormat="false" ht="91.5" hidden="false" customHeight="true" outlineLevel="0" collapsed="false">
      <c r="A24" s="22" t="n">
        <v>13</v>
      </c>
      <c r="B24" s="22" t="n">
        <v>25</v>
      </c>
      <c r="C24" s="22" t="s">
        <v>216</v>
      </c>
      <c r="D24" s="22" t="s">
        <v>49</v>
      </c>
      <c r="E24" s="15" t="s">
        <v>217</v>
      </c>
      <c r="F24" s="15" t="s">
        <v>218</v>
      </c>
      <c r="G24" s="15" t="s">
        <v>219</v>
      </c>
      <c r="H24" s="23" t="s">
        <v>186</v>
      </c>
      <c r="I24" s="23" t="s">
        <v>187</v>
      </c>
      <c r="J24" s="24" t="s">
        <v>220</v>
      </c>
      <c r="K24" s="23" t="s">
        <v>221</v>
      </c>
      <c r="L24" s="15" t="s">
        <v>222</v>
      </c>
    </row>
    <row r="25" customFormat="false" ht="91.5" hidden="false" customHeight="true" outlineLevel="0" collapsed="false">
      <c r="A25" s="22" t="n">
        <v>13</v>
      </c>
      <c r="B25" s="22" t="n">
        <v>26</v>
      </c>
      <c r="C25" s="22" t="s">
        <v>223</v>
      </c>
      <c r="D25" s="22" t="s">
        <v>59</v>
      </c>
      <c r="E25" s="15" t="s">
        <v>224</v>
      </c>
      <c r="F25" s="15" t="s">
        <v>225</v>
      </c>
      <c r="G25" s="15" t="s">
        <v>226</v>
      </c>
      <c r="H25" s="16" t="s">
        <v>227</v>
      </c>
      <c r="I25" s="16" t="s">
        <v>228</v>
      </c>
      <c r="J25" s="17" t="s">
        <v>229</v>
      </c>
      <c r="K25" s="16" t="s">
        <v>230</v>
      </c>
      <c r="L25" s="15" t="s">
        <v>231</v>
      </c>
    </row>
    <row r="26" customFormat="false" ht="91.5" hidden="false" customHeight="true" outlineLevel="0" collapsed="false">
      <c r="A26" s="22" t="n">
        <v>14</v>
      </c>
      <c r="B26" s="22" t="n">
        <v>27</v>
      </c>
      <c r="C26" s="22" t="s">
        <v>232</v>
      </c>
      <c r="D26" s="22" t="s">
        <v>49</v>
      </c>
      <c r="E26" s="15" t="s">
        <v>233</v>
      </c>
      <c r="F26" s="15" t="s">
        <v>234</v>
      </c>
      <c r="G26" s="15" t="s">
        <v>235</v>
      </c>
      <c r="H26" s="23" t="s">
        <v>186</v>
      </c>
      <c r="I26" s="23" t="s">
        <v>187</v>
      </c>
      <c r="J26" s="24" t="s">
        <v>236</v>
      </c>
      <c r="K26" s="23" t="s">
        <v>237</v>
      </c>
      <c r="L26" s="15" t="s">
        <v>238</v>
      </c>
    </row>
    <row r="27" customFormat="false" ht="91.5" hidden="false" customHeight="true" outlineLevel="0" collapsed="false">
      <c r="A27" s="22" t="n">
        <v>14</v>
      </c>
      <c r="B27" s="22" t="n">
        <v>28</v>
      </c>
      <c r="C27" s="22" t="s">
        <v>239</v>
      </c>
      <c r="D27" s="22" t="s">
        <v>59</v>
      </c>
      <c r="E27" s="15" t="s">
        <v>240</v>
      </c>
      <c r="F27" s="15" t="s">
        <v>241</v>
      </c>
      <c r="G27" s="15" t="s">
        <v>242</v>
      </c>
      <c r="H27" s="16" t="s">
        <v>243</v>
      </c>
      <c r="I27" s="16" t="s">
        <v>244</v>
      </c>
      <c r="J27" s="17" t="s">
        <v>245</v>
      </c>
      <c r="K27" s="16" t="s">
        <v>246</v>
      </c>
      <c r="L27" s="15" t="s">
        <v>247</v>
      </c>
    </row>
    <row r="28" customFormat="false" ht="91.5" hidden="false" customHeight="true" outlineLevel="0" collapsed="false">
      <c r="A28" s="22" t="n">
        <v>15</v>
      </c>
      <c r="B28" s="22" t="n">
        <v>29</v>
      </c>
      <c r="C28" s="22" t="s">
        <v>248</v>
      </c>
      <c r="D28" s="22" t="s">
        <v>49</v>
      </c>
      <c r="E28" s="15" t="s">
        <v>249</v>
      </c>
      <c r="F28" s="15" t="s">
        <v>250</v>
      </c>
      <c r="G28" s="15" t="s">
        <v>251</v>
      </c>
      <c r="H28" s="18" t="s">
        <v>169</v>
      </c>
      <c r="I28" s="18" t="s">
        <v>252</v>
      </c>
      <c r="J28" s="19" t="s">
        <v>253</v>
      </c>
      <c r="K28" s="18" t="s">
        <v>254</v>
      </c>
      <c r="L28" s="15" t="s">
        <v>255</v>
      </c>
    </row>
    <row r="29" customFormat="false" ht="99.75" hidden="false" customHeight="true" outlineLevel="0" collapsed="false">
      <c r="A29" s="22" t="n">
        <v>15</v>
      </c>
      <c r="B29" s="22" t="n">
        <v>30</v>
      </c>
      <c r="C29" s="22" t="s">
        <v>256</v>
      </c>
      <c r="D29" s="22" t="s">
        <v>59</v>
      </c>
      <c r="E29" s="15" t="s">
        <v>257</v>
      </c>
      <c r="F29" s="15" t="s">
        <v>258</v>
      </c>
      <c r="G29" s="15" t="s">
        <v>259</v>
      </c>
      <c r="H29" s="20" t="s">
        <v>260</v>
      </c>
      <c r="I29" s="20" t="s">
        <v>261</v>
      </c>
      <c r="J29" s="21" t="s">
        <v>262</v>
      </c>
      <c r="K29" s="20" t="s">
        <v>263</v>
      </c>
      <c r="L29" s="15" t="s">
        <v>264</v>
      </c>
    </row>
  </sheetData>
  <autoFilter ref="A3:L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30"/>
    <col collapsed="false" customWidth="true" hidden="false" outlineLevel="0" max="5" min="5" style="0" width="74"/>
    <col collapsed="false" customWidth="true" hidden="false" outlineLevel="0" max="6" min="6" style="0" width="62"/>
  </cols>
  <sheetData>
    <row r="1" customFormat="false" ht="16.15" hidden="false" customHeight="false" outlineLevel="0" collapsed="false">
      <c r="A1" s="12" t="s">
        <v>265</v>
      </c>
    </row>
    <row r="2" customFormat="false" ht="15" hidden="false" customHeight="false" outlineLevel="0" collapsed="false">
      <c r="A2" s="25" t="s">
        <v>266</v>
      </c>
    </row>
    <row r="4" customFormat="false" ht="39.75" hidden="false" customHeight="true" outlineLevel="0" collapsed="false">
      <c r="A4" s="13" t="s">
        <v>267</v>
      </c>
      <c r="B4" s="13" t="s">
        <v>268</v>
      </c>
      <c r="C4" s="13" t="s">
        <v>269</v>
      </c>
      <c r="D4" s="13" t="s">
        <v>270</v>
      </c>
      <c r="E4" s="13" t="s">
        <v>271</v>
      </c>
      <c r="F4" s="13" t="s">
        <v>272</v>
      </c>
    </row>
    <row r="5" customFormat="false" ht="78" hidden="false" customHeight="true" outlineLevel="0" collapsed="false">
      <c r="A5" s="26" t="n">
        <v>3</v>
      </c>
      <c r="B5" s="27" t="s">
        <v>273</v>
      </c>
      <c r="C5" s="18" t="s">
        <v>274</v>
      </c>
      <c r="D5" s="18" t="s">
        <v>54</v>
      </c>
      <c r="E5" s="15" t="s">
        <v>275</v>
      </c>
      <c r="F5" s="15" t="s">
        <v>276</v>
      </c>
    </row>
    <row r="6" customFormat="false" ht="78" hidden="false" customHeight="true" outlineLevel="0" collapsed="false">
      <c r="A6" s="26" t="n">
        <v>4</v>
      </c>
      <c r="B6" s="27" t="s">
        <v>277</v>
      </c>
      <c r="C6" s="18" t="s">
        <v>274</v>
      </c>
      <c r="D6" s="18" t="s">
        <v>278</v>
      </c>
      <c r="E6" s="15" t="s">
        <v>279</v>
      </c>
      <c r="F6" s="15" t="s">
        <v>280</v>
      </c>
    </row>
    <row r="7" customFormat="false" ht="78" hidden="false" customHeight="true" outlineLevel="0" collapsed="false">
      <c r="A7" s="26" t="n">
        <v>5</v>
      </c>
      <c r="B7" s="27" t="s">
        <v>281</v>
      </c>
      <c r="C7" s="18" t="s">
        <v>274</v>
      </c>
      <c r="D7" s="18" t="s">
        <v>80</v>
      </c>
      <c r="E7" s="15" t="s">
        <v>282</v>
      </c>
      <c r="F7" s="15" t="s">
        <v>283</v>
      </c>
    </row>
    <row r="8" customFormat="false" ht="78" hidden="false" customHeight="true" outlineLevel="0" collapsed="false">
      <c r="A8" s="26" t="n">
        <v>6</v>
      </c>
      <c r="B8" s="27" t="s">
        <v>284</v>
      </c>
      <c r="C8" s="18" t="s">
        <v>274</v>
      </c>
      <c r="D8" s="18" t="s">
        <v>103</v>
      </c>
      <c r="E8" s="15" t="s">
        <v>285</v>
      </c>
      <c r="F8" s="15" t="s">
        <v>286</v>
      </c>
    </row>
    <row r="9" customFormat="false" ht="78" hidden="false" customHeight="true" outlineLevel="0" collapsed="false">
      <c r="A9" s="26" t="n">
        <v>7</v>
      </c>
      <c r="B9" s="27" t="s">
        <v>287</v>
      </c>
      <c r="C9" s="18" t="s">
        <v>274</v>
      </c>
      <c r="D9" s="18" t="s">
        <v>118</v>
      </c>
      <c r="E9" s="15" t="s">
        <v>288</v>
      </c>
      <c r="F9" s="15" t="s">
        <v>289</v>
      </c>
    </row>
    <row r="10" customFormat="false" ht="78" hidden="false" customHeight="true" outlineLevel="0" collapsed="false">
      <c r="A10" s="26" t="n">
        <v>8</v>
      </c>
      <c r="B10" s="27" t="s">
        <v>290</v>
      </c>
      <c r="C10" s="18" t="s">
        <v>274</v>
      </c>
      <c r="D10" s="18" t="s">
        <v>134</v>
      </c>
      <c r="E10" s="15" t="s">
        <v>291</v>
      </c>
      <c r="F10" s="15" t="s">
        <v>292</v>
      </c>
    </row>
    <row r="11" customFormat="false" ht="78" hidden="false" customHeight="true" outlineLevel="0" collapsed="false">
      <c r="A11" s="26" t="n">
        <v>9</v>
      </c>
      <c r="B11" s="27" t="s">
        <v>293</v>
      </c>
      <c r="C11" s="18" t="s">
        <v>274</v>
      </c>
      <c r="D11" s="18" t="s">
        <v>161</v>
      </c>
      <c r="E11" s="15" t="s">
        <v>294</v>
      </c>
      <c r="F11" s="15" t="s">
        <v>295</v>
      </c>
    </row>
    <row r="12" customFormat="false" ht="78" hidden="false" customHeight="true" outlineLevel="0" collapsed="false">
      <c r="A12" s="26" t="n">
        <v>10</v>
      </c>
      <c r="B12" s="27" t="s">
        <v>296</v>
      </c>
      <c r="C12" s="18" t="s">
        <v>274</v>
      </c>
      <c r="D12" s="18" t="s">
        <v>297</v>
      </c>
      <c r="E12" s="15" t="s">
        <v>298</v>
      </c>
      <c r="F12" s="15" t="s">
        <v>299</v>
      </c>
    </row>
    <row r="13" customFormat="false" ht="78" hidden="false" customHeight="true" outlineLevel="0" collapsed="false">
      <c r="A13" s="28" t="n">
        <v>11</v>
      </c>
      <c r="B13" s="29" t="s">
        <v>300</v>
      </c>
      <c r="C13" s="18" t="s">
        <v>301</v>
      </c>
      <c r="D13" s="18" t="s">
        <v>196</v>
      </c>
      <c r="E13" s="15" t="s">
        <v>302</v>
      </c>
      <c r="F13" s="15" t="s">
        <v>303</v>
      </c>
    </row>
    <row r="14" customFormat="false" ht="78" hidden="false" customHeight="true" outlineLevel="0" collapsed="false">
      <c r="A14" s="28" t="n">
        <v>12</v>
      </c>
      <c r="B14" s="29" t="s">
        <v>304</v>
      </c>
      <c r="C14" s="18" t="s">
        <v>305</v>
      </c>
      <c r="D14" s="18" t="s">
        <v>212</v>
      </c>
      <c r="E14" s="15" t="s">
        <v>306</v>
      </c>
      <c r="F14" s="15" t="s">
        <v>307</v>
      </c>
    </row>
    <row r="15" customFormat="false" ht="78" hidden="false" customHeight="true" outlineLevel="0" collapsed="false">
      <c r="A15" s="28" t="n">
        <v>13</v>
      </c>
      <c r="B15" s="29" t="s">
        <v>308</v>
      </c>
      <c r="C15" s="18" t="s">
        <v>309</v>
      </c>
      <c r="D15" s="18" t="s">
        <v>228</v>
      </c>
      <c r="E15" s="15" t="s">
        <v>310</v>
      </c>
      <c r="F15" s="15" t="s">
        <v>311</v>
      </c>
    </row>
    <row r="16" customFormat="false" ht="78" hidden="false" customHeight="true" outlineLevel="0" collapsed="false">
      <c r="A16" s="28" t="n">
        <v>14</v>
      </c>
      <c r="B16" s="29" t="s">
        <v>312</v>
      </c>
      <c r="C16" s="18" t="s">
        <v>313</v>
      </c>
      <c r="D16" s="18" t="s">
        <v>244</v>
      </c>
      <c r="E16" s="15" t="s">
        <v>314</v>
      </c>
      <c r="F16" s="15" t="s">
        <v>315</v>
      </c>
    </row>
    <row r="17" customFormat="false" ht="78" hidden="false" customHeight="true" outlineLevel="0" collapsed="false">
      <c r="A17" s="28" t="n">
        <v>15</v>
      </c>
      <c r="B17" s="29" t="s">
        <v>316</v>
      </c>
      <c r="C17" s="18" t="s">
        <v>317</v>
      </c>
      <c r="D17" s="18" t="s">
        <v>318</v>
      </c>
      <c r="E17" s="15" t="s">
        <v>319</v>
      </c>
      <c r="F17" s="15" t="s">
        <v>320</v>
      </c>
    </row>
    <row r="19" customFormat="false" ht="49.5" hidden="false" customHeight="true" outlineLevel="0" collapsed="false">
      <c r="A19" s="30" t="s">
        <v>321</v>
      </c>
      <c r="B19" s="24" t="s">
        <v>322</v>
      </c>
      <c r="C19" s="31" t="s">
        <v>323</v>
      </c>
      <c r="D19" s="31" t="s">
        <v>324</v>
      </c>
      <c r="E19" s="31" t="s">
        <v>325</v>
      </c>
      <c r="F19" s="31" t="s">
        <v>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9"/>
    <col collapsed="false" customWidth="true" hidden="false" outlineLevel="0" max="4" min="4" style="0" width="7"/>
    <col collapsed="false" customWidth="true" hidden="false" outlineLevel="0" max="5" min="5" style="0" width="14"/>
    <col collapsed="false" customWidth="true" hidden="false" outlineLevel="0" max="6" min="6" style="0" width="44"/>
    <col collapsed="false" customWidth="true" hidden="false" outlineLevel="0" max="7" min="7" style="0" width="96"/>
    <col collapsed="false" customWidth="true" hidden="false" outlineLevel="0" max="8" min="8" style="0" width="18"/>
  </cols>
  <sheetData>
    <row r="1" customFormat="false" ht="16.15" hidden="false" customHeight="false" outlineLevel="0" collapsed="false">
      <c r="A1" s="12" t="s">
        <v>327</v>
      </c>
    </row>
    <row r="2" customFormat="false" ht="15" hidden="false" customHeight="false" outlineLevel="0" collapsed="false">
      <c r="A2" s="25" t="s">
        <v>328</v>
      </c>
    </row>
    <row r="4" customFormat="false" ht="31.5" hidden="false" customHeight="true" outlineLevel="0" collapsed="false">
      <c r="A4" s="13" t="s">
        <v>37</v>
      </c>
      <c r="B4" s="13" t="s">
        <v>329</v>
      </c>
      <c r="C4" s="13" t="s">
        <v>330</v>
      </c>
      <c r="D4" s="13" t="s">
        <v>331</v>
      </c>
      <c r="E4" s="13" t="s">
        <v>332</v>
      </c>
      <c r="F4" s="13" t="s">
        <v>333</v>
      </c>
      <c r="G4" s="13" t="s">
        <v>334</v>
      </c>
      <c r="H4" s="13" t="s">
        <v>335</v>
      </c>
    </row>
    <row r="5" customFormat="false" ht="21.75" hidden="false" customHeight="true" outlineLevel="0" collapsed="false">
      <c r="A5" s="32" t="s">
        <v>336</v>
      </c>
      <c r="B5" s="33"/>
      <c r="C5" s="33"/>
      <c r="D5" s="33"/>
      <c r="E5" s="33"/>
      <c r="F5" s="33"/>
      <c r="G5" s="33"/>
      <c r="H5" s="33"/>
    </row>
    <row r="6" customFormat="false" ht="45.75" hidden="false" customHeight="true" outlineLevel="0" collapsed="false">
      <c r="A6" s="34" t="n">
        <v>21</v>
      </c>
      <c r="B6" s="34" t="s">
        <v>337</v>
      </c>
      <c r="C6" s="34" t="s">
        <v>338</v>
      </c>
      <c r="D6" s="34" t="n">
        <v>5</v>
      </c>
      <c r="E6" s="35" t="s">
        <v>339</v>
      </c>
      <c r="F6" s="18" t="s">
        <v>340</v>
      </c>
      <c r="G6" s="15" t="s">
        <v>341</v>
      </c>
      <c r="H6" s="34" t="s">
        <v>187</v>
      </c>
    </row>
    <row r="7" customFormat="false" ht="45.75" hidden="false" customHeight="true" outlineLevel="0" collapsed="false">
      <c r="A7" s="34" t="n">
        <v>21</v>
      </c>
      <c r="B7" s="34" t="s">
        <v>338</v>
      </c>
      <c r="C7" s="34" t="s">
        <v>342</v>
      </c>
      <c r="D7" s="34" t="n">
        <v>15</v>
      </c>
      <c r="E7" s="36" t="s">
        <v>343</v>
      </c>
      <c r="F7" s="37" t="s">
        <v>344</v>
      </c>
      <c r="G7" s="15" t="s">
        <v>345</v>
      </c>
      <c r="H7" s="34" t="s">
        <v>187</v>
      </c>
    </row>
    <row r="8" customFormat="false" ht="45.75" hidden="false" customHeight="true" outlineLevel="0" collapsed="false">
      <c r="A8" s="34" t="n">
        <v>21</v>
      </c>
      <c r="B8" s="34" t="s">
        <v>342</v>
      </c>
      <c r="C8" s="34" t="s">
        <v>346</v>
      </c>
      <c r="D8" s="34" t="n">
        <v>35</v>
      </c>
      <c r="E8" s="36" t="s">
        <v>343</v>
      </c>
      <c r="F8" s="37" t="s">
        <v>347</v>
      </c>
      <c r="G8" s="15" t="s">
        <v>348</v>
      </c>
      <c r="H8" s="34" t="s">
        <v>187</v>
      </c>
    </row>
    <row r="9" customFormat="false" ht="45.75" hidden="false" customHeight="true" outlineLevel="0" collapsed="false">
      <c r="A9" s="34" t="n">
        <v>21</v>
      </c>
      <c r="B9" s="34" t="s">
        <v>346</v>
      </c>
      <c r="C9" s="34" t="s">
        <v>349</v>
      </c>
      <c r="D9" s="34" t="n">
        <v>15</v>
      </c>
      <c r="E9" s="36" t="s">
        <v>343</v>
      </c>
      <c r="F9" s="37" t="s">
        <v>350</v>
      </c>
      <c r="G9" s="15" t="s">
        <v>351</v>
      </c>
      <c r="H9" s="34" t="s">
        <v>187</v>
      </c>
    </row>
    <row r="10" customFormat="false" ht="45.75" hidden="false" customHeight="true" outlineLevel="0" collapsed="false">
      <c r="A10" s="34" t="n">
        <v>21</v>
      </c>
      <c r="B10" s="34" t="s">
        <v>349</v>
      </c>
      <c r="C10" s="34" t="s">
        <v>352</v>
      </c>
      <c r="D10" s="34" t="n">
        <v>35</v>
      </c>
      <c r="E10" s="36" t="s">
        <v>343</v>
      </c>
      <c r="F10" s="37" t="s">
        <v>353</v>
      </c>
      <c r="G10" s="15" t="s">
        <v>354</v>
      </c>
      <c r="H10" s="34" t="s">
        <v>187</v>
      </c>
    </row>
    <row r="11" customFormat="false" ht="45.75" hidden="false" customHeight="true" outlineLevel="0" collapsed="false">
      <c r="A11" s="34" t="n">
        <v>21</v>
      </c>
      <c r="B11" s="34" t="s">
        <v>352</v>
      </c>
      <c r="C11" s="34" t="s">
        <v>355</v>
      </c>
      <c r="D11" s="34" t="n">
        <v>5</v>
      </c>
      <c r="E11" s="36" t="s">
        <v>343</v>
      </c>
      <c r="F11" s="37" t="s">
        <v>356</v>
      </c>
      <c r="G11" s="15" t="s">
        <v>357</v>
      </c>
      <c r="H11" s="34" t="s">
        <v>187</v>
      </c>
    </row>
    <row r="12" customFormat="false" ht="45.75" hidden="false" customHeight="true" outlineLevel="0" collapsed="false">
      <c r="A12" s="34" t="n">
        <v>21</v>
      </c>
      <c r="B12" s="34" t="s">
        <v>355</v>
      </c>
      <c r="C12" s="34" t="s">
        <v>358</v>
      </c>
      <c r="D12" s="34" t="n">
        <v>15</v>
      </c>
      <c r="E12" s="36" t="s">
        <v>343</v>
      </c>
      <c r="F12" s="37" t="s">
        <v>359</v>
      </c>
      <c r="G12" s="15" t="s">
        <v>360</v>
      </c>
      <c r="H12" s="34" t="s">
        <v>187</v>
      </c>
    </row>
    <row r="13" customFormat="false" ht="45.75" hidden="false" customHeight="true" outlineLevel="0" collapsed="false">
      <c r="A13" s="34" t="n">
        <v>21</v>
      </c>
      <c r="B13" s="34" t="s">
        <v>358</v>
      </c>
      <c r="C13" s="34" t="s">
        <v>361</v>
      </c>
      <c r="D13" s="34" t="n">
        <v>10</v>
      </c>
      <c r="E13" s="38" t="s">
        <v>362</v>
      </c>
      <c r="F13" s="16" t="s">
        <v>363</v>
      </c>
      <c r="G13" s="15" t="s">
        <v>364</v>
      </c>
      <c r="H13" s="34" t="s">
        <v>187</v>
      </c>
    </row>
    <row r="14" customFormat="false" ht="15" hidden="false" customHeight="false" outlineLevel="0" collapsed="false">
      <c r="A14" s="39" t="s">
        <v>365</v>
      </c>
      <c r="B14" s="40"/>
      <c r="C14" s="40"/>
      <c r="D14" s="41" t="n">
        <f aca="false">SUM(D6:D13)</f>
        <v>135</v>
      </c>
      <c r="E14" s="40"/>
      <c r="F14" s="40"/>
      <c r="G14" s="42" t="s">
        <v>366</v>
      </c>
      <c r="H14" s="40"/>
    </row>
    <row r="16" customFormat="false" ht="21.75" hidden="false" customHeight="true" outlineLevel="0" collapsed="false">
      <c r="A16" s="32" t="s">
        <v>367</v>
      </c>
      <c r="B16" s="33"/>
      <c r="C16" s="33"/>
      <c r="D16" s="33"/>
      <c r="E16" s="33"/>
      <c r="F16" s="33"/>
      <c r="G16" s="33"/>
      <c r="H16" s="33"/>
    </row>
    <row r="17" customFormat="false" ht="45.75" hidden="false" customHeight="true" outlineLevel="0" collapsed="false">
      <c r="A17" s="34" t="n">
        <v>22</v>
      </c>
      <c r="B17" s="34" t="s">
        <v>368</v>
      </c>
      <c r="C17" s="34" t="s">
        <v>369</v>
      </c>
      <c r="D17" s="34" t="n">
        <v>5</v>
      </c>
      <c r="E17" s="35" t="s">
        <v>339</v>
      </c>
      <c r="F17" s="18" t="s">
        <v>370</v>
      </c>
      <c r="G17" s="15" t="s">
        <v>371</v>
      </c>
      <c r="H17" s="34" t="s">
        <v>54</v>
      </c>
    </row>
    <row r="18" customFormat="false" ht="45.75" hidden="false" customHeight="true" outlineLevel="0" collapsed="false">
      <c r="A18" s="34" t="n">
        <v>22</v>
      </c>
      <c r="B18" s="34" t="s">
        <v>369</v>
      </c>
      <c r="C18" s="34" t="s">
        <v>372</v>
      </c>
      <c r="D18" s="34" t="n">
        <v>15</v>
      </c>
      <c r="E18" s="36" t="s">
        <v>343</v>
      </c>
      <c r="F18" s="37" t="s">
        <v>373</v>
      </c>
      <c r="G18" s="15" t="s">
        <v>374</v>
      </c>
      <c r="H18" s="34" t="s">
        <v>54</v>
      </c>
    </row>
    <row r="19" customFormat="false" ht="45.75" hidden="false" customHeight="true" outlineLevel="0" collapsed="false">
      <c r="A19" s="34" t="n">
        <v>22</v>
      </c>
      <c r="B19" s="34" t="s">
        <v>372</v>
      </c>
      <c r="C19" s="34" t="s">
        <v>375</v>
      </c>
      <c r="D19" s="34" t="n">
        <v>35</v>
      </c>
      <c r="E19" s="36" t="s">
        <v>343</v>
      </c>
      <c r="F19" s="37" t="s">
        <v>376</v>
      </c>
      <c r="G19" s="15" t="s">
        <v>377</v>
      </c>
      <c r="H19" s="34" t="s">
        <v>54</v>
      </c>
    </row>
    <row r="20" customFormat="false" ht="45.75" hidden="false" customHeight="true" outlineLevel="0" collapsed="false">
      <c r="A20" s="34" t="n">
        <v>22</v>
      </c>
      <c r="B20" s="34" t="s">
        <v>375</v>
      </c>
      <c r="C20" s="34" t="s">
        <v>378</v>
      </c>
      <c r="D20" s="34" t="n">
        <v>5</v>
      </c>
      <c r="E20" s="36" t="s">
        <v>343</v>
      </c>
      <c r="F20" s="37" t="s">
        <v>356</v>
      </c>
      <c r="G20" s="15" t="s">
        <v>379</v>
      </c>
      <c r="H20" s="34" t="s">
        <v>187</v>
      </c>
    </row>
    <row r="21" customFormat="false" ht="45.75" hidden="false" customHeight="true" outlineLevel="0" collapsed="false">
      <c r="A21" s="34" t="n">
        <v>22</v>
      </c>
      <c r="B21" s="34" t="s">
        <v>378</v>
      </c>
      <c r="C21" s="34" t="s">
        <v>380</v>
      </c>
      <c r="D21" s="34" t="n">
        <v>50</v>
      </c>
      <c r="E21" s="43" t="s">
        <v>381</v>
      </c>
      <c r="F21" s="44" t="s">
        <v>382</v>
      </c>
      <c r="G21" s="15" t="s">
        <v>383</v>
      </c>
      <c r="H21" s="34" t="s">
        <v>54</v>
      </c>
    </row>
    <row r="22" customFormat="false" ht="45.75" hidden="false" customHeight="true" outlineLevel="0" collapsed="false">
      <c r="A22" s="34" t="n">
        <v>22</v>
      </c>
      <c r="B22" s="34" t="s">
        <v>380</v>
      </c>
      <c r="C22" s="34" t="s">
        <v>384</v>
      </c>
      <c r="D22" s="34" t="n">
        <v>15</v>
      </c>
      <c r="E22" s="38" t="s">
        <v>362</v>
      </c>
      <c r="F22" s="16" t="s">
        <v>385</v>
      </c>
      <c r="G22" s="15" t="s">
        <v>386</v>
      </c>
      <c r="H22" s="34" t="s">
        <v>54</v>
      </c>
    </row>
    <row r="23" customFormat="false" ht="45.75" hidden="false" customHeight="true" outlineLevel="0" collapsed="false">
      <c r="A23" s="34" t="n">
        <v>22</v>
      </c>
      <c r="B23" s="34" t="s">
        <v>384</v>
      </c>
      <c r="C23" s="34" t="s">
        <v>387</v>
      </c>
      <c r="D23" s="34" t="n">
        <v>10</v>
      </c>
      <c r="E23" s="38" t="s">
        <v>362</v>
      </c>
      <c r="F23" s="16" t="s">
        <v>388</v>
      </c>
      <c r="G23" s="15" t="s">
        <v>389</v>
      </c>
      <c r="H23" s="34" t="s">
        <v>54</v>
      </c>
    </row>
    <row r="24" customFormat="false" ht="15" hidden="false" customHeight="false" outlineLevel="0" collapsed="false">
      <c r="A24" s="39" t="s">
        <v>365</v>
      </c>
      <c r="B24" s="40"/>
      <c r="C24" s="40"/>
      <c r="D24" s="41" t="n">
        <f aca="false">SUM(D17:D23)</f>
        <v>135</v>
      </c>
      <c r="E24" s="40"/>
      <c r="F24" s="40"/>
      <c r="G24" s="42" t="s">
        <v>390</v>
      </c>
      <c r="H24" s="40"/>
    </row>
    <row r="26" customFormat="false" ht="21.75" hidden="false" customHeight="true" outlineLevel="0" collapsed="false">
      <c r="A26" s="32" t="s">
        <v>391</v>
      </c>
      <c r="B26" s="33"/>
      <c r="C26" s="33"/>
      <c r="D26" s="33"/>
      <c r="E26" s="33"/>
      <c r="F26" s="33"/>
      <c r="G26" s="33"/>
      <c r="H26" s="33"/>
    </row>
    <row r="27" customFormat="false" ht="45.75" hidden="false" customHeight="true" outlineLevel="0" collapsed="false">
      <c r="A27" s="34" t="n">
        <v>23</v>
      </c>
      <c r="B27" s="34" t="s">
        <v>337</v>
      </c>
      <c r="C27" s="34" t="s">
        <v>338</v>
      </c>
      <c r="D27" s="34" t="n">
        <v>5</v>
      </c>
      <c r="E27" s="35" t="s">
        <v>339</v>
      </c>
      <c r="F27" s="18" t="s">
        <v>392</v>
      </c>
      <c r="G27" s="15" t="s">
        <v>393</v>
      </c>
      <c r="H27" s="34" t="s">
        <v>187</v>
      </c>
    </row>
    <row r="28" customFormat="false" ht="45.75" hidden="false" customHeight="true" outlineLevel="0" collapsed="false">
      <c r="A28" s="34" t="n">
        <v>23</v>
      </c>
      <c r="B28" s="34" t="s">
        <v>338</v>
      </c>
      <c r="C28" s="34" t="s">
        <v>342</v>
      </c>
      <c r="D28" s="34" t="n">
        <v>15</v>
      </c>
      <c r="E28" s="36" t="s">
        <v>343</v>
      </c>
      <c r="F28" s="37" t="s">
        <v>394</v>
      </c>
      <c r="G28" s="15" t="s">
        <v>395</v>
      </c>
      <c r="H28" s="34" t="s">
        <v>187</v>
      </c>
    </row>
    <row r="29" customFormat="false" ht="45.75" hidden="false" customHeight="true" outlineLevel="0" collapsed="false">
      <c r="A29" s="34" t="n">
        <v>23</v>
      </c>
      <c r="B29" s="34" t="s">
        <v>342</v>
      </c>
      <c r="C29" s="34" t="s">
        <v>346</v>
      </c>
      <c r="D29" s="34" t="n">
        <v>35</v>
      </c>
      <c r="E29" s="36" t="s">
        <v>343</v>
      </c>
      <c r="F29" s="37" t="s">
        <v>396</v>
      </c>
      <c r="G29" s="15" t="s">
        <v>397</v>
      </c>
      <c r="H29" s="34" t="s">
        <v>187</v>
      </c>
    </row>
    <row r="30" customFormat="false" ht="45.75" hidden="false" customHeight="true" outlineLevel="0" collapsed="false">
      <c r="A30" s="34" t="n">
        <v>23</v>
      </c>
      <c r="B30" s="34" t="s">
        <v>346</v>
      </c>
      <c r="C30" s="34" t="s">
        <v>398</v>
      </c>
      <c r="D30" s="34" t="n">
        <v>10</v>
      </c>
      <c r="E30" s="36" t="s">
        <v>343</v>
      </c>
      <c r="F30" s="37" t="s">
        <v>399</v>
      </c>
      <c r="G30" s="15" t="s">
        <v>400</v>
      </c>
      <c r="H30" s="34" t="s">
        <v>187</v>
      </c>
    </row>
    <row r="31" customFormat="false" ht="45.75" hidden="false" customHeight="true" outlineLevel="0" collapsed="false">
      <c r="A31" s="34" t="n">
        <v>23</v>
      </c>
      <c r="B31" s="34" t="s">
        <v>398</v>
      </c>
      <c r="C31" s="34" t="s">
        <v>401</v>
      </c>
      <c r="D31" s="34" t="n">
        <v>30</v>
      </c>
      <c r="E31" s="36" t="s">
        <v>343</v>
      </c>
      <c r="F31" s="37" t="s">
        <v>402</v>
      </c>
      <c r="G31" s="15" t="s">
        <v>403</v>
      </c>
      <c r="H31" s="34" t="s">
        <v>187</v>
      </c>
    </row>
    <row r="32" customFormat="false" ht="45.75" hidden="false" customHeight="true" outlineLevel="0" collapsed="false">
      <c r="A32" s="34" t="n">
        <v>23</v>
      </c>
      <c r="B32" s="34" t="s">
        <v>401</v>
      </c>
      <c r="C32" s="34" t="s">
        <v>404</v>
      </c>
      <c r="D32" s="34" t="n">
        <v>5</v>
      </c>
      <c r="E32" s="36" t="s">
        <v>343</v>
      </c>
      <c r="F32" s="37" t="s">
        <v>356</v>
      </c>
      <c r="G32" s="15" t="s">
        <v>405</v>
      </c>
      <c r="H32" s="34" t="s">
        <v>187</v>
      </c>
    </row>
    <row r="33" customFormat="false" ht="45.75" hidden="false" customHeight="true" outlineLevel="0" collapsed="false">
      <c r="A33" s="34" t="n">
        <v>23</v>
      </c>
      <c r="B33" s="34" t="s">
        <v>404</v>
      </c>
      <c r="C33" s="34" t="s">
        <v>358</v>
      </c>
      <c r="D33" s="34" t="n">
        <v>25</v>
      </c>
      <c r="E33" s="36" t="s">
        <v>343</v>
      </c>
      <c r="F33" s="37" t="s">
        <v>406</v>
      </c>
      <c r="G33" s="15" t="s">
        <v>407</v>
      </c>
      <c r="H33" s="34" t="s">
        <v>187</v>
      </c>
    </row>
    <row r="34" customFormat="false" ht="45.75" hidden="false" customHeight="true" outlineLevel="0" collapsed="false">
      <c r="A34" s="34" t="n">
        <v>23</v>
      </c>
      <c r="B34" s="34" t="s">
        <v>358</v>
      </c>
      <c r="C34" s="34" t="s">
        <v>361</v>
      </c>
      <c r="D34" s="34" t="n">
        <v>10</v>
      </c>
      <c r="E34" s="38" t="s">
        <v>362</v>
      </c>
      <c r="F34" s="16" t="s">
        <v>408</v>
      </c>
      <c r="G34" s="15" t="s">
        <v>409</v>
      </c>
      <c r="H34" s="34" t="s">
        <v>187</v>
      </c>
    </row>
    <row r="35" customFormat="false" ht="15" hidden="false" customHeight="false" outlineLevel="0" collapsed="false">
      <c r="A35" s="39" t="s">
        <v>365</v>
      </c>
      <c r="B35" s="40"/>
      <c r="C35" s="40"/>
      <c r="D35" s="41" t="n">
        <f aca="false">SUM(D27:D34)</f>
        <v>135</v>
      </c>
      <c r="E35" s="40"/>
      <c r="F35" s="40"/>
      <c r="G35" s="42" t="s">
        <v>410</v>
      </c>
      <c r="H35" s="40"/>
    </row>
    <row r="37" customFormat="false" ht="21.75" hidden="false" customHeight="true" outlineLevel="0" collapsed="false">
      <c r="A37" s="32" t="s">
        <v>411</v>
      </c>
      <c r="B37" s="33"/>
      <c r="C37" s="33"/>
      <c r="D37" s="33"/>
      <c r="E37" s="33"/>
      <c r="F37" s="33"/>
      <c r="G37" s="33"/>
      <c r="H37" s="33"/>
    </row>
    <row r="38" customFormat="false" ht="45.75" hidden="false" customHeight="true" outlineLevel="0" collapsed="false">
      <c r="A38" s="34" t="n">
        <v>24</v>
      </c>
      <c r="B38" s="34" t="s">
        <v>368</v>
      </c>
      <c r="C38" s="34" t="s">
        <v>369</v>
      </c>
      <c r="D38" s="34" t="n">
        <v>5</v>
      </c>
      <c r="E38" s="35" t="s">
        <v>339</v>
      </c>
      <c r="F38" s="18" t="s">
        <v>412</v>
      </c>
      <c r="G38" s="15" t="s">
        <v>413</v>
      </c>
      <c r="H38" s="34" t="s">
        <v>54</v>
      </c>
    </row>
    <row r="39" customFormat="false" ht="45.75" hidden="false" customHeight="true" outlineLevel="0" collapsed="false">
      <c r="A39" s="34" t="n">
        <v>24</v>
      </c>
      <c r="B39" s="34" t="s">
        <v>369</v>
      </c>
      <c r="C39" s="34" t="s">
        <v>372</v>
      </c>
      <c r="D39" s="34" t="n">
        <v>15</v>
      </c>
      <c r="E39" s="36" t="s">
        <v>343</v>
      </c>
      <c r="F39" s="37" t="s">
        <v>414</v>
      </c>
      <c r="G39" s="15" t="s">
        <v>415</v>
      </c>
      <c r="H39" s="34" t="s">
        <v>54</v>
      </c>
    </row>
    <row r="40" customFormat="false" ht="45.75" hidden="false" customHeight="true" outlineLevel="0" collapsed="false">
      <c r="A40" s="34" t="n">
        <v>24</v>
      </c>
      <c r="B40" s="34" t="s">
        <v>372</v>
      </c>
      <c r="C40" s="34" t="s">
        <v>375</v>
      </c>
      <c r="D40" s="34" t="n">
        <v>35</v>
      </c>
      <c r="E40" s="36" t="s">
        <v>343</v>
      </c>
      <c r="F40" s="37" t="s">
        <v>416</v>
      </c>
      <c r="G40" s="15" t="s">
        <v>417</v>
      </c>
      <c r="H40" s="34" t="s">
        <v>54</v>
      </c>
    </row>
    <row r="41" customFormat="false" ht="45.75" hidden="false" customHeight="true" outlineLevel="0" collapsed="false">
      <c r="A41" s="34" t="n">
        <v>24</v>
      </c>
      <c r="B41" s="34" t="s">
        <v>375</v>
      </c>
      <c r="C41" s="34" t="s">
        <v>378</v>
      </c>
      <c r="D41" s="34" t="n">
        <v>5</v>
      </c>
      <c r="E41" s="36" t="s">
        <v>343</v>
      </c>
      <c r="F41" s="37" t="s">
        <v>356</v>
      </c>
      <c r="G41" s="15" t="s">
        <v>379</v>
      </c>
      <c r="H41" s="34" t="s">
        <v>187</v>
      </c>
    </row>
    <row r="42" customFormat="false" ht="45.75" hidden="false" customHeight="true" outlineLevel="0" collapsed="false">
      <c r="A42" s="34" t="n">
        <v>24</v>
      </c>
      <c r="B42" s="34" t="s">
        <v>378</v>
      </c>
      <c r="C42" s="34" t="s">
        <v>380</v>
      </c>
      <c r="D42" s="34" t="n">
        <v>50</v>
      </c>
      <c r="E42" s="43" t="s">
        <v>381</v>
      </c>
      <c r="F42" s="44" t="s">
        <v>418</v>
      </c>
      <c r="G42" s="15" t="s">
        <v>419</v>
      </c>
      <c r="H42" s="34" t="s">
        <v>420</v>
      </c>
    </row>
    <row r="43" customFormat="false" ht="45.75" hidden="false" customHeight="true" outlineLevel="0" collapsed="false">
      <c r="A43" s="34" t="n">
        <v>24</v>
      </c>
      <c r="B43" s="34" t="s">
        <v>380</v>
      </c>
      <c r="C43" s="34" t="s">
        <v>384</v>
      </c>
      <c r="D43" s="34" t="n">
        <v>15</v>
      </c>
      <c r="E43" s="38" t="s">
        <v>362</v>
      </c>
      <c r="F43" s="16" t="s">
        <v>385</v>
      </c>
      <c r="G43" s="15" t="s">
        <v>421</v>
      </c>
      <c r="H43" s="34" t="s">
        <v>420</v>
      </c>
    </row>
    <row r="44" customFormat="false" ht="45.75" hidden="false" customHeight="true" outlineLevel="0" collapsed="false">
      <c r="A44" s="34" t="n">
        <v>24</v>
      </c>
      <c r="B44" s="34" t="s">
        <v>384</v>
      </c>
      <c r="C44" s="34" t="s">
        <v>387</v>
      </c>
      <c r="D44" s="34" t="n">
        <v>10</v>
      </c>
      <c r="E44" s="38" t="s">
        <v>362</v>
      </c>
      <c r="F44" s="16" t="s">
        <v>388</v>
      </c>
      <c r="G44" s="15" t="s">
        <v>422</v>
      </c>
      <c r="H44" s="34" t="s">
        <v>420</v>
      </c>
    </row>
    <row r="45" customFormat="false" ht="15" hidden="false" customHeight="false" outlineLevel="0" collapsed="false">
      <c r="A45" s="39" t="s">
        <v>365</v>
      </c>
      <c r="B45" s="40"/>
      <c r="C45" s="40"/>
      <c r="D45" s="41" t="n">
        <f aca="false">SUM(D38:D44)</f>
        <v>135</v>
      </c>
      <c r="E45" s="40"/>
      <c r="F45" s="40"/>
      <c r="G45" s="42" t="s">
        <v>423</v>
      </c>
      <c r="H45" s="40"/>
    </row>
    <row r="47" customFormat="false" ht="21.75" hidden="false" customHeight="true" outlineLevel="0" collapsed="false">
      <c r="A47" s="32" t="s">
        <v>424</v>
      </c>
      <c r="B47" s="33"/>
      <c r="C47" s="33"/>
      <c r="D47" s="33"/>
      <c r="E47" s="33"/>
      <c r="F47" s="33"/>
      <c r="G47" s="33"/>
      <c r="H47" s="33"/>
    </row>
    <row r="48" customFormat="false" ht="45.75" hidden="false" customHeight="true" outlineLevel="0" collapsed="false">
      <c r="A48" s="34" t="n">
        <v>25</v>
      </c>
      <c r="B48" s="34" t="s">
        <v>337</v>
      </c>
      <c r="C48" s="34" t="s">
        <v>338</v>
      </c>
      <c r="D48" s="34" t="n">
        <v>5</v>
      </c>
      <c r="E48" s="35" t="s">
        <v>339</v>
      </c>
      <c r="F48" s="18" t="s">
        <v>340</v>
      </c>
      <c r="G48" s="15" t="s">
        <v>425</v>
      </c>
      <c r="H48" s="34" t="s">
        <v>187</v>
      </c>
    </row>
    <row r="49" customFormat="false" ht="45.75" hidden="false" customHeight="true" outlineLevel="0" collapsed="false">
      <c r="A49" s="34" t="n">
        <v>25</v>
      </c>
      <c r="B49" s="34" t="s">
        <v>338</v>
      </c>
      <c r="C49" s="34" t="s">
        <v>342</v>
      </c>
      <c r="D49" s="34" t="n">
        <v>15</v>
      </c>
      <c r="E49" s="36" t="s">
        <v>343</v>
      </c>
      <c r="F49" s="37" t="s">
        <v>426</v>
      </c>
      <c r="G49" s="15" t="s">
        <v>427</v>
      </c>
      <c r="H49" s="34" t="s">
        <v>187</v>
      </c>
    </row>
    <row r="50" customFormat="false" ht="45.75" hidden="false" customHeight="true" outlineLevel="0" collapsed="false">
      <c r="A50" s="34" t="n">
        <v>25</v>
      </c>
      <c r="B50" s="34" t="s">
        <v>342</v>
      </c>
      <c r="C50" s="34" t="s">
        <v>346</v>
      </c>
      <c r="D50" s="34" t="n">
        <v>35</v>
      </c>
      <c r="E50" s="36" t="s">
        <v>343</v>
      </c>
      <c r="F50" s="37" t="s">
        <v>428</v>
      </c>
      <c r="G50" s="15" t="s">
        <v>429</v>
      </c>
      <c r="H50" s="34" t="s">
        <v>187</v>
      </c>
    </row>
    <row r="51" customFormat="false" ht="45.75" hidden="false" customHeight="true" outlineLevel="0" collapsed="false">
      <c r="A51" s="34" t="n">
        <v>25</v>
      </c>
      <c r="B51" s="34" t="s">
        <v>346</v>
      </c>
      <c r="C51" s="34" t="s">
        <v>349</v>
      </c>
      <c r="D51" s="34" t="n">
        <v>15</v>
      </c>
      <c r="E51" s="36" t="s">
        <v>343</v>
      </c>
      <c r="F51" s="37" t="s">
        <v>430</v>
      </c>
      <c r="G51" s="15" t="s">
        <v>431</v>
      </c>
      <c r="H51" s="34" t="s">
        <v>187</v>
      </c>
    </row>
    <row r="52" customFormat="false" ht="45.75" hidden="false" customHeight="true" outlineLevel="0" collapsed="false">
      <c r="A52" s="34" t="n">
        <v>25</v>
      </c>
      <c r="B52" s="34" t="s">
        <v>349</v>
      </c>
      <c r="C52" s="34" t="s">
        <v>404</v>
      </c>
      <c r="D52" s="34" t="n">
        <v>30</v>
      </c>
      <c r="E52" s="36" t="s">
        <v>343</v>
      </c>
      <c r="F52" s="37" t="s">
        <v>432</v>
      </c>
      <c r="G52" s="15" t="s">
        <v>433</v>
      </c>
      <c r="H52" s="34" t="s">
        <v>187</v>
      </c>
    </row>
    <row r="53" customFormat="false" ht="45.75" hidden="false" customHeight="true" outlineLevel="0" collapsed="false">
      <c r="A53" s="34" t="n">
        <v>25</v>
      </c>
      <c r="B53" s="34" t="s">
        <v>404</v>
      </c>
      <c r="C53" s="34" t="s">
        <v>352</v>
      </c>
      <c r="D53" s="34" t="n">
        <v>5</v>
      </c>
      <c r="E53" s="36" t="s">
        <v>343</v>
      </c>
      <c r="F53" s="37" t="s">
        <v>356</v>
      </c>
      <c r="G53" s="15" t="s">
        <v>357</v>
      </c>
      <c r="H53" s="34" t="s">
        <v>187</v>
      </c>
    </row>
    <row r="54" customFormat="false" ht="45.75" hidden="false" customHeight="true" outlineLevel="0" collapsed="false">
      <c r="A54" s="34" t="n">
        <v>25</v>
      </c>
      <c r="B54" s="34" t="s">
        <v>352</v>
      </c>
      <c r="C54" s="34" t="s">
        <v>358</v>
      </c>
      <c r="D54" s="34" t="n">
        <v>20</v>
      </c>
      <c r="E54" s="36" t="s">
        <v>343</v>
      </c>
      <c r="F54" s="37" t="s">
        <v>434</v>
      </c>
      <c r="G54" s="15" t="s">
        <v>435</v>
      </c>
      <c r="H54" s="34" t="s">
        <v>187</v>
      </c>
    </row>
    <row r="55" customFormat="false" ht="45.75" hidden="false" customHeight="true" outlineLevel="0" collapsed="false">
      <c r="A55" s="34" t="n">
        <v>25</v>
      </c>
      <c r="B55" s="34" t="s">
        <v>358</v>
      </c>
      <c r="C55" s="34" t="s">
        <v>361</v>
      </c>
      <c r="D55" s="34" t="n">
        <v>10</v>
      </c>
      <c r="E55" s="38" t="s">
        <v>362</v>
      </c>
      <c r="F55" s="16" t="s">
        <v>363</v>
      </c>
      <c r="G55" s="15" t="s">
        <v>436</v>
      </c>
      <c r="H55" s="34" t="s">
        <v>187</v>
      </c>
    </row>
    <row r="56" customFormat="false" ht="15" hidden="false" customHeight="false" outlineLevel="0" collapsed="false">
      <c r="A56" s="39" t="s">
        <v>365</v>
      </c>
      <c r="B56" s="40"/>
      <c r="C56" s="40"/>
      <c r="D56" s="41" t="n">
        <f aca="false">SUM(D48:D55)</f>
        <v>135</v>
      </c>
      <c r="E56" s="40"/>
      <c r="F56" s="40"/>
      <c r="G56" s="42" t="s">
        <v>437</v>
      </c>
      <c r="H56" s="40"/>
    </row>
    <row r="58" customFormat="false" ht="21.75" hidden="false" customHeight="true" outlineLevel="0" collapsed="false">
      <c r="A58" s="32" t="s">
        <v>438</v>
      </c>
      <c r="B58" s="33"/>
      <c r="C58" s="33"/>
      <c r="D58" s="33"/>
      <c r="E58" s="33"/>
      <c r="F58" s="33"/>
      <c r="G58" s="33"/>
      <c r="H58" s="33"/>
    </row>
    <row r="59" customFormat="false" ht="45.75" hidden="false" customHeight="true" outlineLevel="0" collapsed="false">
      <c r="A59" s="34" t="n">
        <v>26</v>
      </c>
      <c r="B59" s="34" t="s">
        <v>368</v>
      </c>
      <c r="C59" s="34" t="s">
        <v>369</v>
      </c>
      <c r="D59" s="34" t="n">
        <v>5</v>
      </c>
      <c r="E59" s="35" t="s">
        <v>339</v>
      </c>
      <c r="F59" s="18" t="s">
        <v>392</v>
      </c>
      <c r="G59" s="15" t="s">
        <v>439</v>
      </c>
      <c r="H59" s="34" t="s">
        <v>187</v>
      </c>
    </row>
    <row r="60" customFormat="false" ht="45.75" hidden="false" customHeight="true" outlineLevel="0" collapsed="false">
      <c r="A60" s="34" t="n">
        <v>26</v>
      </c>
      <c r="B60" s="34" t="s">
        <v>369</v>
      </c>
      <c r="C60" s="34" t="s">
        <v>372</v>
      </c>
      <c r="D60" s="34" t="n">
        <v>15</v>
      </c>
      <c r="E60" s="36" t="s">
        <v>343</v>
      </c>
      <c r="F60" s="37" t="s">
        <v>440</v>
      </c>
      <c r="G60" s="15" t="s">
        <v>441</v>
      </c>
      <c r="H60" s="34" t="s">
        <v>187</v>
      </c>
    </row>
    <row r="61" customFormat="false" ht="45.75" hidden="false" customHeight="true" outlineLevel="0" collapsed="false">
      <c r="A61" s="34" t="n">
        <v>26</v>
      </c>
      <c r="B61" s="34" t="s">
        <v>372</v>
      </c>
      <c r="C61" s="34" t="s">
        <v>442</v>
      </c>
      <c r="D61" s="34" t="n">
        <v>30</v>
      </c>
      <c r="E61" s="36" t="s">
        <v>343</v>
      </c>
      <c r="F61" s="37" t="s">
        <v>443</v>
      </c>
      <c r="G61" s="15" t="s">
        <v>444</v>
      </c>
      <c r="H61" s="34" t="s">
        <v>187</v>
      </c>
    </row>
    <row r="62" customFormat="false" ht="45.75" hidden="false" customHeight="true" outlineLevel="0" collapsed="false">
      <c r="A62" s="34" t="n">
        <v>26</v>
      </c>
      <c r="B62" s="34" t="s">
        <v>442</v>
      </c>
      <c r="C62" s="34" t="s">
        <v>445</v>
      </c>
      <c r="D62" s="34" t="n">
        <v>15</v>
      </c>
      <c r="E62" s="36" t="s">
        <v>343</v>
      </c>
      <c r="F62" s="37" t="s">
        <v>446</v>
      </c>
      <c r="G62" s="15" t="s">
        <v>447</v>
      </c>
      <c r="H62" s="34" t="s">
        <v>448</v>
      </c>
    </row>
    <row r="63" customFormat="false" ht="45.75" hidden="false" customHeight="true" outlineLevel="0" collapsed="false">
      <c r="A63" s="34" t="n">
        <v>26</v>
      </c>
      <c r="B63" s="34" t="s">
        <v>445</v>
      </c>
      <c r="C63" s="34" t="s">
        <v>449</v>
      </c>
      <c r="D63" s="34" t="n">
        <v>5</v>
      </c>
      <c r="E63" s="36" t="s">
        <v>343</v>
      </c>
      <c r="F63" s="37" t="s">
        <v>356</v>
      </c>
      <c r="G63" s="15" t="s">
        <v>450</v>
      </c>
      <c r="H63" s="34" t="s">
        <v>187</v>
      </c>
    </row>
    <row r="64" customFormat="false" ht="45.75" hidden="false" customHeight="true" outlineLevel="0" collapsed="false">
      <c r="A64" s="34" t="n">
        <v>26</v>
      </c>
      <c r="B64" s="34" t="s">
        <v>449</v>
      </c>
      <c r="C64" s="34" t="s">
        <v>451</v>
      </c>
      <c r="D64" s="34" t="n">
        <v>45</v>
      </c>
      <c r="E64" s="43" t="s">
        <v>381</v>
      </c>
      <c r="F64" s="44" t="s">
        <v>452</v>
      </c>
      <c r="G64" s="15" t="s">
        <v>453</v>
      </c>
      <c r="H64" s="34" t="s">
        <v>454</v>
      </c>
    </row>
    <row r="65" customFormat="false" ht="45.75" hidden="false" customHeight="true" outlineLevel="0" collapsed="false">
      <c r="A65" s="34" t="n">
        <v>26</v>
      </c>
      <c r="B65" s="34" t="s">
        <v>451</v>
      </c>
      <c r="C65" s="34" t="s">
        <v>387</v>
      </c>
      <c r="D65" s="34" t="n">
        <v>20</v>
      </c>
      <c r="E65" s="38" t="s">
        <v>362</v>
      </c>
      <c r="F65" s="16" t="s">
        <v>455</v>
      </c>
      <c r="G65" s="15" t="s">
        <v>456</v>
      </c>
      <c r="H65" s="34" t="s">
        <v>454</v>
      </c>
    </row>
    <row r="66" customFormat="false" ht="15" hidden="false" customHeight="false" outlineLevel="0" collapsed="false">
      <c r="A66" s="39" t="s">
        <v>365</v>
      </c>
      <c r="B66" s="40"/>
      <c r="C66" s="40"/>
      <c r="D66" s="41" t="n">
        <f aca="false">SUM(D59:D65)</f>
        <v>135</v>
      </c>
      <c r="E66" s="40"/>
      <c r="F66" s="40"/>
      <c r="G66" s="42" t="s">
        <v>457</v>
      </c>
      <c r="H66" s="40"/>
    </row>
    <row r="68" customFormat="false" ht="21.75" hidden="false" customHeight="true" outlineLevel="0" collapsed="false">
      <c r="A68" s="32" t="s">
        <v>458</v>
      </c>
      <c r="B68" s="33"/>
      <c r="C68" s="33"/>
      <c r="D68" s="33"/>
      <c r="E68" s="33"/>
      <c r="F68" s="33"/>
      <c r="G68" s="33"/>
      <c r="H68" s="33"/>
    </row>
    <row r="69" customFormat="false" ht="45.75" hidden="false" customHeight="true" outlineLevel="0" collapsed="false">
      <c r="A69" s="34" t="n">
        <v>27</v>
      </c>
      <c r="B69" s="34" t="s">
        <v>337</v>
      </c>
      <c r="C69" s="34" t="s">
        <v>338</v>
      </c>
      <c r="D69" s="34" t="n">
        <v>5</v>
      </c>
      <c r="E69" s="35" t="s">
        <v>339</v>
      </c>
      <c r="F69" s="18" t="s">
        <v>459</v>
      </c>
      <c r="G69" s="15" t="s">
        <v>460</v>
      </c>
      <c r="H69" s="34" t="s">
        <v>187</v>
      </c>
    </row>
    <row r="70" customFormat="false" ht="45.75" hidden="false" customHeight="true" outlineLevel="0" collapsed="false">
      <c r="A70" s="34" t="n">
        <v>27</v>
      </c>
      <c r="B70" s="34" t="s">
        <v>338</v>
      </c>
      <c r="C70" s="34" t="s">
        <v>342</v>
      </c>
      <c r="D70" s="34" t="n">
        <v>15</v>
      </c>
      <c r="E70" s="36" t="s">
        <v>343</v>
      </c>
      <c r="F70" s="37" t="s">
        <v>461</v>
      </c>
      <c r="G70" s="15" t="s">
        <v>462</v>
      </c>
      <c r="H70" s="34" t="s">
        <v>187</v>
      </c>
    </row>
    <row r="71" customFormat="false" ht="45.75" hidden="false" customHeight="true" outlineLevel="0" collapsed="false">
      <c r="A71" s="34" t="n">
        <v>27</v>
      </c>
      <c r="B71" s="34" t="s">
        <v>342</v>
      </c>
      <c r="C71" s="34" t="s">
        <v>463</v>
      </c>
      <c r="D71" s="34" t="n">
        <v>15</v>
      </c>
      <c r="E71" s="36" t="s">
        <v>343</v>
      </c>
      <c r="F71" s="37" t="s">
        <v>464</v>
      </c>
      <c r="G71" s="15" t="s">
        <v>465</v>
      </c>
      <c r="H71" s="34" t="s">
        <v>187</v>
      </c>
    </row>
    <row r="72" customFormat="false" ht="45.75" hidden="false" customHeight="true" outlineLevel="0" collapsed="false">
      <c r="A72" s="34" t="n">
        <v>27</v>
      </c>
      <c r="B72" s="34" t="s">
        <v>463</v>
      </c>
      <c r="C72" s="34" t="s">
        <v>349</v>
      </c>
      <c r="D72" s="34" t="n">
        <v>35</v>
      </c>
      <c r="E72" s="36" t="s">
        <v>343</v>
      </c>
      <c r="F72" s="37" t="s">
        <v>466</v>
      </c>
      <c r="G72" s="15" t="s">
        <v>467</v>
      </c>
      <c r="H72" s="34" t="s">
        <v>187</v>
      </c>
    </row>
    <row r="73" customFormat="false" ht="45.75" hidden="false" customHeight="true" outlineLevel="0" collapsed="false">
      <c r="A73" s="34" t="n">
        <v>27</v>
      </c>
      <c r="B73" s="34" t="s">
        <v>349</v>
      </c>
      <c r="C73" s="34" t="s">
        <v>468</v>
      </c>
      <c r="D73" s="34" t="n">
        <v>5</v>
      </c>
      <c r="E73" s="36" t="s">
        <v>343</v>
      </c>
      <c r="F73" s="37" t="s">
        <v>356</v>
      </c>
      <c r="G73" s="15" t="s">
        <v>469</v>
      </c>
      <c r="H73" s="34" t="s">
        <v>187</v>
      </c>
    </row>
    <row r="74" customFormat="false" ht="45.75" hidden="false" customHeight="true" outlineLevel="0" collapsed="false">
      <c r="A74" s="34" t="n">
        <v>27</v>
      </c>
      <c r="B74" s="34" t="s">
        <v>468</v>
      </c>
      <c r="C74" s="34" t="s">
        <v>352</v>
      </c>
      <c r="D74" s="34" t="n">
        <v>30</v>
      </c>
      <c r="E74" s="36" t="s">
        <v>343</v>
      </c>
      <c r="F74" s="37" t="s">
        <v>470</v>
      </c>
      <c r="G74" s="15" t="s">
        <v>471</v>
      </c>
      <c r="H74" s="34" t="s">
        <v>187</v>
      </c>
    </row>
    <row r="75" customFormat="false" ht="45.75" hidden="false" customHeight="true" outlineLevel="0" collapsed="false">
      <c r="A75" s="34" t="n">
        <v>27</v>
      </c>
      <c r="B75" s="34" t="s">
        <v>352</v>
      </c>
      <c r="C75" s="34" t="s">
        <v>358</v>
      </c>
      <c r="D75" s="34" t="n">
        <v>20</v>
      </c>
      <c r="E75" s="36" t="s">
        <v>343</v>
      </c>
      <c r="F75" s="37" t="s">
        <v>434</v>
      </c>
      <c r="G75" s="15" t="s">
        <v>472</v>
      </c>
      <c r="H75" s="34" t="s">
        <v>187</v>
      </c>
    </row>
    <row r="76" customFormat="false" ht="45.75" hidden="false" customHeight="true" outlineLevel="0" collapsed="false">
      <c r="A76" s="34" t="n">
        <v>27</v>
      </c>
      <c r="B76" s="34" t="s">
        <v>358</v>
      </c>
      <c r="C76" s="34" t="s">
        <v>361</v>
      </c>
      <c r="D76" s="34" t="n">
        <v>10</v>
      </c>
      <c r="E76" s="38" t="s">
        <v>362</v>
      </c>
      <c r="F76" s="16" t="s">
        <v>363</v>
      </c>
      <c r="G76" s="15" t="s">
        <v>473</v>
      </c>
      <c r="H76" s="34" t="s">
        <v>187</v>
      </c>
    </row>
    <row r="77" customFormat="false" ht="15" hidden="false" customHeight="false" outlineLevel="0" collapsed="false">
      <c r="A77" s="39" t="s">
        <v>365</v>
      </c>
      <c r="B77" s="40"/>
      <c r="C77" s="40"/>
      <c r="D77" s="41" t="n">
        <f aca="false">SUM(D69:D76)</f>
        <v>135</v>
      </c>
      <c r="E77" s="40"/>
      <c r="F77" s="40"/>
      <c r="G77" s="42" t="s">
        <v>474</v>
      </c>
      <c r="H77" s="40"/>
    </row>
    <row r="79" customFormat="false" ht="21.75" hidden="false" customHeight="true" outlineLevel="0" collapsed="false">
      <c r="A79" s="32" t="s">
        <v>475</v>
      </c>
      <c r="B79" s="33"/>
      <c r="C79" s="33"/>
      <c r="D79" s="33"/>
      <c r="E79" s="33"/>
      <c r="F79" s="33"/>
      <c r="G79" s="33"/>
      <c r="H79" s="33"/>
    </row>
    <row r="80" customFormat="false" ht="45.75" hidden="false" customHeight="true" outlineLevel="0" collapsed="false">
      <c r="A80" s="34" t="n">
        <v>28</v>
      </c>
      <c r="B80" s="34" t="s">
        <v>368</v>
      </c>
      <c r="C80" s="34" t="s">
        <v>369</v>
      </c>
      <c r="D80" s="34" t="n">
        <v>5</v>
      </c>
      <c r="E80" s="35" t="s">
        <v>339</v>
      </c>
      <c r="F80" s="18" t="s">
        <v>370</v>
      </c>
      <c r="G80" s="15" t="s">
        <v>476</v>
      </c>
      <c r="H80" s="34" t="s">
        <v>134</v>
      </c>
    </row>
    <row r="81" customFormat="false" ht="45.75" hidden="false" customHeight="true" outlineLevel="0" collapsed="false">
      <c r="A81" s="34" t="n">
        <v>28</v>
      </c>
      <c r="B81" s="34" t="s">
        <v>369</v>
      </c>
      <c r="C81" s="34" t="s">
        <v>372</v>
      </c>
      <c r="D81" s="34" t="n">
        <v>15</v>
      </c>
      <c r="E81" s="36" t="s">
        <v>343</v>
      </c>
      <c r="F81" s="37" t="s">
        <v>477</v>
      </c>
      <c r="G81" s="15" t="s">
        <v>478</v>
      </c>
      <c r="H81" s="34" t="s">
        <v>134</v>
      </c>
    </row>
    <row r="82" customFormat="false" ht="45.75" hidden="false" customHeight="true" outlineLevel="0" collapsed="false">
      <c r="A82" s="34" t="n">
        <v>28</v>
      </c>
      <c r="B82" s="34" t="s">
        <v>372</v>
      </c>
      <c r="C82" s="34" t="s">
        <v>375</v>
      </c>
      <c r="D82" s="34" t="n">
        <v>35</v>
      </c>
      <c r="E82" s="36" t="s">
        <v>343</v>
      </c>
      <c r="F82" s="37" t="s">
        <v>479</v>
      </c>
      <c r="G82" s="15" t="s">
        <v>480</v>
      </c>
      <c r="H82" s="34" t="s">
        <v>134</v>
      </c>
    </row>
    <row r="83" customFormat="false" ht="45.75" hidden="false" customHeight="true" outlineLevel="0" collapsed="false">
      <c r="A83" s="34" t="n">
        <v>28</v>
      </c>
      <c r="B83" s="34" t="s">
        <v>375</v>
      </c>
      <c r="C83" s="34" t="s">
        <v>378</v>
      </c>
      <c r="D83" s="34" t="n">
        <v>5</v>
      </c>
      <c r="E83" s="36" t="s">
        <v>343</v>
      </c>
      <c r="F83" s="37" t="s">
        <v>356</v>
      </c>
      <c r="G83" s="15" t="s">
        <v>357</v>
      </c>
      <c r="H83" s="34" t="s">
        <v>187</v>
      </c>
    </row>
    <row r="84" customFormat="false" ht="45.75" hidden="false" customHeight="true" outlineLevel="0" collapsed="false">
      <c r="A84" s="34" t="n">
        <v>28</v>
      </c>
      <c r="B84" s="34" t="s">
        <v>378</v>
      </c>
      <c r="C84" s="34" t="s">
        <v>380</v>
      </c>
      <c r="D84" s="34" t="n">
        <v>50</v>
      </c>
      <c r="E84" s="43" t="s">
        <v>381</v>
      </c>
      <c r="F84" s="44" t="s">
        <v>481</v>
      </c>
      <c r="G84" s="15" t="s">
        <v>482</v>
      </c>
      <c r="H84" s="34" t="s">
        <v>134</v>
      </c>
    </row>
    <row r="85" customFormat="false" ht="45.75" hidden="false" customHeight="true" outlineLevel="0" collapsed="false">
      <c r="A85" s="34" t="n">
        <v>28</v>
      </c>
      <c r="B85" s="34" t="s">
        <v>380</v>
      </c>
      <c r="C85" s="34" t="s">
        <v>384</v>
      </c>
      <c r="D85" s="34" t="n">
        <v>15</v>
      </c>
      <c r="E85" s="38" t="s">
        <v>362</v>
      </c>
      <c r="F85" s="16" t="s">
        <v>483</v>
      </c>
      <c r="G85" s="15" t="s">
        <v>484</v>
      </c>
      <c r="H85" s="34" t="s">
        <v>134</v>
      </c>
    </row>
    <row r="86" customFormat="false" ht="45.75" hidden="false" customHeight="true" outlineLevel="0" collapsed="false">
      <c r="A86" s="34" t="n">
        <v>28</v>
      </c>
      <c r="B86" s="34" t="s">
        <v>384</v>
      </c>
      <c r="C86" s="34" t="s">
        <v>387</v>
      </c>
      <c r="D86" s="34" t="n">
        <v>10</v>
      </c>
      <c r="E86" s="38" t="s">
        <v>362</v>
      </c>
      <c r="F86" s="16" t="s">
        <v>388</v>
      </c>
      <c r="G86" s="15" t="s">
        <v>485</v>
      </c>
      <c r="H86" s="34" t="s">
        <v>134</v>
      </c>
    </row>
    <row r="87" customFormat="false" ht="15" hidden="false" customHeight="false" outlineLevel="0" collapsed="false">
      <c r="A87" s="39" t="s">
        <v>365</v>
      </c>
      <c r="B87" s="40"/>
      <c r="C87" s="40"/>
      <c r="D87" s="41" t="n">
        <f aca="false">SUM(D80:D86)</f>
        <v>135</v>
      </c>
      <c r="E87" s="40"/>
      <c r="F87" s="40"/>
      <c r="G87" s="42" t="s">
        <v>486</v>
      </c>
      <c r="H87" s="40"/>
    </row>
    <row r="89" customFormat="false" ht="21.75" hidden="false" customHeight="true" outlineLevel="0" collapsed="false">
      <c r="A89" s="32" t="s">
        <v>487</v>
      </c>
      <c r="B89" s="33"/>
      <c r="C89" s="33"/>
      <c r="D89" s="33"/>
      <c r="E89" s="33"/>
      <c r="F89" s="33"/>
      <c r="G89" s="33"/>
      <c r="H89" s="33"/>
    </row>
    <row r="90" customFormat="false" ht="45.75" hidden="false" customHeight="true" outlineLevel="0" collapsed="false">
      <c r="A90" s="34" t="n">
        <v>29</v>
      </c>
      <c r="B90" s="34" t="s">
        <v>337</v>
      </c>
      <c r="C90" s="34" t="s">
        <v>338</v>
      </c>
      <c r="D90" s="34" t="n">
        <v>5</v>
      </c>
      <c r="E90" s="35" t="s">
        <v>339</v>
      </c>
      <c r="F90" s="18" t="s">
        <v>412</v>
      </c>
      <c r="G90" s="15" t="s">
        <v>488</v>
      </c>
      <c r="H90" s="34" t="s">
        <v>126</v>
      </c>
    </row>
    <row r="91" customFormat="false" ht="45.75" hidden="false" customHeight="true" outlineLevel="0" collapsed="false">
      <c r="A91" s="34" t="n">
        <v>29</v>
      </c>
      <c r="B91" s="34" t="s">
        <v>338</v>
      </c>
      <c r="C91" s="34" t="s">
        <v>342</v>
      </c>
      <c r="D91" s="34" t="n">
        <v>15</v>
      </c>
      <c r="E91" s="36" t="s">
        <v>343</v>
      </c>
      <c r="F91" s="37" t="s">
        <v>489</v>
      </c>
      <c r="G91" s="15" t="s">
        <v>490</v>
      </c>
      <c r="H91" s="34" t="s">
        <v>103</v>
      </c>
    </row>
    <row r="92" customFormat="false" ht="45.75" hidden="false" customHeight="true" outlineLevel="0" collapsed="false">
      <c r="A92" s="34" t="n">
        <v>29</v>
      </c>
      <c r="B92" s="34" t="s">
        <v>342</v>
      </c>
      <c r="C92" s="34" t="s">
        <v>491</v>
      </c>
      <c r="D92" s="34" t="n">
        <v>30</v>
      </c>
      <c r="E92" s="36" t="s">
        <v>343</v>
      </c>
      <c r="F92" s="37" t="s">
        <v>492</v>
      </c>
      <c r="G92" s="15" t="s">
        <v>493</v>
      </c>
      <c r="H92" s="34" t="s">
        <v>103</v>
      </c>
    </row>
    <row r="93" customFormat="false" ht="45.75" hidden="false" customHeight="true" outlineLevel="0" collapsed="false">
      <c r="A93" s="34" t="n">
        <v>29</v>
      </c>
      <c r="B93" s="34" t="s">
        <v>491</v>
      </c>
      <c r="C93" s="34" t="s">
        <v>398</v>
      </c>
      <c r="D93" s="34" t="n">
        <v>15</v>
      </c>
      <c r="E93" s="36" t="s">
        <v>343</v>
      </c>
      <c r="F93" s="37" t="s">
        <v>494</v>
      </c>
      <c r="G93" s="15" t="s">
        <v>495</v>
      </c>
      <c r="H93" s="34" t="s">
        <v>134</v>
      </c>
    </row>
    <row r="94" customFormat="false" ht="45.75" hidden="false" customHeight="true" outlineLevel="0" collapsed="false">
      <c r="A94" s="34" t="n">
        <v>29</v>
      </c>
      <c r="B94" s="34" t="s">
        <v>398</v>
      </c>
      <c r="C94" s="34" t="s">
        <v>349</v>
      </c>
      <c r="D94" s="34" t="n">
        <v>5</v>
      </c>
      <c r="E94" s="36" t="s">
        <v>343</v>
      </c>
      <c r="F94" s="37" t="s">
        <v>356</v>
      </c>
      <c r="G94" s="15" t="s">
        <v>450</v>
      </c>
      <c r="H94" s="34" t="s">
        <v>187</v>
      </c>
    </row>
    <row r="95" customFormat="false" ht="45.75" hidden="false" customHeight="true" outlineLevel="0" collapsed="false">
      <c r="A95" s="34" t="n">
        <v>29</v>
      </c>
      <c r="B95" s="34" t="s">
        <v>349</v>
      </c>
      <c r="C95" s="34" t="s">
        <v>496</v>
      </c>
      <c r="D95" s="34" t="n">
        <v>50</v>
      </c>
      <c r="E95" s="43" t="s">
        <v>381</v>
      </c>
      <c r="F95" s="44" t="s">
        <v>497</v>
      </c>
      <c r="G95" s="15" t="s">
        <v>498</v>
      </c>
      <c r="H95" s="34" t="s">
        <v>252</v>
      </c>
    </row>
    <row r="96" customFormat="false" ht="45.75" hidden="false" customHeight="true" outlineLevel="0" collapsed="false">
      <c r="A96" s="34" t="n">
        <v>29</v>
      </c>
      <c r="B96" s="34" t="s">
        <v>496</v>
      </c>
      <c r="C96" s="34" t="s">
        <v>361</v>
      </c>
      <c r="D96" s="34" t="n">
        <v>15</v>
      </c>
      <c r="E96" s="38" t="s">
        <v>362</v>
      </c>
      <c r="F96" s="16" t="s">
        <v>499</v>
      </c>
      <c r="G96" s="15" t="s">
        <v>500</v>
      </c>
      <c r="H96" s="34" t="s">
        <v>501</v>
      </c>
    </row>
    <row r="97" customFormat="false" ht="15" hidden="false" customHeight="false" outlineLevel="0" collapsed="false">
      <c r="A97" s="39" t="s">
        <v>365</v>
      </c>
      <c r="B97" s="40"/>
      <c r="C97" s="40"/>
      <c r="D97" s="41" t="n">
        <f aca="false">SUM(D90:D96)</f>
        <v>135</v>
      </c>
      <c r="E97" s="40"/>
      <c r="F97" s="40"/>
      <c r="G97" s="42" t="s">
        <v>502</v>
      </c>
      <c r="H97" s="40"/>
    </row>
    <row r="99" customFormat="false" ht="21.75" hidden="false" customHeight="true" outlineLevel="0" collapsed="false">
      <c r="A99" s="32" t="s">
        <v>503</v>
      </c>
      <c r="B99" s="33"/>
      <c r="C99" s="33"/>
      <c r="D99" s="33"/>
      <c r="E99" s="33"/>
      <c r="F99" s="33"/>
      <c r="G99" s="33"/>
      <c r="H99" s="33"/>
    </row>
    <row r="100" customFormat="false" ht="45.75" hidden="false" customHeight="true" outlineLevel="0" collapsed="false">
      <c r="A100" s="34" t="n">
        <v>30</v>
      </c>
      <c r="B100" s="34" t="s">
        <v>368</v>
      </c>
      <c r="C100" s="34" t="s">
        <v>369</v>
      </c>
      <c r="D100" s="34" t="n">
        <v>5</v>
      </c>
      <c r="E100" s="35" t="s">
        <v>339</v>
      </c>
      <c r="F100" s="18" t="s">
        <v>504</v>
      </c>
      <c r="G100" s="15" t="s">
        <v>505</v>
      </c>
      <c r="H100" s="34" t="s">
        <v>187</v>
      </c>
    </row>
    <row r="101" customFormat="false" ht="45.75" hidden="false" customHeight="true" outlineLevel="0" collapsed="false">
      <c r="A101" s="34" t="n">
        <v>30</v>
      </c>
      <c r="B101" s="34" t="s">
        <v>369</v>
      </c>
      <c r="C101" s="34" t="s">
        <v>506</v>
      </c>
      <c r="D101" s="34" t="n">
        <v>90</v>
      </c>
      <c r="E101" s="45" t="s">
        <v>507</v>
      </c>
      <c r="F101" s="20" t="s">
        <v>508</v>
      </c>
      <c r="G101" s="15" t="s">
        <v>509</v>
      </c>
      <c r="H101" s="34" t="s">
        <v>510</v>
      </c>
    </row>
    <row r="102" customFormat="false" ht="45.75" hidden="false" customHeight="true" outlineLevel="0" collapsed="false">
      <c r="A102" s="34" t="n">
        <v>30</v>
      </c>
      <c r="B102" s="34" t="s">
        <v>506</v>
      </c>
      <c r="C102" s="34" t="s">
        <v>511</v>
      </c>
      <c r="D102" s="34" t="n">
        <v>5</v>
      </c>
      <c r="E102" s="36" t="s">
        <v>343</v>
      </c>
      <c r="F102" s="37" t="s">
        <v>356</v>
      </c>
      <c r="G102" s="15" t="s">
        <v>512</v>
      </c>
      <c r="H102" s="34" t="s">
        <v>187</v>
      </c>
    </row>
    <row r="103" customFormat="false" ht="45.75" hidden="false" customHeight="true" outlineLevel="0" collapsed="false">
      <c r="A103" s="34" t="n">
        <v>30</v>
      </c>
      <c r="B103" s="34" t="s">
        <v>511</v>
      </c>
      <c r="C103" s="34" t="s">
        <v>384</v>
      </c>
      <c r="D103" s="34" t="n">
        <v>25</v>
      </c>
      <c r="E103" s="38" t="s">
        <v>362</v>
      </c>
      <c r="F103" s="16" t="s">
        <v>513</v>
      </c>
      <c r="G103" s="15" t="s">
        <v>514</v>
      </c>
      <c r="H103" s="34" t="s">
        <v>515</v>
      </c>
    </row>
    <row r="104" customFormat="false" ht="45.75" hidden="false" customHeight="true" outlineLevel="0" collapsed="false">
      <c r="A104" s="34" t="n">
        <v>30</v>
      </c>
      <c r="B104" s="34" t="s">
        <v>384</v>
      </c>
      <c r="C104" s="34" t="s">
        <v>387</v>
      </c>
      <c r="D104" s="34" t="n">
        <v>10</v>
      </c>
      <c r="E104" s="38" t="s">
        <v>362</v>
      </c>
      <c r="F104" s="16" t="s">
        <v>516</v>
      </c>
      <c r="G104" s="15" t="s">
        <v>517</v>
      </c>
      <c r="H104" s="34" t="s">
        <v>518</v>
      </c>
    </row>
    <row r="105" customFormat="false" ht="15" hidden="false" customHeight="false" outlineLevel="0" collapsed="false">
      <c r="A105" s="39" t="s">
        <v>365</v>
      </c>
      <c r="B105" s="40"/>
      <c r="C105" s="40"/>
      <c r="D105" s="41" t="n">
        <f aca="false">SUM(D100:D104)</f>
        <v>135</v>
      </c>
      <c r="E105" s="40"/>
      <c r="F105" s="40"/>
      <c r="G105" s="42" t="s">
        <v>519</v>
      </c>
      <c r="H105" s="4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2026-09-01T11:31:58Z</dcterms:created>
  <dc:creator>openpyxl</dc:creator>
  <dc:description/>
  <dc:language>en-US</dc:language>
  <cp:lastModifiedBy/>
  <dcterms:modified xsi:type="dcterms:W3CDTF">2026-09-01T11:31:58Z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