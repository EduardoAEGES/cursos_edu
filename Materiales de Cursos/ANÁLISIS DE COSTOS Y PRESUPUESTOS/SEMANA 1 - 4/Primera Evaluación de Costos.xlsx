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ERIODO 2026 II\CURSOS MKT 2026 II\ANÁLISIS DE COSTOS Y PRESUPUESTOS\"/>
    </mc:Choice>
  </mc:AlternateContent>
  <xr:revisionPtr revIDLastSave="0" documentId="13_ncr:1_{38F9ADE6-AD8E-4DD3-BDC9-A3B8DAB9143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xamen" sheetId="1" r:id="rId1"/>
    <sheet name="Calificacion" sheetId="2" r:id="rId2"/>
    <sheet name="Clav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" i="2" l="1"/>
  <c r="C16" i="2"/>
  <c r="B16" i="2"/>
  <c r="D15" i="2"/>
  <c r="C15" i="2"/>
  <c r="B15" i="2"/>
  <c r="D14" i="2"/>
  <c r="C14" i="2"/>
  <c r="B14" i="2"/>
  <c r="D13" i="2"/>
  <c r="C13" i="2"/>
  <c r="B13" i="2"/>
  <c r="D12" i="2"/>
  <c r="C12" i="2"/>
  <c r="B12" i="2"/>
  <c r="D11" i="2"/>
  <c r="C11" i="2"/>
  <c r="B11" i="2"/>
  <c r="D10" i="2"/>
  <c r="C10" i="2"/>
  <c r="B10" i="2"/>
  <c r="D9" i="2"/>
  <c r="C9" i="2"/>
  <c r="B9" i="2"/>
  <c r="D8" i="2"/>
  <c r="C8" i="2"/>
  <c r="B8" i="2"/>
  <c r="D7" i="2"/>
  <c r="C7" i="2"/>
  <c r="B7" i="2"/>
  <c r="D6" i="2"/>
  <c r="C6" i="2"/>
  <c r="B6" i="2"/>
  <c r="D5" i="2"/>
  <c r="C5" i="2"/>
  <c r="B5" i="2"/>
  <c r="D17" i="2" l="1"/>
  <c r="D18" i="2" s="1"/>
  <c r="D19" i="2" l="1"/>
</calcChain>
</file>

<file path=xl/sharedStrings.xml><?xml version="1.0" encoding="utf-8"?>
<sst xmlns="http://schemas.openxmlformats.org/spreadsheetml/2006/main" count="152" uniqueCount="115">
  <si>
    <t>EXAMEN DE COSTOS  -  Opcion multiple</t>
  </si>
  <si>
    <t>Apellidos y nombres:</t>
  </si>
  <si>
    <t>Fecha:                     Seccion:</t>
  </si>
  <si>
    <t>Nota:</t>
  </si>
  <si>
    <t>INSTRUCCIONES:  Cada pregunta tiene una sola respuesta correcta. Escribe la letra (a, b, c o d) en la casilla amarilla "Tu respuesta". Cada pregunta vale 1 punto (total 12).</t>
  </si>
  <si>
    <t>1.  La panaderia "Dulce Sabor" registra en un lote de produccion: materia prima directa S/ 500, mano de obra directa S/ 300 y costos indirectos de fabricacion S/ 200. Con estos datos, el COSTO PRIMO del lote es:</t>
  </si>
  <si>
    <t>a)   S/ 800</t>
  </si>
  <si>
    <t>b)   S/ 500</t>
  </si>
  <si>
    <t>c)   S/ 1,000</t>
  </si>
  <si>
    <t>d)   S/ 700</t>
  </si>
  <si>
    <t>Tu respuesta:</t>
  </si>
  <si>
    <t>2.  Un taller de carpinteria usa en un pedido: materia prima directa S/ 600, mano de obra directa S/ 400 y costos indirectos de fabricacion S/ 350. El COSTO DE CONVERSION del pedido es:</t>
  </si>
  <si>
    <t>a)   S/ 750</t>
  </si>
  <si>
    <t>b)   S/ 1,000</t>
  </si>
  <si>
    <t>c)   S/ 950</t>
  </si>
  <si>
    <t>d)   S/ 1,350</t>
  </si>
  <si>
    <t>3.  Una fabrica de velas incurre en: materia prima directa S/ 1,200, mano de obra directa S/ 800 y costos indirectos de fabricacion S/ 500. El COSTO DE PRODUCCION es:</t>
  </si>
  <si>
    <t>a)   S/ 2,500</t>
  </si>
  <si>
    <t>b)   S/ 2,000</t>
  </si>
  <si>
    <t>c)   S/ 1,300</t>
  </si>
  <si>
    <t>d)   S/ 1,700</t>
  </si>
  <si>
    <t>4.  En un mes se producen 100 sillas con: materia prima directa S/ 1,000, mano de obra directa S/ 500 y costos indirectos de fabricacion S/ 500. El COSTO UNITARIO DE PRODUCCION de cada silla es:</t>
  </si>
  <si>
    <t>a)   S/ 20</t>
  </si>
  <si>
    <t>b)   S/ 15</t>
  </si>
  <si>
    <t>c)   S/ 10</t>
  </si>
  <si>
    <t>d)   S/ 2,000</t>
  </si>
  <si>
    <t>5.  El costo variable unitario de una botella de gaseosa es S/ 3. Si en el dia se producen 500 botellas, el COSTO VARIABLE TOTAL es:</t>
  </si>
  <si>
    <t>a)   S/ 1,500</t>
  </si>
  <si>
    <t>c)   S/ 3,000</t>
  </si>
  <si>
    <t>d)   S/ 167</t>
  </si>
  <si>
    <t>6.  Producir 200 empanadas tuvo un costo variable total de S/ 600. El COSTO VARIABLE UNITARIO de cada empanada es:</t>
  </si>
  <si>
    <t>a)   S/ 3</t>
  </si>
  <si>
    <t>b)   S/ 6</t>
  </si>
  <si>
    <t>c)   S/ 0.33</t>
  </si>
  <si>
    <t>d)   S/ 800</t>
  </si>
  <si>
    <t>7.  Un negocio tiene costos fijos de S/ 3,600 al mes (alquiler y sueldos fijos). El COSTO FIJO UNITARIO si produce 300 unidades y si produce 400 unidades, respectivamente, es:</t>
  </si>
  <si>
    <t>a)   S/ 12 y S/ 9</t>
  </si>
  <si>
    <t>b)   S/ 9 y S/ 12</t>
  </si>
  <si>
    <t>c)   S/ 12 y S/ 12</t>
  </si>
  <si>
    <t>d)   S/ 10 y S/ 8</t>
  </si>
  <si>
    <t>8.  Una empresa tiene costos fijos de S/ 2,000 y un costo variable unitario de S/ 5. Si produce 300 unidades, el COSTO TOTAL es:</t>
  </si>
  <si>
    <t>a)   S/ 3,500</t>
  </si>
  <si>
    <t>b)   S/ 1,500</t>
  </si>
  <si>
    <t>c)   S/ 2,300</t>
  </si>
  <si>
    <t>d)   S/ 7,000</t>
  </si>
  <si>
    <t>9.  Un producto tiene un costo variable unitario de S/ 8. Los costos fijos son S/ 3,000 y se producen 500 unidades. El COSTO UNITARIO TOTAL es:</t>
  </si>
  <si>
    <t>a)   S/ 14</t>
  </si>
  <si>
    <t>b)   S/ 8</t>
  </si>
  <si>
    <t>c)   S/ 6</t>
  </si>
  <si>
    <t>d)   S/ 3,008</t>
  </si>
  <si>
    <t>10.  El costo de produccion de 50 tortas es S/ 2,000. Si se aplica un recargo (markup) del 50% sobre el costo unitario, el PRECIO DE VENTA de cada torta es:</t>
  </si>
  <si>
    <t>a)   S/ 60</t>
  </si>
  <si>
    <t>b)   S/ 40</t>
  </si>
  <si>
    <t>d)   S/ 20</t>
  </si>
  <si>
    <t>11.  Una torta se vende a S/ 60 y su costo unitario es S/ 40. El MARGEN BRUTO (sobre el precio) es:</t>
  </si>
  <si>
    <t>a)   33.33%</t>
  </si>
  <si>
    <t>b)   50%</t>
  </si>
  <si>
    <t>c)   20%</t>
  </si>
  <si>
    <t>d)   66.67%</t>
  </si>
  <si>
    <t>12.  Una empresa desea un margen del 40% sobre el precio de venta. Si el costo unitario del producto es S/ 30, el PRECIO al que debe vender es:</t>
  </si>
  <si>
    <t>a)   S/ 50</t>
  </si>
  <si>
    <t>b)   S/ 42</t>
  </si>
  <si>
    <t>c)   S/ 75</t>
  </si>
  <si>
    <t>d)   S/ 12</t>
  </si>
  <si>
    <t>CALIFICACION AUTOMATICA</t>
  </si>
  <si>
    <t>Se completa sola cuando el alumno llena las casillas amarillas de la hoja "Examen".</t>
  </si>
  <si>
    <t>Pregunta</t>
  </si>
  <si>
    <t>Tu respuesta</t>
  </si>
  <si>
    <t>Resultado</t>
  </si>
  <si>
    <t>Puntos</t>
  </si>
  <si>
    <t>Pregunta 1</t>
  </si>
  <si>
    <t>Pregunta 2</t>
  </si>
  <si>
    <t>Pregunta 3</t>
  </si>
  <si>
    <t>Pregunta 4</t>
  </si>
  <si>
    <t>Pregunta 5</t>
  </si>
  <si>
    <t>Pregunta 6</t>
  </si>
  <si>
    <t>Pregunta 7</t>
  </si>
  <si>
    <t>Pregunta 8</t>
  </si>
  <si>
    <t>Pregunta 9</t>
  </si>
  <si>
    <t>Pregunta 10</t>
  </si>
  <si>
    <t>Pregunta 11</t>
  </si>
  <si>
    <t>Pregunta 12</t>
  </si>
  <si>
    <t>PUNTAJE TOTAL</t>
  </si>
  <si>
    <t>PORCENTAJE DE ACIERTO</t>
  </si>
  <si>
    <t>NOTA VIGESIMAL (0-20)</t>
  </si>
  <si>
    <t>CLAVE DE RESPUESTAS Y EXPLICACIONES  (uso del docente)</t>
  </si>
  <si>
    <t>Sugerencia: oculta o elimina esta hoja antes de entregar el archivo a los alumnos.</t>
  </si>
  <si>
    <t>Correcta</t>
  </si>
  <si>
    <t>Respuesta correcta</t>
  </si>
  <si>
    <t>Por que (formula aplicada)</t>
  </si>
  <si>
    <t>A</t>
  </si>
  <si>
    <t>S/ 800</t>
  </si>
  <si>
    <t>Costo primo = parte directa = MPD + MOD = 500 + 300 = S/ 800. El CIF no entra en el costo primo.</t>
  </si>
  <si>
    <t>S/ 750</t>
  </si>
  <si>
    <t>Conversion = lo que cuesta transformar la MP = MOD + CIF = 400 + 350 = S/ 750. La MPD no entra en la conversion.</t>
  </si>
  <si>
    <t>S/ 2,500</t>
  </si>
  <si>
    <t>Costo de produccion = MPD + MOD + CIF = 1,200 + 800 + 500 = S/ 2,500.</t>
  </si>
  <si>
    <t>S/ 20</t>
  </si>
  <si>
    <t>Primero el costo de produccion = 1,000 + 500 + 500 = 2,000. Luego CU = 2,000 / 100 unidades = S/ 20.</t>
  </si>
  <si>
    <t>S/ 1,500</t>
  </si>
  <si>
    <t>Costo variable total = CVU x Q = 3 x 500 = S/ 1,500. Crece en proporcion al volumen.</t>
  </si>
  <si>
    <t>S/ 3</t>
  </si>
  <si>
    <t>Costo variable unitario = CV / Q = 600 / 200 = S/ 3. Se mantiene constante por unidad.</t>
  </si>
  <si>
    <t>S/ 12 y S/ 9</t>
  </si>
  <si>
    <t>CFU = CF / Q. Con 300: 3,600/300 = S/ 12; con 400: 3,600/400 = S/ 9. El costo fijo unitario BAJA cuando sube el volumen.</t>
  </si>
  <si>
    <t>S/ 3,500</t>
  </si>
  <si>
    <t>Costo total = CF + CVU x Q = 2,000 + (5 x 300) = 2,000 + 1,500 = S/ 3,500.</t>
  </si>
  <si>
    <t>S/ 14</t>
  </si>
  <si>
    <t>Primero el costo fijo unitario = 3,000/500 = 6. Costo unitario total = CVU + CFU = 8 + 6 = S/ 14.</t>
  </si>
  <si>
    <t>S/ 60</t>
  </si>
  <si>
    <t>Costo unitario = 2,000/50 = 40. Precio = CU x (1 + r) = 40 x 1.50 = S/ 60.</t>
  </si>
  <si>
    <t>33.33%</t>
  </si>
  <si>
    <t>Margen bruto = (Precio - CU) / Precio = (60 - 40)/60 = 20/60 = 33.33%. Ojo: se calcula SOBRE el precio, no sobre el costo.</t>
  </si>
  <si>
    <t>S/ 50</t>
  </si>
  <si>
    <t>Cuando se fija primero el margen: Precio = CU / (1 - m) = 30 / (1 - 0.40) = 30 / 0.60 = S/ 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</si>
</sst>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1F3864"/>
      <name val="Arial"/>
      <family val="2"/>
    </font>
    <font>
      <sz val="9.5"/>
      <color rgb="FF000000"/>
      <name val="Arial"/>
      <family val="2"/>
    </font>
    <font>
      <sz val="10"/>
      <color rgb="FF000000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1"/>
      <color rgb="FF1F3864"/>
      <name val="Arial"/>
      <family val="2"/>
    </font>
    <font>
      <i/>
      <sz val="9"/>
      <color rgb="FFC00000"/>
      <name val="Arial"/>
      <family val="2"/>
    </font>
    <font>
      <b/>
      <sz val="10"/>
      <color rgb="FF375623"/>
      <name val="Arial"/>
      <family val="2"/>
    </font>
    <font>
      <b/>
      <sz val="10"/>
      <color rgb="FF1F3864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BF8F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2E5496"/>
      </patternFill>
    </fill>
    <fill>
      <patternFill patternType="solid">
        <fgColor rgb="FFF2F2F2"/>
        <bgColor rgb="FFE2EFDA"/>
      </patternFill>
    </fill>
    <fill>
      <patternFill patternType="solid">
        <fgColor rgb="FFDCE6F1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1F3864"/>
      </patternFill>
    </fill>
    <fill>
      <patternFill patternType="solid">
        <fgColor rgb="FFE2EFDA"/>
        <bgColor rgb="FFDCE6F1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0" fillId="0" borderId="0" xfId="0" applyFont="1" applyBorder="1"/>
    <xf numFmtId="0" fontId="3" fillId="7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left" vertical="center"/>
    </xf>
    <xf numFmtId="0" fontId="2" fillId="0" borderId="0" xfId="0" applyFont="1" applyBorder="1"/>
    <xf numFmtId="0" fontId="5" fillId="0" borderId="1" xfId="0" applyFont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1" fontId="9" fillId="7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2" fillId="0" borderId="1" xfId="0" applyFont="1" applyBorder="1"/>
    <xf numFmtId="0" fontId="12" fillId="3" borderId="1" xfId="0" applyFont="1" applyFill="1" applyBorder="1"/>
    <xf numFmtId="0" fontId="13" fillId="0" borderId="1" xfId="0" applyFont="1" applyBorder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2" fillId="0" borderId="0" xfId="0" applyFont="1" applyBorder="1" applyAlignment="1">
      <alignment horizontal="left" vertical="center"/>
    </xf>
    <xf numFmtId="0" fontId="15" fillId="0" borderId="0" xfId="0" applyFont="1"/>
    <xf numFmtId="0" fontId="15" fillId="3" borderId="1" xfId="0" applyFont="1" applyFill="1" applyBorder="1"/>
    <xf numFmtId="0" fontId="13" fillId="4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top" wrapText="1"/>
    </xf>
    <xf numFmtId="0" fontId="15" fillId="0" borderId="1" xfId="0" applyFont="1" applyBorder="1"/>
    <xf numFmtId="0" fontId="14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"/>
  <sheetViews>
    <sheetView showGridLines="0" tabSelected="1" topLeftCell="A12" zoomScaleNormal="100" workbookViewId="0">
      <selection activeCell="B22" sqref="B22:G22"/>
    </sheetView>
  </sheetViews>
  <sheetFormatPr baseColWidth="10" defaultColWidth="8.6640625" defaultRowHeight="13.8" x14ac:dyDescent="0.3"/>
  <cols>
    <col min="1" max="1" width="5" style="21" customWidth="1"/>
    <col min="2" max="2" width="16" style="21" customWidth="1"/>
    <col min="3" max="7" width="13" style="21" customWidth="1"/>
    <col min="8" max="16384" width="8.6640625" style="21"/>
  </cols>
  <sheetData>
    <row r="1" spans="1:7" ht="25.5" customHeight="1" x14ac:dyDescent="0.3">
      <c r="A1" s="20" t="s">
        <v>0</v>
      </c>
      <c r="B1" s="20"/>
      <c r="C1" s="20"/>
      <c r="D1" s="20"/>
      <c r="E1" s="20"/>
      <c r="F1" s="20"/>
      <c r="G1" s="20"/>
    </row>
    <row r="2" spans="1:7" ht="19.5" customHeight="1" x14ac:dyDescent="0.3">
      <c r="A2" s="16" t="s">
        <v>1</v>
      </c>
      <c r="B2" s="16"/>
      <c r="C2" s="16"/>
      <c r="D2" s="22"/>
      <c r="E2" s="22"/>
      <c r="F2" s="22"/>
      <c r="G2" s="22"/>
    </row>
    <row r="3" spans="1:7" ht="19.5" customHeight="1" x14ac:dyDescent="0.3">
      <c r="A3" s="16" t="s">
        <v>2</v>
      </c>
      <c r="B3" s="16"/>
      <c r="C3" s="16"/>
      <c r="D3" s="17" t="s">
        <v>3</v>
      </c>
      <c r="E3" s="17"/>
      <c r="F3" s="17"/>
      <c r="G3" s="17"/>
    </row>
    <row r="5" spans="1:7" ht="33.75" customHeight="1" x14ac:dyDescent="0.3">
      <c r="A5" s="23" t="s">
        <v>4</v>
      </c>
      <c r="B5" s="23"/>
      <c r="C5" s="23"/>
      <c r="D5" s="23"/>
      <c r="E5" s="23"/>
      <c r="F5" s="23"/>
      <c r="G5" s="23"/>
    </row>
    <row r="7" spans="1:7" ht="60" customHeight="1" x14ac:dyDescent="0.3">
      <c r="A7" s="24" t="s">
        <v>5</v>
      </c>
      <c r="B7" s="24"/>
      <c r="C7" s="24"/>
      <c r="D7" s="24"/>
      <c r="E7" s="24"/>
      <c r="F7" s="24"/>
      <c r="G7" s="24"/>
    </row>
    <row r="8" spans="1:7" ht="15.75" customHeight="1" x14ac:dyDescent="0.3">
      <c r="A8" s="25"/>
      <c r="B8" s="18" t="s">
        <v>6</v>
      </c>
      <c r="C8" s="18"/>
      <c r="D8" s="18"/>
      <c r="E8" s="18"/>
      <c r="F8" s="18"/>
      <c r="G8" s="18"/>
    </row>
    <row r="9" spans="1:7" ht="15.75" customHeight="1" x14ac:dyDescent="0.3">
      <c r="A9" s="25"/>
      <c r="B9" s="18" t="s">
        <v>7</v>
      </c>
      <c r="C9" s="18"/>
      <c r="D9" s="18"/>
      <c r="E9" s="18"/>
      <c r="F9" s="18"/>
      <c r="G9" s="18"/>
    </row>
    <row r="10" spans="1:7" ht="15.75" customHeight="1" x14ac:dyDescent="0.3">
      <c r="A10" s="25"/>
      <c r="B10" s="18" t="s">
        <v>8</v>
      </c>
      <c r="C10" s="18"/>
      <c r="D10" s="18"/>
      <c r="E10" s="18"/>
      <c r="F10" s="18"/>
      <c r="G10" s="18"/>
    </row>
    <row r="11" spans="1:7" ht="15.75" customHeight="1" x14ac:dyDescent="0.3">
      <c r="A11" s="25"/>
      <c r="B11" s="18" t="s">
        <v>9</v>
      </c>
      <c r="C11" s="18"/>
      <c r="D11" s="18"/>
      <c r="E11" s="18"/>
      <c r="F11" s="18"/>
      <c r="G11" s="18"/>
    </row>
    <row r="12" spans="1:7" ht="19.5" customHeight="1" x14ac:dyDescent="0.3">
      <c r="A12" s="25"/>
      <c r="B12" s="19" t="s">
        <v>10</v>
      </c>
      <c r="C12" s="26"/>
    </row>
    <row r="14" spans="1:7" ht="45" customHeight="1" x14ac:dyDescent="0.3">
      <c r="A14" s="24" t="s">
        <v>11</v>
      </c>
      <c r="B14" s="24"/>
      <c r="C14" s="24"/>
      <c r="D14" s="24"/>
      <c r="E14" s="24"/>
      <c r="F14" s="24"/>
      <c r="G14" s="24"/>
    </row>
    <row r="15" spans="1:7" ht="15.75" customHeight="1" x14ac:dyDescent="0.3">
      <c r="A15" s="25"/>
      <c r="B15" s="18" t="s">
        <v>12</v>
      </c>
      <c r="C15" s="18"/>
      <c r="D15" s="18"/>
      <c r="E15" s="18"/>
      <c r="F15" s="18"/>
      <c r="G15" s="18"/>
    </row>
    <row r="16" spans="1:7" ht="15.75" customHeight="1" x14ac:dyDescent="0.3">
      <c r="A16" s="25"/>
      <c r="B16" s="18" t="s">
        <v>13</v>
      </c>
      <c r="C16" s="18"/>
      <c r="D16" s="18"/>
      <c r="E16" s="18"/>
      <c r="F16" s="18"/>
      <c r="G16" s="18"/>
    </row>
    <row r="17" spans="1:7" ht="15.75" customHeight="1" x14ac:dyDescent="0.3">
      <c r="A17" s="25"/>
      <c r="B17" s="18" t="s">
        <v>14</v>
      </c>
      <c r="C17" s="18"/>
      <c r="D17" s="18"/>
      <c r="E17" s="18"/>
      <c r="F17" s="18"/>
      <c r="G17" s="18"/>
    </row>
    <row r="18" spans="1:7" ht="15.75" customHeight="1" x14ac:dyDescent="0.3">
      <c r="A18" s="25"/>
      <c r="B18" s="18" t="s">
        <v>15</v>
      </c>
      <c r="C18" s="18"/>
      <c r="D18" s="18"/>
      <c r="E18" s="18"/>
      <c r="F18" s="18"/>
      <c r="G18" s="18"/>
    </row>
    <row r="19" spans="1:7" ht="19.5" customHeight="1" x14ac:dyDescent="0.3">
      <c r="A19" s="25"/>
      <c r="B19" s="19" t="s">
        <v>10</v>
      </c>
      <c r="C19" s="26"/>
    </row>
    <row r="21" spans="1:7" ht="45" customHeight="1" x14ac:dyDescent="0.3">
      <c r="A21" s="24" t="s">
        <v>16</v>
      </c>
      <c r="B21" s="24"/>
      <c r="C21" s="24"/>
      <c r="D21" s="24"/>
      <c r="E21" s="24"/>
      <c r="F21" s="24"/>
      <c r="G21" s="24"/>
    </row>
    <row r="22" spans="1:7" ht="15.75" customHeight="1" x14ac:dyDescent="0.3">
      <c r="A22" s="25"/>
      <c r="B22" s="18" t="s">
        <v>17</v>
      </c>
      <c r="C22" s="18"/>
      <c r="D22" s="18"/>
      <c r="E22" s="18"/>
      <c r="F22" s="18"/>
      <c r="G22" s="18"/>
    </row>
    <row r="23" spans="1:7" ht="15.75" customHeight="1" x14ac:dyDescent="0.3">
      <c r="A23" s="25"/>
      <c r="B23" s="18" t="s">
        <v>18</v>
      </c>
      <c r="C23" s="18"/>
      <c r="D23" s="18"/>
      <c r="E23" s="18"/>
      <c r="F23" s="18"/>
      <c r="G23" s="18"/>
    </row>
    <row r="24" spans="1:7" ht="15.75" customHeight="1" x14ac:dyDescent="0.3">
      <c r="A24" s="25"/>
      <c r="B24" s="18" t="s">
        <v>19</v>
      </c>
      <c r="C24" s="18"/>
      <c r="D24" s="18"/>
      <c r="E24" s="18"/>
      <c r="F24" s="18"/>
      <c r="G24" s="18"/>
    </row>
    <row r="25" spans="1:7" ht="15.75" customHeight="1" x14ac:dyDescent="0.3">
      <c r="A25" s="25"/>
      <c r="B25" s="18" t="s">
        <v>20</v>
      </c>
      <c r="C25" s="18"/>
      <c r="D25" s="18"/>
      <c r="E25" s="18"/>
      <c r="F25" s="18"/>
      <c r="G25" s="18"/>
    </row>
    <row r="26" spans="1:7" ht="19.5" customHeight="1" x14ac:dyDescent="0.3">
      <c r="A26" s="25"/>
      <c r="B26" s="19" t="s">
        <v>10</v>
      </c>
      <c r="C26" s="26"/>
    </row>
    <row r="28" spans="1:7" ht="60" customHeight="1" x14ac:dyDescent="0.3">
      <c r="A28" s="24" t="s">
        <v>21</v>
      </c>
      <c r="B28" s="24"/>
      <c r="C28" s="24"/>
      <c r="D28" s="24"/>
      <c r="E28" s="24"/>
      <c r="F28" s="24"/>
      <c r="G28" s="24"/>
    </row>
    <row r="29" spans="1:7" ht="15.75" customHeight="1" x14ac:dyDescent="0.3">
      <c r="A29" s="25"/>
      <c r="B29" s="18" t="s">
        <v>22</v>
      </c>
      <c r="C29" s="18"/>
      <c r="D29" s="18"/>
      <c r="E29" s="18"/>
      <c r="F29" s="18"/>
      <c r="G29" s="18"/>
    </row>
    <row r="30" spans="1:7" ht="15.75" customHeight="1" x14ac:dyDescent="0.3">
      <c r="A30" s="25"/>
      <c r="B30" s="18" t="s">
        <v>23</v>
      </c>
      <c r="C30" s="18"/>
      <c r="D30" s="18"/>
      <c r="E30" s="18"/>
      <c r="F30" s="18"/>
      <c r="G30" s="18"/>
    </row>
    <row r="31" spans="1:7" ht="15.75" customHeight="1" x14ac:dyDescent="0.3">
      <c r="A31" s="25"/>
      <c r="B31" s="18" t="s">
        <v>24</v>
      </c>
      <c r="C31" s="18"/>
      <c r="D31" s="18"/>
      <c r="E31" s="18"/>
      <c r="F31" s="18"/>
      <c r="G31" s="18"/>
    </row>
    <row r="32" spans="1:7" ht="15.75" customHeight="1" x14ac:dyDescent="0.3">
      <c r="A32" s="25"/>
      <c r="B32" s="18" t="s">
        <v>25</v>
      </c>
      <c r="C32" s="18"/>
      <c r="D32" s="18"/>
      <c r="E32" s="18"/>
      <c r="F32" s="18"/>
      <c r="G32" s="18"/>
    </row>
    <row r="33" spans="1:7" ht="19.5" customHeight="1" x14ac:dyDescent="0.3">
      <c r="A33" s="25"/>
      <c r="B33" s="19" t="s">
        <v>10</v>
      </c>
      <c r="C33" s="26"/>
    </row>
    <row r="35" spans="1:7" ht="45" customHeight="1" x14ac:dyDescent="0.3">
      <c r="A35" s="24" t="s">
        <v>26</v>
      </c>
      <c r="B35" s="24"/>
      <c r="C35" s="24"/>
      <c r="D35" s="24"/>
      <c r="E35" s="24"/>
      <c r="F35" s="24"/>
      <c r="G35" s="24"/>
    </row>
    <row r="36" spans="1:7" ht="15.75" customHeight="1" x14ac:dyDescent="0.3">
      <c r="A36" s="25"/>
      <c r="B36" s="18" t="s">
        <v>27</v>
      </c>
      <c r="C36" s="18"/>
      <c r="D36" s="18"/>
      <c r="E36" s="18"/>
      <c r="F36" s="18"/>
      <c r="G36" s="18"/>
    </row>
    <row r="37" spans="1:7" ht="15.75" customHeight="1" x14ac:dyDescent="0.3">
      <c r="A37" s="25"/>
      <c r="B37" s="18" t="s">
        <v>7</v>
      </c>
      <c r="C37" s="18"/>
      <c r="D37" s="18"/>
      <c r="E37" s="18"/>
      <c r="F37" s="18"/>
      <c r="G37" s="18"/>
    </row>
    <row r="38" spans="1:7" ht="15.75" customHeight="1" x14ac:dyDescent="0.3">
      <c r="A38" s="25"/>
      <c r="B38" s="18" t="s">
        <v>28</v>
      </c>
      <c r="C38" s="18"/>
      <c r="D38" s="18"/>
      <c r="E38" s="18"/>
      <c r="F38" s="18"/>
      <c r="G38" s="18"/>
    </row>
    <row r="39" spans="1:7" ht="15.75" customHeight="1" x14ac:dyDescent="0.3">
      <c r="A39" s="25"/>
      <c r="B39" s="18" t="s">
        <v>29</v>
      </c>
      <c r="C39" s="18"/>
      <c r="D39" s="18"/>
      <c r="E39" s="18"/>
      <c r="F39" s="18"/>
      <c r="G39" s="18"/>
    </row>
    <row r="40" spans="1:7" ht="19.5" customHeight="1" x14ac:dyDescent="0.3">
      <c r="A40" s="25"/>
      <c r="B40" s="19" t="s">
        <v>10</v>
      </c>
      <c r="C40" s="26"/>
    </row>
    <row r="42" spans="1:7" ht="30" customHeight="1" x14ac:dyDescent="0.3">
      <c r="A42" s="24" t="s">
        <v>30</v>
      </c>
      <c r="B42" s="24"/>
      <c r="C42" s="24"/>
      <c r="D42" s="24"/>
      <c r="E42" s="24"/>
      <c r="F42" s="24"/>
      <c r="G42" s="24"/>
    </row>
    <row r="43" spans="1:7" ht="15.75" customHeight="1" x14ac:dyDescent="0.3">
      <c r="A43" s="25"/>
      <c r="B43" s="18" t="s">
        <v>31</v>
      </c>
      <c r="C43" s="18"/>
      <c r="D43" s="18"/>
      <c r="E43" s="18"/>
      <c r="F43" s="18"/>
      <c r="G43" s="18"/>
    </row>
    <row r="44" spans="1:7" ht="15.75" customHeight="1" x14ac:dyDescent="0.3">
      <c r="A44" s="25"/>
      <c r="B44" s="18" t="s">
        <v>32</v>
      </c>
      <c r="C44" s="18"/>
      <c r="D44" s="18"/>
      <c r="E44" s="18"/>
      <c r="F44" s="18"/>
      <c r="G44" s="18"/>
    </row>
    <row r="45" spans="1:7" ht="15.75" customHeight="1" x14ac:dyDescent="0.3">
      <c r="A45" s="25"/>
      <c r="B45" s="18" t="s">
        <v>33</v>
      </c>
      <c r="C45" s="18"/>
      <c r="D45" s="18"/>
      <c r="E45" s="18"/>
      <c r="F45" s="18"/>
      <c r="G45" s="18"/>
    </row>
    <row r="46" spans="1:7" ht="15.75" customHeight="1" x14ac:dyDescent="0.3">
      <c r="A46" s="25"/>
      <c r="B46" s="18" t="s">
        <v>34</v>
      </c>
      <c r="C46" s="18"/>
      <c r="D46" s="18"/>
      <c r="E46" s="18"/>
      <c r="F46" s="18"/>
      <c r="G46" s="18"/>
    </row>
    <row r="47" spans="1:7" ht="19.5" customHeight="1" x14ac:dyDescent="0.3">
      <c r="A47" s="25"/>
      <c r="B47" s="19" t="s">
        <v>10</v>
      </c>
      <c r="C47" s="26"/>
    </row>
    <row r="49" spans="1:7" ht="45" customHeight="1" x14ac:dyDescent="0.3">
      <c r="A49" s="24" t="s">
        <v>35</v>
      </c>
      <c r="B49" s="24"/>
      <c r="C49" s="24"/>
      <c r="D49" s="24"/>
      <c r="E49" s="24"/>
      <c r="F49" s="24"/>
      <c r="G49" s="24"/>
    </row>
    <row r="50" spans="1:7" ht="15.75" customHeight="1" x14ac:dyDescent="0.3">
      <c r="A50" s="25"/>
      <c r="B50" s="18" t="s">
        <v>36</v>
      </c>
      <c r="C50" s="18"/>
      <c r="D50" s="18"/>
      <c r="E50" s="18"/>
      <c r="F50" s="18"/>
      <c r="G50" s="18"/>
    </row>
    <row r="51" spans="1:7" ht="15.75" customHeight="1" x14ac:dyDescent="0.3">
      <c r="A51" s="25"/>
      <c r="B51" s="18" t="s">
        <v>37</v>
      </c>
      <c r="C51" s="18"/>
      <c r="D51" s="18"/>
      <c r="E51" s="18"/>
      <c r="F51" s="18"/>
      <c r="G51" s="18"/>
    </row>
    <row r="52" spans="1:7" ht="15.75" customHeight="1" x14ac:dyDescent="0.3">
      <c r="A52" s="25"/>
      <c r="B52" s="18" t="s">
        <v>38</v>
      </c>
      <c r="C52" s="18"/>
      <c r="D52" s="18"/>
      <c r="E52" s="18"/>
      <c r="F52" s="18"/>
      <c r="G52" s="18"/>
    </row>
    <row r="53" spans="1:7" ht="15.75" customHeight="1" x14ac:dyDescent="0.3">
      <c r="A53" s="25"/>
      <c r="B53" s="18" t="s">
        <v>39</v>
      </c>
      <c r="C53" s="18"/>
      <c r="D53" s="18"/>
      <c r="E53" s="18"/>
      <c r="F53" s="18"/>
      <c r="G53" s="18"/>
    </row>
    <row r="54" spans="1:7" ht="19.5" customHeight="1" x14ac:dyDescent="0.3">
      <c r="A54" s="25"/>
      <c r="B54" s="19" t="s">
        <v>10</v>
      </c>
      <c r="C54" s="26"/>
    </row>
    <row r="56" spans="1:7" ht="45" customHeight="1" x14ac:dyDescent="0.3">
      <c r="A56" s="24" t="s">
        <v>40</v>
      </c>
      <c r="B56" s="24"/>
      <c r="C56" s="24"/>
      <c r="D56" s="24"/>
      <c r="E56" s="24"/>
      <c r="F56" s="24"/>
      <c r="G56" s="24"/>
    </row>
    <row r="57" spans="1:7" ht="15.75" customHeight="1" x14ac:dyDescent="0.3">
      <c r="A57" s="25"/>
      <c r="B57" s="18" t="s">
        <v>41</v>
      </c>
      <c r="C57" s="18"/>
      <c r="D57" s="18"/>
      <c r="E57" s="18"/>
      <c r="F57" s="18"/>
      <c r="G57" s="18"/>
    </row>
    <row r="58" spans="1:7" ht="15.75" customHeight="1" x14ac:dyDescent="0.3">
      <c r="A58" s="25"/>
      <c r="B58" s="18" t="s">
        <v>42</v>
      </c>
      <c r="C58" s="18"/>
      <c r="D58" s="18"/>
      <c r="E58" s="18"/>
      <c r="F58" s="18"/>
      <c r="G58" s="18"/>
    </row>
    <row r="59" spans="1:7" ht="15.75" customHeight="1" x14ac:dyDescent="0.3">
      <c r="A59" s="25"/>
      <c r="B59" s="18" t="s">
        <v>43</v>
      </c>
      <c r="C59" s="18"/>
      <c r="D59" s="18"/>
      <c r="E59" s="18"/>
      <c r="F59" s="18"/>
      <c r="G59" s="18"/>
    </row>
    <row r="60" spans="1:7" ht="15.75" customHeight="1" x14ac:dyDescent="0.3">
      <c r="A60" s="25"/>
      <c r="B60" s="18" t="s">
        <v>44</v>
      </c>
      <c r="C60" s="18"/>
      <c r="D60" s="18"/>
      <c r="E60" s="18"/>
      <c r="F60" s="18"/>
      <c r="G60" s="18"/>
    </row>
    <row r="61" spans="1:7" ht="19.5" customHeight="1" x14ac:dyDescent="0.3">
      <c r="A61" s="25"/>
      <c r="B61" s="19" t="s">
        <v>10</v>
      </c>
      <c r="C61" s="26"/>
    </row>
    <row r="63" spans="1:7" ht="45" customHeight="1" x14ac:dyDescent="0.3">
      <c r="A63" s="24" t="s">
        <v>45</v>
      </c>
      <c r="B63" s="24"/>
      <c r="C63" s="24"/>
      <c r="D63" s="24"/>
      <c r="E63" s="24"/>
      <c r="F63" s="24"/>
      <c r="G63" s="24"/>
    </row>
    <row r="64" spans="1:7" ht="15.75" customHeight="1" x14ac:dyDescent="0.3">
      <c r="A64" s="25"/>
      <c r="B64" s="18" t="s">
        <v>46</v>
      </c>
      <c r="C64" s="18"/>
      <c r="D64" s="18"/>
      <c r="E64" s="18"/>
      <c r="F64" s="18"/>
      <c r="G64" s="18"/>
    </row>
    <row r="65" spans="1:7" ht="15.75" customHeight="1" x14ac:dyDescent="0.3">
      <c r="A65" s="25"/>
      <c r="B65" s="18" t="s">
        <v>47</v>
      </c>
      <c r="C65" s="18"/>
      <c r="D65" s="18"/>
      <c r="E65" s="18"/>
      <c r="F65" s="18"/>
      <c r="G65" s="18"/>
    </row>
    <row r="66" spans="1:7" ht="15.75" customHeight="1" x14ac:dyDescent="0.3">
      <c r="A66" s="25"/>
      <c r="B66" s="18" t="s">
        <v>48</v>
      </c>
      <c r="C66" s="18"/>
      <c r="D66" s="18"/>
      <c r="E66" s="18"/>
      <c r="F66" s="18"/>
      <c r="G66" s="18"/>
    </row>
    <row r="67" spans="1:7" ht="15.75" customHeight="1" x14ac:dyDescent="0.3">
      <c r="A67" s="25"/>
      <c r="B67" s="18" t="s">
        <v>49</v>
      </c>
      <c r="C67" s="18"/>
      <c r="D67" s="18"/>
      <c r="E67" s="18"/>
      <c r="F67" s="18"/>
      <c r="G67" s="18"/>
    </row>
    <row r="68" spans="1:7" ht="19.5" customHeight="1" x14ac:dyDescent="0.3">
      <c r="A68" s="25"/>
      <c r="B68" s="19" t="s">
        <v>10</v>
      </c>
      <c r="C68" s="26"/>
    </row>
    <row r="70" spans="1:7" ht="45" customHeight="1" x14ac:dyDescent="0.3">
      <c r="A70" s="24" t="s">
        <v>50</v>
      </c>
      <c r="B70" s="24"/>
      <c r="C70" s="24"/>
      <c r="D70" s="24"/>
      <c r="E70" s="24"/>
      <c r="F70" s="24"/>
      <c r="G70" s="24"/>
    </row>
    <row r="71" spans="1:7" ht="15.75" customHeight="1" x14ac:dyDescent="0.3">
      <c r="A71" s="25"/>
      <c r="B71" s="18" t="s">
        <v>51</v>
      </c>
      <c r="C71" s="18"/>
      <c r="D71" s="18"/>
      <c r="E71" s="18"/>
      <c r="F71" s="18"/>
      <c r="G71" s="18"/>
    </row>
    <row r="72" spans="1:7" ht="15.75" customHeight="1" x14ac:dyDescent="0.3">
      <c r="A72" s="25"/>
      <c r="B72" s="18" t="s">
        <v>52</v>
      </c>
      <c r="C72" s="18"/>
      <c r="D72" s="18"/>
      <c r="E72" s="18"/>
      <c r="F72" s="18"/>
      <c r="G72" s="18"/>
    </row>
    <row r="73" spans="1:7" ht="15.75" customHeight="1" x14ac:dyDescent="0.3">
      <c r="A73" s="25"/>
      <c r="B73" s="18" t="s">
        <v>28</v>
      </c>
      <c r="C73" s="18"/>
      <c r="D73" s="18"/>
      <c r="E73" s="18"/>
      <c r="F73" s="18"/>
      <c r="G73" s="18"/>
    </row>
    <row r="74" spans="1:7" ht="15.75" customHeight="1" x14ac:dyDescent="0.3">
      <c r="A74" s="25"/>
      <c r="B74" s="18" t="s">
        <v>53</v>
      </c>
      <c r="C74" s="18"/>
      <c r="D74" s="18"/>
      <c r="E74" s="18"/>
      <c r="F74" s="18"/>
      <c r="G74" s="18"/>
    </row>
    <row r="75" spans="1:7" ht="19.5" customHeight="1" x14ac:dyDescent="0.3">
      <c r="A75" s="25"/>
      <c r="B75" s="19" t="s">
        <v>10</v>
      </c>
      <c r="C75" s="26"/>
    </row>
    <row r="77" spans="1:7" ht="30" customHeight="1" x14ac:dyDescent="0.3">
      <c r="A77" s="24" t="s">
        <v>54</v>
      </c>
      <c r="B77" s="24"/>
      <c r="C77" s="24"/>
      <c r="D77" s="24"/>
      <c r="E77" s="24"/>
      <c r="F77" s="24"/>
      <c r="G77" s="24"/>
    </row>
    <row r="78" spans="1:7" ht="15.75" customHeight="1" x14ac:dyDescent="0.3">
      <c r="A78" s="25"/>
      <c r="B78" s="18" t="s">
        <v>55</v>
      </c>
      <c r="C78" s="18"/>
      <c r="D78" s="18"/>
      <c r="E78" s="18"/>
      <c r="F78" s="18"/>
      <c r="G78" s="18"/>
    </row>
    <row r="79" spans="1:7" ht="15.75" customHeight="1" x14ac:dyDescent="0.3">
      <c r="A79" s="25"/>
      <c r="B79" s="18" t="s">
        <v>56</v>
      </c>
      <c r="C79" s="18"/>
      <c r="D79" s="18"/>
      <c r="E79" s="18"/>
      <c r="F79" s="18"/>
      <c r="G79" s="18"/>
    </row>
    <row r="80" spans="1:7" ht="15.75" customHeight="1" x14ac:dyDescent="0.3">
      <c r="A80" s="25"/>
      <c r="B80" s="18" t="s">
        <v>57</v>
      </c>
      <c r="C80" s="18"/>
      <c r="D80" s="18"/>
      <c r="E80" s="18"/>
      <c r="F80" s="18"/>
      <c r="G80" s="18"/>
    </row>
    <row r="81" spans="1:7" ht="15.75" customHeight="1" x14ac:dyDescent="0.3">
      <c r="A81" s="25"/>
      <c r="B81" s="18" t="s">
        <v>58</v>
      </c>
      <c r="C81" s="18"/>
      <c r="D81" s="18"/>
      <c r="E81" s="18"/>
      <c r="F81" s="18"/>
      <c r="G81" s="18"/>
    </row>
    <row r="82" spans="1:7" ht="19.5" customHeight="1" x14ac:dyDescent="0.3">
      <c r="A82" s="25"/>
      <c r="B82" s="19" t="s">
        <v>10</v>
      </c>
      <c r="C82" s="26"/>
    </row>
    <row r="84" spans="1:7" ht="45" customHeight="1" x14ac:dyDescent="0.3">
      <c r="A84" s="24" t="s">
        <v>59</v>
      </c>
      <c r="B84" s="24"/>
      <c r="C84" s="24"/>
      <c r="D84" s="24"/>
      <c r="E84" s="24"/>
      <c r="F84" s="24"/>
      <c r="G84" s="24"/>
    </row>
    <row r="85" spans="1:7" ht="15.75" customHeight="1" x14ac:dyDescent="0.3">
      <c r="A85" s="25"/>
      <c r="B85" s="18" t="s">
        <v>60</v>
      </c>
      <c r="C85" s="18"/>
      <c r="D85" s="18"/>
      <c r="E85" s="18"/>
      <c r="F85" s="18"/>
      <c r="G85" s="18"/>
    </row>
    <row r="86" spans="1:7" ht="15.75" customHeight="1" x14ac:dyDescent="0.3">
      <c r="A86" s="25"/>
      <c r="B86" s="18" t="s">
        <v>61</v>
      </c>
      <c r="C86" s="18"/>
      <c r="D86" s="18"/>
      <c r="E86" s="18"/>
      <c r="F86" s="18"/>
      <c r="G86" s="18"/>
    </row>
    <row r="87" spans="1:7" ht="15.75" customHeight="1" x14ac:dyDescent="0.3">
      <c r="A87" s="25"/>
      <c r="B87" s="18" t="s">
        <v>62</v>
      </c>
      <c r="C87" s="18"/>
      <c r="D87" s="18"/>
      <c r="E87" s="18"/>
      <c r="F87" s="18"/>
      <c r="G87" s="18"/>
    </row>
    <row r="88" spans="1:7" ht="15.75" customHeight="1" x14ac:dyDescent="0.3">
      <c r="A88" s="25"/>
      <c r="B88" s="18" t="s">
        <v>63</v>
      </c>
      <c r="C88" s="18"/>
      <c r="D88" s="18"/>
      <c r="E88" s="18"/>
      <c r="F88" s="18"/>
      <c r="G88" s="18"/>
    </row>
    <row r="89" spans="1:7" ht="19.5" customHeight="1" x14ac:dyDescent="0.3">
      <c r="A89" s="25"/>
      <c r="B89" s="19" t="s">
        <v>10</v>
      </c>
      <c r="C89" s="26"/>
    </row>
  </sheetData>
  <mergeCells count="66">
    <mergeCell ref="B86:G86"/>
    <mergeCell ref="B87:G87"/>
    <mergeCell ref="B88:G88"/>
    <mergeCell ref="B79:G79"/>
    <mergeCell ref="B80:G80"/>
    <mergeCell ref="B81:G81"/>
    <mergeCell ref="A84:G84"/>
    <mergeCell ref="B85:G85"/>
    <mergeCell ref="B72:G72"/>
    <mergeCell ref="B73:G73"/>
    <mergeCell ref="B74:G74"/>
    <mergeCell ref="A77:G77"/>
    <mergeCell ref="B78:G78"/>
    <mergeCell ref="B65:G65"/>
    <mergeCell ref="B66:G66"/>
    <mergeCell ref="B67:G67"/>
    <mergeCell ref="A70:G70"/>
    <mergeCell ref="B71:G71"/>
    <mergeCell ref="B58:G58"/>
    <mergeCell ref="B59:G59"/>
    <mergeCell ref="B60:G60"/>
    <mergeCell ref="A63:G63"/>
    <mergeCell ref="B64:G64"/>
    <mergeCell ref="B51:G51"/>
    <mergeCell ref="B52:G52"/>
    <mergeCell ref="B53:G53"/>
    <mergeCell ref="A56:G56"/>
    <mergeCell ref="B57:G57"/>
    <mergeCell ref="B44:G44"/>
    <mergeCell ref="B45:G45"/>
    <mergeCell ref="B46:G46"/>
    <mergeCell ref="A49:G49"/>
    <mergeCell ref="B50:G50"/>
    <mergeCell ref="B37:G37"/>
    <mergeCell ref="B38:G38"/>
    <mergeCell ref="B39:G39"/>
    <mergeCell ref="A42:G42"/>
    <mergeCell ref="B43:G43"/>
    <mergeCell ref="B30:G30"/>
    <mergeCell ref="B31:G31"/>
    <mergeCell ref="B32:G32"/>
    <mergeCell ref="A35:G35"/>
    <mergeCell ref="B36:G36"/>
    <mergeCell ref="B23:G23"/>
    <mergeCell ref="B24:G24"/>
    <mergeCell ref="B25:G25"/>
    <mergeCell ref="A28:G28"/>
    <mergeCell ref="B29:G29"/>
    <mergeCell ref="B16:G16"/>
    <mergeCell ref="B17:G17"/>
    <mergeCell ref="B18:G18"/>
    <mergeCell ref="A21:G21"/>
    <mergeCell ref="B22:G22"/>
    <mergeCell ref="B9:G9"/>
    <mergeCell ref="B10:G10"/>
    <mergeCell ref="B11:G11"/>
    <mergeCell ref="A14:G14"/>
    <mergeCell ref="B15:G15"/>
    <mergeCell ref="A3:C3"/>
    <mergeCell ref="D3:G3"/>
    <mergeCell ref="A5:G5"/>
    <mergeCell ref="A7:G7"/>
    <mergeCell ref="B8:G8"/>
    <mergeCell ref="A1:G1"/>
    <mergeCell ref="A2:C2"/>
    <mergeCell ref="D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showGridLines="0" zoomScaleNormal="100" workbookViewId="0">
      <selection activeCell="B12" sqref="B12"/>
    </sheetView>
  </sheetViews>
  <sheetFormatPr baseColWidth="10" defaultColWidth="8.6640625" defaultRowHeight="14.4" x14ac:dyDescent="0.3"/>
  <cols>
    <col min="1" max="1" width="12" customWidth="1"/>
    <col min="2" max="2" width="14" customWidth="1"/>
    <col min="3" max="3" width="26" customWidth="1"/>
    <col min="4" max="4" width="10" customWidth="1"/>
  </cols>
  <sheetData>
    <row r="1" spans="1:4" ht="24" customHeight="1" x14ac:dyDescent="0.3">
      <c r="A1" s="4" t="s">
        <v>64</v>
      </c>
      <c r="B1" s="4"/>
      <c r="C1" s="4"/>
      <c r="D1" s="4"/>
    </row>
    <row r="2" spans="1:4" ht="15.75" customHeight="1" x14ac:dyDescent="0.3">
      <c r="A2" s="5" t="s">
        <v>65</v>
      </c>
      <c r="B2" s="5"/>
      <c r="C2" s="5"/>
      <c r="D2" s="5"/>
    </row>
    <row r="4" spans="1:4" ht="18" customHeight="1" x14ac:dyDescent="0.3">
      <c r="A4" s="7" t="s">
        <v>66</v>
      </c>
      <c r="B4" s="7" t="s">
        <v>67</v>
      </c>
      <c r="C4" s="7" t="s">
        <v>68</v>
      </c>
      <c r="D4" s="7" t="s">
        <v>69</v>
      </c>
    </row>
    <row r="5" spans="1:4" ht="15.75" customHeight="1" x14ac:dyDescent="0.3">
      <c r="A5" s="6" t="s">
        <v>70</v>
      </c>
      <c r="B5" s="8" t="str">
        <f>IF(Examen!C12="","-",UPPER(Examen!C12))</f>
        <v>-</v>
      </c>
      <c r="C5" s="9" t="str">
        <f>IF(Examen!C12="","Sin responder",IF(UPPER(TRIM(Examen!C12))=UPPER(Clave!B5),"Correcto","Incorrecto"))</f>
        <v>Sin responder</v>
      </c>
      <c r="D5" s="9">
        <f>IF(UPPER(TRIM(Examen!C12))=UPPER(Clave!B5),1,0)</f>
        <v>0</v>
      </c>
    </row>
    <row r="6" spans="1:4" ht="15.75" customHeight="1" x14ac:dyDescent="0.3">
      <c r="A6" s="6" t="s">
        <v>71</v>
      </c>
      <c r="B6" s="8" t="str">
        <f>IF(Examen!C19="","-",UPPER(Examen!C19))</f>
        <v>-</v>
      </c>
      <c r="C6" s="9" t="str">
        <f>IF(Examen!C19="","Sin responder",IF(UPPER(TRIM(Examen!C19))=UPPER(Clave!B6),"Correcto","Incorrecto"))</f>
        <v>Sin responder</v>
      </c>
      <c r="D6" s="9">
        <f>IF(UPPER(TRIM(Examen!C19))=UPPER(Clave!B6),1,0)</f>
        <v>0</v>
      </c>
    </row>
    <row r="7" spans="1:4" ht="15.75" customHeight="1" x14ac:dyDescent="0.3">
      <c r="A7" s="6" t="s">
        <v>72</v>
      </c>
      <c r="B7" s="8" t="str">
        <f>IF(Examen!C26="","-",UPPER(Examen!C26))</f>
        <v>-</v>
      </c>
      <c r="C7" s="9" t="str">
        <f>IF(Examen!C26="","Sin responder",IF(UPPER(TRIM(Examen!C26))=UPPER(Clave!B7),"Correcto","Incorrecto"))</f>
        <v>Sin responder</v>
      </c>
      <c r="D7" s="9">
        <f>IF(UPPER(TRIM(Examen!C26))=UPPER(Clave!B7),1,0)</f>
        <v>0</v>
      </c>
    </row>
    <row r="8" spans="1:4" ht="15.75" customHeight="1" x14ac:dyDescent="0.3">
      <c r="A8" s="6" t="s">
        <v>73</v>
      </c>
      <c r="B8" s="8" t="str">
        <f>IF(Examen!C33="","-",UPPER(Examen!C33))</f>
        <v>-</v>
      </c>
      <c r="C8" s="9" t="str">
        <f>IF(Examen!C33="","Sin responder",IF(UPPER(TRIM(Examen!C33))=UPPER(Clave!B8),"Correcto","Incorrecto"))</f>
        <v>Sin responder</v>
      </c>
      <c r="D8" s="9">
        <f>IF(UPPER(TRIM(Examen!C33))=UPPER(Clave!B8),1,0)</f>
        <v>0</v>
      </c>
    </row>
    <row r="9" spans="1:4" ht="15.75" customHeight="1" x14ac:dyDescent="0.3">
      <c r="A9" s="6" t="s">
        <v>74</v>
      </c>
      <c r="B9" s="8" t="str">
        <f>IF(Examen!C40="","-",UPPER(Examen!C40))</f>
        <v>-</v>
      </c>
      <c r="C9" s="9" t="str">
        <f>IF(Examen!C40="","Sin responder",IF(UPPER(TRIM(Examen!C40))=UPPER(Clave!B9),"Correcto","Incorrecto"))</f>
        <v>Sin responder</v>
      </c>
      <c r="D9" s="9">
        <f>IF(UPPER(TRIM(Examen!C40))=UPPER(Clave!B9),1,0)</f>
        <v>0</v>
      </c>
    </row>
    <row r="10" spans="1:4" ht="15.75" customHeight="1" x14ac:dyDescent="0.3">
      <c r="A10" s="6" t="s">
        <v>75</v>
      </c>
      <c r="B10" s="8" t="str">
        <f>IF(Examen!C47="","-",UPPER(Examen!C47))</f>
        <v>-</v>
      </c>
      <c r="C10" s="9" t="str">
        <f>IF(Examen!C47="","Sin responder",IF(UPPER(TRIM(Examen!C47))=UPPER(Clave!B10),"Correcto","Incorrecto"))</f>
        <v>Sin responder</v>
      </c>
      <c r="D10" s="9">
        <f>IF(UPPER(TRIM(Examen!C47))=UPPER(Clave!B10),1,0)</f>
        <v>0</v>
      </c>
    </row>
    <row r="11" spans="1:4" ht="15.75" customHeight="1" x14ac:dyDescent="0.3">
      <c r="A11" s="6" t="s">
        <v>76</v>
      </c>
      <c r="B11" s="8" t="str">
        <f>IF(Examen!C54="","-",UPPER(Examen!C54))</f>
        <v>-</v>
      </c>
      <c r="C11" s="9" t="str">
        <f>IF(Examen!C54="","Sin responder",IF(UPPER(TRIM(Examen!C54))=UPPER(Clave!B11),"Correcto","Incorrecto"))</f>
        <v>Sin responder</v>
      </c>
      <c r="D11" s="9">
        <f>IF(UPPER(TRIM(Examen!C54))=UPPER(Clave!B11),1,0)</f>
        <v>0</v>
      </c>
    </row>
    <row r="12" spans="1:4" ht="15.75" customHeight="1" x14ac:dyDescent="0.3">
      <c r="A12" s="6" t="s">
        <v>77</v>
      </c>
      <c r="B12" s="8" t="str">
        <f>IF(Examen!C61="","-",UPPER(Examen!C61))</f>
        <v>-</v>
      </c>
      <c r="C12" s="9" t="str">
        <f>IF(Examen!C61="","Sin responder",IF(UPPER(TRIM(Examen!C61))=UPPER(Clave!B12),"Correcto","Incorrecto"))</f>
        <v>Sin responder</v>
      </c>
      <c r="D12" s="9">
        <f>IF(UPPER(TRIM(Examen!C61))=UPPER(Clave!B12),1,0)</f>
        <v>0</v>
      </c>
    </row>
    <row r="13" spans="1:4" ht="15.75" customHeight="1" x14ac:dyDescent="0.3">
      <c r="A13" s="6" t="s">
        <v>78</v>
      </c>
      <c r="B13" s="8" t="str">
        <f>IF(Examen!C68="","-",UPPER(Examen!C68))</f>
        <v>-</v>
      </c>
      <c r="C13" s="9" t="str">
        <f>IF(Examen!C68="","Sin responder",IF(UPPER(TRIM(Examen!C68))=UPPER(Clave!B13),"Correcto","Incorrecto"))</f>
        <v>Sin responder</v>
      </c>
      <c r="D13" s="9">
        <f>IF(UPPER(TRIM(Examen!C68))=UPPER(Clave!B13),1,0)</f>
        <v>0</v>
      </c>
    </row>
    <row r="14" spans="1:4" ht="15.75" customHeight="1" x14ac:dyDescent="0.3">
      <c r="A14" s="6" t="s">
        <v>79</v>
      </c>
      <c r="B14" s="8" t="str">
        <f>IF(Examen!C75="","-",UPPER(Examen!C75))</f>
        <v>-</v>
      </c>
      <c r="C14" s="9" t="str">
        <f>IF(Examen!C75="","Sin responder",IF(UPPER(TRIM(Examen!C75))=UPPER(Clave!B14),"Correcto","Incorrecto"))</f>
        <v>Sin responder</v>
      </c>
      <c r="D14" s="9">
        <f>IF(UPPER(TRIM(Examen!C75))=UPPER(Clave!B14),1,0)</f>
        <v>0</v>
      </c>
    </row>
    <row r="15" spans="1:4" ht="15.75" customHeight="1" x14ac:dyDescent="0.3">
      <c r="A15" s="6" t="s">
        <v>80</v>
      </c>
      <c r="B15" s="8" t="str">
        <f>IF(Examen!C82="","-",UPPER(Examen!C82))</f>
        <v>-</v>
      </c>
      <c r="C15" s="9" t="str">
        <f>IF(Examen!C82="","Sin responder",IF(UPPER(TRIM(Examen!C82))=UPPER(Clave!B15),"Correcto","Incorrecto"))</f>
        <v>Sin responder</v>
      </c>
      <c r="D15" s="9">
        <f>IF(UPPER(TRIM(Examen!C82))=UPPER(Clave!B15),1,0)</f>
        <v>0</v>
      </c>
    </row>
    <row r="16" spans="1:4" ht="15.75" customHeight="1" x14ac:dyDescent="0.3">
      <c r="A16" s="6" t="s">
        <v>81</v>
      </c>
      <c r="B16" s="8" t="str">
        <f>IF(Examen!C89="","-",UPPER(Examen!C89))</f>
        <v>-</v>
      </c>
      <c r="C16" s="9" t="str">
        <f>IF(Examen!C89="","Sin responder",IF(UPPER(TRIM(Examen!C89))=UPPER(Clave!B16),"Correcto","Incorrecto"))</f>
        <v>Sin responder</v>
      </c>
      <c r="D16" s="9">
        <f>IF(UPPER(TRIM(Examen!C89))=UPPER(Clave!B16),1,0)</f>
        <v>0</v>
      </c>
    </row>
    <row r="17" spans="1:4" ht="18" customHeight="1" x14ac:dyDescent="0.3">
      <c r="A17" s="3" t="s">
        <v>82</v>
      </c>
      <c r="B17" s="3"/>
      <c r="C17" s="3"/>
      <c r="D17" s="10">
        <f>SUM(D5:D16)</f>
        <v>0</v>
      </c>
    </row>
    <row r="18" spans="1:4" ht="18" customHeight="1" x14ac:dyDescent="0.3">
      <c r="A18" s="2" t="s">
        <v>83</v>
      </c>
      <c r="B18" s="2"/>
      <c r="C18" s="2"/>
      <c r="D18" s="11">
        <f>D17/12</f>
        <v>0</v>
      </c>
    </row>
    <row r="19" spans="1:4" ht="18" customHeight="1" x14ac:dyDescent="0.3">
      <c r="A19" s="2" t="s">
        <v>84</v>
      </c>
      <c r="B19" s="2"/>
      <c r="C19" s="2"/>
      <c r="D19" s="12">
        <f>ROUND(D17/12*20,0)</f>
        <v>0</v>
      </c>
    </row>
  </sheetData>
  <mergeCells count="5">
    <mergeCell ref="A1:D1"/>
    <mergeCell ref="A2:D2"/>
    <mergeCell ref="A17:C17"/>
    <mergeCell ref="A18:C18"/>
    <mergeCell ref="A19:C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showGridLines="0" zoomScaleNormal="100" workbookViewId="0">
      <selection sqref="A1:D1"/>
    </sheetView>
  </sheetViews>
  <sheetFormatPr baseColWidth="10" defaultColWidth="8.6640625" defaultRowHeight="14.4" x14ac:dyDescent="0.3"/>
  <cols>
    <col min="1" max="2" width="11" customWidth="1"/>
    <col min="3" max="3" width="16" customWidth="1"/>
    <col min="4" max="4" width="78" customWidth="1"/>
  </cols>
  <sheetData>
    <row r="1" spans="1:4" ht="24" customHeight="1" x14ac:dyDescent="0.3">
      <c r="A1" s="4" t="s">
        <v>85</v>
      </c>
      <c r="B1" s="4"/>
      <c r="C1" s="4"/>
      <c r="D1" s="4"/>
    </row>
    <row r="2" spans="1:4" ht="15.75" customHeight="1" x14ac:dyDescent="0.3">
      <c r="A2" s="1" t="s">
        <v>86</v>
      </c>
      <c r="B2" s="1"/>
      <c r="C2" s="1"/>
      <c r="D2" s="1"/>
    </row>
    <row r="4" spans="1:4" ht="18" customHeight="1" x14ac:dyDescent="0.3">
      <c r="A4" s="7" t="s">
        <v>66</v>
      </c>
      <c r="B4" s="7" t="s">
        <v>87</v>
      </c>
      <c r="C4" s="7" t="s">
        <v>88</v>
      </c>
      <c r="D4" s="7" t="s">
        <v>89</v>
      </c>
    </row>
    <row r="5" spans="1:4" ht="27.75" customHeight="1" x14ac:dyDescent="0.3">
      <c r="A5" s="13" t="s">
        <v>70</v>
      </c>
      <c r="B5" s="14" t="s">
        <v>90</v>
      </c>
      <c r="C5" s="6" t="s">
        <v>91</v>
      </c>
      <c r="D5" s="15" t="s">
        <v>92</v>
      </c>
    </row>
    <row r="6" spans="1:4" ht="27.75" customHeight="1" x14ac:dyDescent="0.3">
      <c r="A6" s="13" t="s">
        <v>71</v>
      </c>
      <c r="B6" s="14" t="s">
        <v>90</v>
      </c>
      <c r="C6" s="6" t="s">
        <v>93</v>
      </c>
      <c r="D6" s="15" t="s">
        <v>94</v>
      </c>
    </row>
    <row r="7" spans="1:4" ht="27.75" customHeight="1" x14ac:dyDescent="0.3">
      <c r="A7" s="13" t="s">
        <v>72</v>
      </c>
      <c r="B7" s="14" t="s">
        <v>90</v>
      </c>
      <c r="C7" s="6" t="s">
        <v>95</v>
      </c>
      <c r="D7" s="15" t="s">
        <v>96</v>
      </c>
    </row>
    <row r="8" spans="1:4" ht="27.75" customHeight="1" x14ac:dyDescent="0.3">
      <c r="A8" s="13" t="s">
        <v>73</v>
      </c>
      <c r="B8" s="14" t="s">
        <v>90</v>
      </c>
      <c r="C8" s="6" t="s">
        <v>97</v>
      </c>
      <c r="D8" s="15" t="s">
        <v>98</v>
      </c>
    </row>
    <row r="9" spans="1:4" ht="27.75" customHeight="1" x14ac:dyDescent="0.3">
      <c r="A9" s="13" t="s">
        <v>74</v>
      </c>
      <c r="B9" s="14" t="s">
        <v>90</v>
      </c>
      <c r="C9" s="6" t="s">
        <v>99</v>
      </c>
      <c r="D9" s="15" t="s">
        <v>100</v>
      </c>
    </row>
    <row r="10" spans="1:4" ht="27.75" customHeight="1" x14ac:dyDescent="0.3">
      <c r="A10" s="13" t="s">
        <v>75</v>
      </c>
      <c r="B10" s="14" t="s">
        <v>90</v>
      </c>
      <c r="C10" s="6" t="s">
        <v>101</v>
      </c>
      <c r="D10" s="15" t="s">
        <v>102</v>
      </c>
    </row>
    <row r="11" spans="1:4" ht="27.75" customHeight="1" x14ac:dyDescent="0.3">
      <c r="A11" s="13" t="s">
        <v>76</v>
      </c>
      <c r="B11" s="14" t="s">
        <v>90</v>
      </c>
      <c r="C11" s="6" t="s">
        <v>103</v>
      </c>
      <c r="D11" s="15" t="s">
        <v>104</v>
      </c>
    </row>
    <row r="12" spans="1:4" ht="27.75" customHeight="1" x14ac:dyDescent="0.3">
      <c r="A12" s="13" t="s">
        <v>77</v>
      </c>
      <c r="B12" s="14" t="s">
        <v>90</v>
      </c>
      <c r="C12" s="6" t="s">
        <v>105</v>
      </c>
      <c r="D12" s="15" t="s">
        <v>106</v>
      </c>
    </row>
    <row r="13" spans="1:4" ht="27.75" customHeight="1" x14ac:dyDescent="0.3">
      <c r="A13" s="13" t="s">
        <v>78</v>
      </c>
      <c r="B13" s="14" t="s">
        <v>90</v>
      </c>
      <c r="C13" s="6" t="s">
        <v>107</v>
      </c>
      <c r="D13" s="15" t="s">
        <v>108</v>
      </c>
    </row>
    <row r="14" spans="1:4" ht="27.75" customHeight="1" x14ac:dyDescent="0.3">
      <c r="A14" s="13" t="s">
        <v>79</v>
      </c>
      <c r="B14" s="14" t="s">
        <v>90</v>
      </c>
      <c r="C14" s="6" t="s">
        <v>109</v>
      </c>
      <c r="D14" s="15" t="s">
        <v>110</v>
      </c>
    </row>
    <row r="15" spans="1:4" ht="27.75" customHeight="1" x14ac:dyDescent="0.3">
      <c r="A15" s="13" t="s">
        <v>80</v>
      </c>
      <c r="B15" s="14" t="s">
        <v>90</v>
      </c>
      <c r="C15" s="6" t="s">
        <v>111</v>
      </c>
      <c r="D15" s="15" t="s">
        <v>112</v>
      </c>
    </row>
    <row r="16" spans="1:4" ht="27.75" customHeight="1" x14ac:dyDescent="0.3">
      <c r="A16" s="13" t="s">
        <v>81</v>
      </c>
      <c r="B16" s="14" t="s">
        <v>90</v>
      </c>
      <c r="C16" s="6" t="s">
        <v>113</v>
      </c>
      <c r="D16" s="15" t="s">
        <v>114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Examen</vt:lpstr>
      <vt:lpstr>Calificacion</vt:lpstr>
      <vt:lpstr>Clave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2026-09-15T09:50:52Z</dcterms:created>
  <dcterms:modified xsi:type="dcterms:W3CDTF">2026-09-15T09:57:42Z</dcterms:modified>
  <dc:language>en-US</dc:language>
</cp:coreProperties>
</file>