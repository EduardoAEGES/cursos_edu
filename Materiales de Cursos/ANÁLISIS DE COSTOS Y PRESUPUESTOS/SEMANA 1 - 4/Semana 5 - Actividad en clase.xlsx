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13_ncr:1_{EBAD8718-A6A3-4580-A03D-260B872093CC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1. Revelado de Fotos" sheetId="2" r:id="rId1"/>
    <sheet name="2. Pijamas" sheetId="3" r:id="rId2"/>
    <sheet name="3. Curso de Guión" sheetId="4" state="hidden" r:id="rId3"/>
    <sheet name="4. Restobar Cervecero" sheetId="5" r:id="rId4"/>
    <sheet name="5. Chocolate Blanco" sheetId="6" r:id="rId5"/>
    <sheet name="6. Queque de Manzan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5" i="7" l="1"/>
  <c r="B77" i="7"/>
  <c r="E58" i="7"/>
  <c r="F58" i="7" s="1"/>
  <c r="D54" i="7"/>
  <c r="B7" i="7" s="1"/>
  <c r="D53" i="7"/>
  <c r="F53" i="7" s="1"/>
  <c r="G53" i="7" s="1"/>
  <c r="D52" i="7"/>
  <c r="F52" i="7" s="1"/>
  <c r="G52" i="7" s="1"/>
  <c r="D51" i="7"/>
  <c r="F51" i="7" s="1"/>
  <c r="G51" i="7" s="1"/>
  <c r="D50" i="7"/>
  <c r="F50" i="7" s="1"/>
  <c r="G50" i="7" s="1"/>
  <c r="D49" i="7"/>
  <c r="F49" i="7" s="1"/>
  <c r="G49" i="7" s="1"/>
  <c r="D48" i="7"/>
  <c r="F48" i="7" s="1"/>
  <c r="G48" i="7" s="1"/>
  <c r="D47" i="7"/>
  <c r="F47" i="7" s="1"/>
  <c r="B12" i="7"/>
  <c r="B11" i="7"/>
  <c r="B72" i="6"/>
  <c r="B74" i="6" s="1"/>
  <c r="B12" i="6" s="1"/>
  <c r="B67" i="6"/>
  <c r="F49" i="6"/>
  <c r="F50" i="6" s="1"/>
  <c r="B9" i="6" s="1"/>
  <c r="E49" i="6"/>
  <c r="D44" i="6"/>
  <c r="F44" i="6" s="1"/>
  <c r="G44" i="6" s="1"/>
  <c r="D43" i="6"/>
  <c r="F43" i="6" s="1"/>
  <c r="G43" i="6" s="1"/>
  <c r="F42" i="6"/>
  <c r="G42" i="6" s="1"/>
  <c r="D42" i="6"/>
  <c r="D41" i="6"/>
  <c r="D45" i="6" s="1"/>
  <c r="B7" i="6" s="1"/>
  <c r="B11" i="6"/>
  <c r="B79" i="5"/>
  <c r="B12" i="5" s="1"/>
  <c r="B70" i="5"/>
  <c r="B11" i="5" s="1"/>
  <c r="E47" i="5"/>
  <c r="F47" i="5" s="1"/>
  <c r="G47" i="5" s="1"/>
  <c r="E46" i="5"/>
  <c r="F46" i="5" s="1"/>
  <c r="G46" i="5" s="1"/>
  <c r="F45" i="5"/>
  <c r="G45" i="5" s="1"/>
  <c r="E45" i="5"/>
  <c r="E44" i="5"/>
  <c r="F44" i="5" s="1"/>
  <c r="D39" i="5"/>
  <c r="F39" i="5" s="1"/>
  <c r="G39" i="5" s="1"/>
  <c r="F38" i="5"/>
  <c r="G38" i="5" s="1"/>
  <c r="D38" i="5"/>
  <c r="D37" i="5"/>
  <c r="F37" i="5" s="1"/>
  <c r="G37" i="5" s="1"/>
  <c r="D36" i="5"/>
  <c r="F36" i="5" s="1"/>
  <c r="G36" i="5" s="1"/>
  <c r="D35" i="5"/>
  <c r="F35" i="5" s="1"/>
  <c r="G35" i="5" s="1"/>
  <c r="F34" i="5"/>
  <c r="G34" i="5" s="1"/>
  <c r="D34" i="5"/>
  <c r="D33" i="5"/>
  <c r="F33" i="5" s="1"/>
  <c r="G33" i="5" s="1"/>
  <c r="D32" i="5"/>
  <c r="F32" i="5" s="1"/>
  <c r="G32" i="5" s="1"/>
  <c r="D31" i="5"/>
  <c r="F31" i="5" s="1"/>
  <c r="G31" i="5" s="1"/>
  <c r="F30" i="5"/>
  <c r="G30" i="5" s="1"/>
  <c r="D30" i="5"/>
  <c r="D29" i="5"/>
  <c r="F29" i="5" s="1"/>
  <c r="G29" i="5" s="1"/>
  <c r="D28" i="5"/>
  <c r="F28" i="5" s="1"/>
  <c r="G28" i="5" s="1"/>
  <c r="D27" i="5"/>
  <c r="D40" i="5" s="1"/>
  <c r="B7" i="5" s="1"/>
  <c r="F26" i="5"/>
  <c r="G26" i="5" s="1"/>
  <c r="D26" i="5"/>
  <c r="B49" i="4"/>
  <c r="B43" i="4"/>
  <c r="B11" i="4" s="1"/>
  <c r="E28" i="4"/>
  <c r="F28" i="4" s="1"/>
  <c r="D23" i="4"/>
  <c r="F23" i="4" s="1"/>
  <c r="G23" i="4" s="1"/>
  <c r="F22" i="4"/>
  <c r="G22" i="4" s="1"/>
  <c r="D22" i="4"/>
  <c r="D21" i="4"/>
  <c r="F21" i="4" s="1"/>
  <c r="G21" i="4" s="1"/>
  <c r="D20" i="4"/>
  <c r="D24" i="4" s="1"/>
  <c r="B7" i="4" s="1"/>
  <c r="B12" i="4"/>
  <c r="B6" i="4"/>
  <c r="B77" i="3"/>
  <c r="B70" i="3"/>
  <c r="E51" i="3"/>
  <c r="F51" i="3" s="1"/>
  <c r="G51" i="3" s="1"/>
  <c r="E50" i="3"/>
  <c r="F50" i="3" s="1"/>
  <c r="D45" i="3"/>
  <c r="F45" i="3" s="1"/>
  <c r="G45" i="3" s="1"/>
  <c r="D44" i="3"/>
  <c r="F44" i="3" s="1"/>
  <c r="G44" i="3" s="1"/>
  <c r="D43" i="3"/>
  <c r="F43" i="3" s="1"/>
  <c r="G43" i="3" s="1"/>
  <c r="D42" i="3"/>
  <c r="F42" i="3" s="1"/>
  <c r="G42" i="3" s="1"/>
  <c r="D41" i="3"/>
  <c r="D46" i="3" s="1"/>
  <c r="B7" i="3" s="1"/>
  <c r="B12" i="3"/>
  <c r="B11" i="3"/>
  <c r="B68" i="2"/>
  <c r="B12" i="2" s="1"/>
  <c r="B59" i="2"/>
  <c r="B62" i="2" s="1"/>
  <c r="B11" i="2" s="1"/>
  <c r="E42" i="2"/>
  <c r="F42" i="2" s="1"/>
  <c r="D37" i="2"/>
  <c r="F37" i="2" s="1"/>
  <c r="G37" i="2" s="1"/>
  <c r="D36" i="2"/>
  <c r="F36" i="2" s="1"/>
  <c r="G36" i="2" s="1"/>
  <c r="D35" i="2"/>
  <c r="D38" i="2" s="1"/>
  <c r="B7" i="2" s="1"/>
  <c r="F48" i="5" l="1"/>
  <c r="B9" i="5" s="1"/>
  <c r="G44" i="5"/>
  <c r="G48" i="5" s="1"/>
  <c r="F29" i="4"/>
  <c r="B9" i="4" s="1"/>
  <c r="G28" i="4"/>
  <c r="G29" i="4" s="1"/>
  <c r="F59" i="7"/>
  <c r="B9" i="7" s="1"/>
  <c r="G58" i="7"/>
  <c r="G59" i="7" s="1"/>
  <c r="G47" i="7"/>
  <c r="G54" i="7" s="1"/>
  <c r="F54" i="7"/>
  <c r="G42" i="2"/>
  <c r="G43" i="2" s="1"/>
  <c r="F43" i="2"/>
  <c r="B9" i="2" s="1"/>
  <c r="G50" i="3"/>
  <c r="G52" i="3" s="1"/>
  <c r="F52" i="3"/>
  <c r="B9" i="3" s="1"/>
  <c r="F35" i="2"/>
  <c r="G49" i="6"/>
  <c r="G50" i="6" s="1"/>
  <c r="F20" i="4"/>
  <c r="F41" i="6"/>
  <c r="F27" i="5"/>
  <c r="G27" i="5" s="1"/>
  <c r="G40" i="5" s="1"/>
  <c r="F41" i="3"/>
  <c r="C60" i="5" l="1"/>
  <c r="C61" i="5" s="1"/>
  <c r="B10" i="5" s="1"/>
  <c r="B8" i="5"/>
  <c r="C69" i="7"/>
  <c r="C70" i="7" s="1"/>
  <c r="B10" i="7" s="1"/>
  <c r="B8" i="7"/>
  <c r="F40" i="5"/>
  <c r="G35" i="2"/>
  <c r="G38" i="2" s="1"/>
  <c r="F38" i="2"/>
  <c r="F46" i="3"/>
  <c r="G41" i="3"/>
  <c r="G46" i="3" s="1"/>
  <c r="G41" i="6"/>
  <c r="G45" i="6" s="1"/>
  <c r="F45" i="6"/>
  <c r="G20" i="4"/>
  <c r="G24" i="4" s="1"/>
  <c r="B8" i="4" s="1"/>
  <c r="F24" i="4"/>
  <c r="C36" i="4" s="1"/>
  <c r="C37" i="4" s="1"/>
  <c r="B10" i="4" s="1"/>
  <c r="C59" i="6" l="1"/>
  <c r="C60" i="6" s="1"/>
  <c r="B10" i="6" s="1"/>
  <c r="B8" i="6"/>
  <c r="B8" i="3"/>
  <c r="C62" i="3"/>
  <c r="C63" i="3" s="1"/>
  <c r="B10" i="3" s="1"/>
  <c r="B8" i="2"/>
  <c r="C53" i="2"/>
  <c r="C54" i="2" s="1"/>
  <c r="B10" i="2" s="1"/>
</calcChain>
</file>

<file path=xl/sharedStrings.xml><?xml version="1.0" encoding="utf-8"?>
<sst xmlns="http://schemas.openxmlformats.org/spreadsheetml/2006/main" count="811" uniqueCount="306">
  <si>
    <t>Servicio de revelado de fotos a color</t>
  </si>
  <si>
    <t>Unidad de costeo: Por foto impresa (10×15 cm)   |   Periodo: Mensual</t>
  </si>
  <si>
    <t>RESUMEN DE COSTOS Y PARÁMETROS  (base para el presupuesto maestro)</t>
  </si>
  <si>
    <t>Precio de venta referencial (S/)</t>
  </si>
  <si>
    <t>Costo de insumos por unidad (S/)</t>
  </si>
  <si>
    <t>A calcular</t>
  </si>
  <si>
    <t>Inversión total en activos fijos (S/)</t>
  </si>
  <si>
    <t>Depreciación mensual de activos (S/)</t>
  </si>
  <si>
    <t>Costo total de personal (mensual) (S/)</t>
  </si>
  <si>
    <t>Total costos indirectos (mensual) (S/)</t>
  </si>
  <si>
    <t>Total gastos administrativos (S/)</t>
  </si>
  <si>
    <t>Total gastos de ventas (S/)</t>
  </si>
  <si>
    <t>IGV (%):</t>
  </si>
  <si>
    <t>1) INSUMOS – COMPRA COMERCIAL  (convertir el precio CON IGV a SIN IGV)</t>
  </si>
  <si>
    <t>Insumo</t>
  </si>
  <si>
    <t>Presentación de compra</t>
  </si>
  <si>
    <t>Contenido</t>
  </si>
  <si>
    <t>Unidad</t>
  </si>
  <si>
    <t>Precio CON IGV (S/)</t>
  </si>
  <si>
    <t>Precio SIN IGV (S/)</t>
  </si>
  <si>
    <t>Costo por unidad de medida SIN IGV (S/)</t>
  </si>
  <si>
    <t>Papel fotográfico 10×15 cm</t>
  </si>
  <si>
    <t>Caja</t>
  </si>
  <si>
    <t>hoja</t>
  </si>
  <si>
    <t>Referencial</t>
  </si>
  <si>
    <t>Tinta especial para impresora</t>
  </si>
  <si>
    <t>Cartucho</t>
  </si>
  <si>
    <t>foto</t>
  </si>
  <si>
    <t>Rinde ~1200 fotos</t>
  </si>
  <si>
    <t>Sobre / funda plástica</t>
  </si>
  <si>
    <t>Millar</t>
  </si>
  <si>
    <t>unidad</t>
  </si>
  <si>
    <t>1.b) CONSUMO Y COSTO POR UNIDAD DE PRODUCTO</t>
  </si>
  <si>
    <t>Consumo por unidad de producto</t>
  </si>
  <si>
    <t>Costo del insumo por unidad (S/)</t>
  </si>
  <si>
    <t>COSTO TOTAL DE INSUMOS POR UNIDAD</t>
  </si>
  <si>
    <t>Precio SIN IGV = Precio CON IGV ÷ (1 + IGV)</t>
  </si>
  <si>
    <t>Costo por unidad de medida = Precio SIN IGV ÷ Contenido</t>
  </si>
  <si>
    <t>Costo del insumo por unidad = Costo por unidad de medida × Consumo por unidad</t>
  </si>
  <si>
    <t>2) LISTA DE ACTIVOS FIJOS</t>
  </si>
  <si>
    <t>Activo</t>
  </si>
  <si>
    <t>Cantidad</t>
  </si>
  <si>
    <t>Costo unitario (S/)</t>
  </si>
  <si>
    <t>Inversión total (S/)</t>
  </si>
  <si>
    <t>Vida útil (años)</t>
  </si>
  <si>
    <t>Deprec. anual (S/)</t>
  </si>
  <si>
    <t>Deprec. mensual (S/)</t>
  </si>
  <si>
    <t>Nota</t>
  </si>
  <si>
    <t>Impresora fotográfica (Epson L8050/L8160)</t>
  </si>
  <si>
    <t>Rango S/1,399–2,099</t>
  </si>
  <si>
    <t>Computadora / laptop para edición</t>
  </si>
  <si>
    <t>Equipo de gama media</t>
  </si>
  <si>
    <t>Mesa de trabajo y mobiliario</t>
  </si>
  <si>
    <t>Estimado</t>
  </si>
  <si>
    <t>TOTAL activos fijos</t>
  </si>
  <si>
    <t>3) CANTIDAD Y CARACTERÍSTICAS DEL PERSONAL  (mensual)</t>
  </si>
  <si>
    <t>Cargo</t>
  </si>
  <si>
    <t>Sueldo (S/)</t>
  </si>
  <si>
    <t>Cargas soc. (%)</t>
  </si>
  <si>
    <t>Cargas soc. (S/)</t>
  </si>
  <si>
    <t>Costo laboral (S/)</t>
  </si>
  <si>
    <t>Costo anual (S/)</t>
  </si>
  <si>
    <t>Perfil</t>
  </si>
  <si>
    <t>Operador/a de laboratorio fotográfico</t>
  </si>
  <si>
    <t>Fotografía digital, manejo de PC e impresoras</t>
  </si>
  <si>
    <t>TOTAL personal</t>
  </si>
  <si>
    <t>Cargas sociales (%): supuesto editable = EsSalud 9% + gratificaciones + CTS. Ajustar según régimen (RUS / MYPE / General).</t>
  </si>
  <si>
    <t>4) DETALLE DE COSTOS INDIRECTOS  (mensual)</t>
  </si>
  <si>
    <t>Concepto</t>
  </si>
  <si>
    <t>Detalle / base</t>
  </si>
  <si>
    <t>Monto (S/)</t>
  </si>
  <si>
    <t>Alquiler del local de producción</t>
  </si>
  <si>
    <t>Local ~50 m²</t>
  </si>
  <si>
    <t>≈ S/30/m²</t>
  </si>
  <si>
    <t>Electricidad (impresora y PC)</t>
  </si>
  <si>
    <t>Mensual</t>
  </si>
  <si>
    <t>No es insumo directo</t>
  </si>
  <si>
    <t>Agua e internet</t>
  </si>
  <si>
    <t>Servicios básicos</t>
  </si>
  <si>
    <t>Mantenimiento de equipos</t>
  </si>
  <si>
    <t>S/200/año</t>
  </si>
  <si>
    <t>Limpieza impresora</t>
  </si>
  <si>
    <t>Transporte / flete de insumos</t>
  </si>
  <si>
    <t>Compra de papel y tinta</t>
  </si>
  <si>
    <t>Depreciación de activos fijos</t>
  </si>
  <si>
    <t>Enlace a tabla de activos</t>
  </si>
  <si>
    <t>TOTAL costos indirectos</t>
  </si>
  <si>
    <t>5) DETALLE DE GASTOS ADMINISTRATIVOS  (mensual)</t>
  </si>
  <si>
    <t>Asesoría contable y tributaria</t>
  </si>
  <si>
    <t>Completar</t>
  </si>
  <si>
    <t>Seguro comercial</t>
  </si>
  <si>
    <t>Útiles de oficina</t>
  </si>
  <si>
    <t>Licencias y trámites municipales</t>
  </si>
  <si>
    <t>TOTAL gastos administrativos</t>
  </si>
  <si>
    <t>6) DETALLE DE GASTOS DE VENTAS  (mensual)</t>
  </si>
  <si>
    <t>Publicidad / redes sociales</t>
  </si>
  <si>
    <t>Promoción mensual</t>
  </si>
  <si>
    <t>Diseño de marca (amortizado)</t>
  </si>
  <si>
    <t>TOTAL gastos de ventas</t>
  </si>
  <si>
    <t>Fabricación de pijamas</t>
  </si>
  <si>
    <t>Unidad de costeo: Por pijama   |   Periodo: Mensual</t>
  </si>
  <si>
    <t>Tela de algodón</t>
  </si>
  <si>
    <t>Rollo</t>
  </si>
  <si>
    <t>m</t>
  </si>
  <si>
    <t>Gamarra – referencial</t>
  </si>
  <si>
    <t>Elástico de cintura</t>
  </si>
  <si>
    <t>Hilo de coser</t>
  </si>
  <si>
    <t>Cono</t>
  </si>
  <si>
    <t>Botones</t>
  </si>
  <si>
    <t>Según diseño</t>
  </si>
  <si>
    <t>Etiqueta</t>
  </si>
  <si>
    <t>Empaque plástico</t>
  </si>
  <si>
    <t>Bolsa</t>
  </si>
  <si>
    <t>Máquina de coser (Singer M2505)</t>
  </si>
  <si>
    <t>Micro taller</t>
  </si>
  <si>
    <t>Remalladora / overlock</t>
  </si>
  <si>
    <t>Acabados</t>
  </si>
  <si>
    <t>Plancha de vapor</t>
  </si>
  <si>
    <t>Mesa de corte</t>
  </si>
  <si>
    <t>Maniquí</t>
  </si>
  <si>
    <t>Confeccionista / modista</t>
  </si>
  <si>
    <t>Costura, manejo de máquina industrial</t>
  </si>
  <si>
    <t>Asistente de costura</t>
  </si>
  <si>
    <t>Apoyo en corte y acabados</t>
  </si>
  <si>
    <t>Alquiler del taller</t>
  </si>
  <si>
    <t>Taller ~30 m²</t>
  </si>
  <si>
    <t>Electricidad (máquinas)</t>
  </si>
  <si>
    <t>~3 kWh/día</t>
  </si>
  <si>
    <t>Agua y otros servicios</t>
  </si>
  <si>
    <t>Mantenimiento de máquinas</t>
  </si>
  <si>
    <t>Aceite, agujas</t>
  </si>
  <si>
    <t>Transporte / flete de compras</t>
  </si>
  <si>
    <t>Telas</t>
  </si>
  <si>
    <t>Publicidad / marca / carteles</t>
  </si>
  <si>
    <t>Perchas para exhibición</t>
  </si>
  <si>
    <t>Etiquetado / diseño de marca</t>
  </si>
  <si>
    <t>Curso de creación de guión (6 sesiones de 1.5 h)</t>
  </si>
  <si>
    <t>Unidad de costeo: Por curso (supuesto: 10 alumnos)   |   Periodo: Por curso</t>
  </si>
  <si>
    <t>Costo total de personal (por curso) (S/)</t>
  </si>
  <si>
    <t>Total costos indirectos (por curso) (S/)</t>
  </si>
  <si>
    <t>1) INSUMOS / MATERIALES DIRECTOS</t>
  </si>
  <si>
    <t>No aplica: el servicio no consume materiales directos (no se imprime; se entrega en digital).</t>
  </si>
  <si>
    <t>TOTAL insumos por unidad</t>
  </si>
  <si>
    <t>Proyector multimedia</t>
  </si>
  <si>
    <t>Laptop / equipo de cómputo</t>
  </si>
  <si>
    <t>Pizarra blanca</t>
  </si>
  <si>
    <t>Mesas y sillas (set)</t>
  </si>
  <si>
    <t>3) CANTIDAD Y CARACTERÍSTICAS DEL PERSONAL  (por curso)</t>
  </si>
  <si>
    <t>Instructor de guión</t>
  </si>
  <si>
    <t>Experiencia en cine/TV o literatura; didáctica</t>
  </si>
  <si>
    <t>4) DETALLE DE COSTOS INDIRECTOS  (por curso)</t>
  </si>
  <si>
    <t>Alquiler de aula</t>
  </si>
  <si>
    <t>9 h × S/20</t>
  </si>
  <si>
    <t>Coworking / centro cultural</t>
  </si>
  <si>
    <t>Mantenimiento de proyector</t>
  </si>
  <si>
    <t>Por curso</t>
  </si>
  <si>
    <t>Prorrateo por curso</t>
  </si>
  <si>
    <t>Plataforma / inscripciones</t>
  </si>
  <si>
    <t>Promoción por curso</t>
  </si>
  <si>
    <t>Diseño de material promocional</t>
  </si>
  <si>
    <t>Restobar de cerveza artesanal con juegos de mesa</t>
  </si>
  <si>
    <t>Unidad de costeo: A determinar por el estudiante (por cerveza servida y por porción de postre)   |   Periodo: Mensual</t>
  </si>
  <si>
    <t>A determinar</t>
  </si>
  <si>
    <t>1) CUADRO DE COSTOS DE MERCADO  (el estudiante determina el costo por unidad)</t>
  </si>
  <si>
    <t>Ítem</t>
  </si>
  <si>
    <t>Unidad de compra</t>
  </si>
  <si>
    <t>Precio de mercado (S/)</t>
  </si>
  <si>
    <t>Rendimiento / uso</t>
  </si>
  <si>
    <t>Cerveza artesanal (compra para reventa)</t>
  </si>
  <si>
    <t>Barril / keg de cerveza artesanal 30 L</t>
  </si>
  <si>
    <t>barril</t>
  </si>
  <si>
    <t>Rinde ~60 vasos de 500 ml</t>
  </si>
  <si>
    <t>Referencial mayorista</t>
  </si>
  <si>
    <t>Cerveza artesanal en botella 330 ml</t>
  </si>
  <si>
    <t>caja x 12</t>
  </si>
  <si>
    <t>Rinde 12 botellas</t>
  </si>
  <si>
    <t>≈ S/8 / botella</t>
  </si>
  <si>
    <t>CO₂ para chopera (recarga balón)</t>
  </si>
  <si>
    <t>recarga</t>
  </si>
  <si>
    <t>Varios barriles</t>
  </si>
  <si>
    <t>Postre: queque de manzana</t>
  </si>
  <si>
    <t>Queque de manzana (postre)</t>
  </si>
  <si>
    <t>porción</t>
  </si>
  <si>
    <t>Costeo detallado en la pestaña «6. Queque de Manzana»</t>
  </si>
  <si>
    <t>Ver pestaña de postres</t>
  </si>
  <si>
    <t>Costo por unidad de venta: lo determina el estudiante a partir de estos precios y rendimientos.</t>
  </si>
  <si>
    <t>Chopera / dispensador de cerveza (torre)</t>
  </si>
  <si>
    <t>Conservadora de barriles (kegerator)</t>
  </si>
  <si>
    <t>Refrigeradora / congeladora de insumos</t>
  </si>
  <si>
    <t>Horno para repostería</t>
  </si>
  <si>
    <t>Queque de manzana</t>
  </si>
  <si>
    <t>Batidora industrial</t>
  </si>
  <si>
    <t>Repostería</t>
  </si>
  <si>
    <t>Mesas (10 unidades)</t>
  </si>
  <si>
    <t>Salón</t>
  </si>
  <si>
    <t>Sillas (40 unidades)</t>
  </si>
  <si>
    <t>Colección de juegos de mesa</t>
  </si>
  <si>
    <t>Atractivo del local</t>
  </si>
  <si>
    <t>Barra / mostrador</t>
  </si>
  <si>
    <t>Mobiliario</t>
  </si>
  <si>
    <t>Vasos, chops y menaje</t>
  </si>
  <si>
    <t>Servicio</t>
  </si>
  <si>
    <t>Equipo de sonido</t>
  </si>
  <si>
    <t>Ambiente</t>
  </si>
  <si>
    <t>Televisor</t>
  </si>
  <si>
    <t>Caja registradora / POS</t>
  </si>
  <si>
    <t>Punto de venta</t>
  </si>
  <si>
    <t>Decoración e iluminación</t>
  </si>
  <si>
    <t>Ambientación</t>
  </si>
  <si>
    <t>Bartender / barra</t>
  </si>
  <si>
    <t>Manejo de chopera, atención en barra</t>
  </si>
  <si>
    <t>Mozo/a de salón</t>
  </si>
  <si>
    <t>Atención a mesas y clientes</t>
  </si>
  <si>
    <t>Repostero/a (queques)</t>
  </si>
  <si>
    <t>Repostería; queque de manzana</t>
  </si>
  <si>
    <t>Cajero/a – administrador/a</t>
  </si>
  <si>
    <t>Caja, control y administración</t>
  </si>
  <si>
    <t>Alquiler del local (zona comercial)</t>
  </si>
  <si>
    <t>Restobar</t>
  </si>
  <si>
    <t>Electricidad</t>
  </si>
  <si>
    <t>Chopera, refrigeración, horno</t>
  </si>
  <si>
    <t>Agua</t>
  </si>
  <si>
    <t>Gas (cocina / horno)</t>
  </si>
  <si>
    <t>Internet, música y cable</t>
  </si>
  <si>
    <t>Mantenimiento y limpieza</t>
  </si>
  <si>
    <t>Equipos y local</t>
  </si>
  <si>
    <t>Reposición de menaje / mermas</t>
  </si>
  <si>
    <t>Vasos, platos</t>
  </si>
  <si>
    <t>Licencia de funcionamiento (amortizada)</t>
  </si>
  <si>
    <t>Licencia de venta de alcohol</t>
  </si>
  <si>
    <t>Certificado de Defensa Civil</t>
  </si>
  <si>
    <t>Software de caja / útiles</t>
  </si>
  <si>
    <t>Promociones / happy hour</t>
  </si>
  <si>
    <t>Eventos / torneos de juegos de mesa</t>
  </si>
  <si>
    <t>Comisión de apps de delivery</t>
  </si>
  <si>
    <t>Diseño de marca y cartas / menús</t>
  </si>
  <si>
    <t>Fabricación de chocolate blanco con inclusiones</t>
  </si>
  <si>
    <t>Unidad de costeo: Por barra de 100 g   |   Periodo: Mensual</t>
  </si>
  <si>
    <t>Manteca de cacao</t>
  </si>
  <si>
    <t>kg</t>
  </si>
  <si>
    <t>Leche en polvo entera</t>
  </si>
  <si>
    <t>Saco</t>
  </si>
  <si>
    <t>Ejemplo: saco 20 kg S/250 c/IGV</t>
  </si>
  <si>
    <t>Azúcar granulada</t>
  </si>
  <si>
    <t>Lecitina y vainilla</t>
  </si>
  <si>
    <t>Crisps (barquillo / arroz inflado)</t>
  </si>
  <si>
    <t>Empaque (aluminio + papel)</t>
  </si>
  <si>
    <t>Temperadora de chocolate (5 kg)</t>
  </si>
  <si>
    <t>Semi-automática</t>
  </si>
  <si>
    <t>Moldes de silicona / aluminio (set)</t>
  </si>
  <si>
    <t>Mesón de trabajo e instalación de enfriamiento</t>
  </si>
  <si>
    <t>Termómetro digital</t>
  </si>
  <si>
    <t>Chocolatero/a</t>
  </si>
  <si>
    <t>Formación en chocolatería / pastelería</t>
  </si>
  <si>
    <t>Alquiler del local / cocina</t>
  </si>
  <si>
    <t>Cocina industrial</t>
  </si>
  <si>
    <t>Electricidad (fusión / temperado)</t>
  </si>
  <si>
    <t>≈ S/3.45 / batch</t>
  </si>
  <si>
    <t>Agua (proceso)</t>
  </si>
  <si>
    <t>Cajas de envío</t>
  </si>
  <si>
    <t>Registro sanitario (DIGESA)</t>
  </si>
  <si>
    <t>Publicidad / muestras</t>
  </si>
  <si>
    <t>Diseño gráfico de empaque (amortizado)</t>
  </si>
  <si>
    <t>S/300 / 12 meses</t>
  </si>
  <si>
    <t>Transporte / delivery a clientes</t>
  </si>
  <si>
    <t>Preparación de postres – Queque de manzana</t>
  </si>
  <si>
    <t>Unidad de costeo: Por queque (rinde ~10 porciones)   |   Periodo: Mensual</t>
  </si>
  <si>
    <t>Harina sin preparar</t>
  </si>
  <si>
    <t>Manzana</t>
  </si>
  <si>
    <t>Jaba</t>
  </si>
  <si>
    <t>Azúcar rubia</t>
  </si>
  <si>
    <t>Huevos</t>
  </si>
  <si>
    <t>Cubeta</t>
  </si>
  <si>
    <t>≈ S/0.60 c/u</t>
  </si>
  <si>
    <t>Mantequilla</t>
  </si>
  <si>
    <t>Leche</t>
  </si>
  <si>
    <t>litro</t>
  </si>
  <si>
    <t>Polvo de hornear</t>
  </si>
  <si>
    <t>Esencia de vainilla y canela</t>
  </si>
  <si>
    <t>Frasco</t>
  </si>
  <si>
    <t>Empaque / molde descartable</t>
  </si>
  <si>
    <t>Paquete</t>
  </si>
  <si>
    <t>Presentación</t>
  </si>
  <si>
    <t>Horno de repostería (semi-industrial)</t>
  </si>
  <si>
    <t>Cocción</t>
  </si>
  <si>
    <t>Batidora de pie / industrial</t>
  </si>
  <si>
    <t>Mezcla de masa</t>
  </si>
  <si>
    <t>Refrigeradora para insumos</t>
  </si>
  <si>
    <t>Conservación</t>
  </si>
  <si>
    <t>Balanza digital de cocina</t>
  </si>
  <si>
    <t>Pesado de insumos</t>
  </si>
  <si>
    <t>Moldes para queque (set)</t>
  </si>
  <si>
    <t>Moldeo</t>
  </si>
  <si>
    <t>Mesa de trabajo de acero inoxidable</t>
  </si>
  <si>
    <t>Área de preparación</t>
  </si>
  <si>
    <t>Utensilios (bowls, espátulas, rejillas)</t>
  </si>
  <si>
    <t>Menaje</t>
  </si>
  <si>
    <t>Repostero/a</t>
  </si>
  <si>
    <t>Repostería / pastelería; elaboración de queques</t>
  </si>
  <si>
    <t>Alquiler del área de cocina</t>
  </si>
  <si>
    <t>Electricidad (horno, batidora, refrig.)</t>
  </si>
  <si>
    <t>Gas (horno)</t>
  </si>
  <si>
    <t>Empaque de presentación / cajas</t>
  </si>
  <si>
    <t>Delivery / transporte a clientes</t>
  </si>
  <si>
    <t>Diseño de marca y etiquetas</t>
  </si>
  <si>
    <t>Fórmulas a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</si>
</sst>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 &quot;#,##0.00"/>
    <numFmt numFmtId="165" formatCode="&quot;S/ &quot;#,##0"/>
    <numFmt numFmtId="166" formatCode="0.0%"/>
    <numFmt numFmtId="167" formatCode="#,##0.000"/>
  </numFmts>
  <fonts count="14" x14ac:knownFonts="1">
    <font>
      <sz val="11"/>
      <color theme="1"/>
      <name val="Calibri"/>
      <family val="2"/>
      <charset val="1"/>
    </font>
    <font>
      <b/>
      <sz val="15"/>
      <color rgb="FF8B0000"/>
      <name val="Arial"/>
      <charset val="1"/>
    </font>
    <font>
      <sz val="10"/>
      <color rgb="FF000000"/>
      <name val="Arial"/>
      <charset val="1"/>
    </font>
    <font>
      <b/>
      <sz val="12"/>
      <color rgb="FF8B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9"/>
      <color rgb="FF666666"/>
      <name val="Arial"/>
      <charset val="1"/>
    </font>
    <font>
      <b/>
      <sz val="10"/>
      <color rgb="FF8B0000"/>
      <name val="Arial"/>
      <charset val="1"/>
    </font>
    <font>
      <sz val="10"/>
      <color rgb="FF0000FF"/>
      <name val="Arial"/>
      <charset val="1"/>
    </font>
    <font>
      <b/>
      <sz val="9"/>
      <color rgb="FF000000"/>
      <name val="Arial"/>
      <charset val="1"/>
    </font>
    <font>
      <b/>
      <sz val="9"/>
      <color rgb="FF8B0000"/>
      <name val="Arial"/>
      <charset val="1"/>
    </font>
    <font>
      <sz val="8"/>
      <color rgb="FF666666"/>
      <name val="Arial"/>
      <charset val="1"/>
    </font>
    <font>
      <sz val="10"/>
      <color rgb="FF008000"/>
      <name val="Arial"/>
      <charset val="1"/>
    </font>
    <font>
      <sz val="10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BE9E7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FBE9E7"/>
        <bgColor rgb="FFF2F2F2"/>
      </patternFill>
    </fill>
  </fills>
  <borders count="2">
    <border>
      <left/>
      <right/>
      <top/>
      <bottom/>
      <diagonal/>
    </border>
    <border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9" fillId="5" borderId="0" xfId="0" applyFont="1" applyFill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12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showGridLines="0" topLeftCell="A43" zoomScaleNormal="100" workbookViewId="0">
      <selection activeCell="D61" sqref="D61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0</v>
      </c>
    </row>
    <row r="2" spans="1:7" ht="15.75" customHeight="1" x14ac:dyDescent="0.3">
      <c r="A2" s="4" t="s">
        <v>1</v>
      </c>
    </row>
    <row r="4" spans="1:7" ht="19.5" customHeight="1" x14ac:dyDescent="0.3">
      <c r="A4" s="2" t="s">
        <v>2</v>
      </c>
    </row>
    <row r="5" spans="1:7" x14ac:dyDescent="0.3">
      <c r="A5" s="5" t="s">
        <v>3</v>
      </c>
      <c r="B5" s="6">
        <v>1</v>
      </c>
    </row>
    <row r="6" spans="1:7" x14ac:dyDescent="0.3">
      <c r="A6" s="5" t="s">
        <v>4</v>
      </c>
      <c r="B6" s="7" t="s">
        <v>5</v>
      </c>
    </row>
    <row r="7" spans="1:7" x14ac:dyDescent="0.3">
      <c r="A7" s="5" t="s">
        <v>6</v>
      </c>
      <c r="B7" s="8">
        <f>D38</f>
        <v>3798</v>
      </c>
    </row>
    <row r="8" spans="1:7" x14ac:dyDescent="0.3">
      <c r="A8" s="5" t="s">
        <v>7</v>
      </c>
      <c r="B8" s="9">
        <f>G38</f>
        <v>69.545833333333334</v>
      </c>
    </row>
    <row r="9" spans="1:7" x14ac:dyDescent="0.3">
      <c r="A9" s="5" t="s">
        <v>8</v>
      </c>
      <c r="B9" s="8">
        <f>F43</f>
        <v>1690</v>
      </c>
    </row>
    <row r="10" spans="1:7" x14ac:dyDescent="0.3">
      <c r="A10" s="5" t="s">
        <v>9</v>
      </c>
      <c r="B10" s="9">
        <f>C54</f>
        <v>1705.5458333333333</v>
      </c>
    </row>
    <row r="11" spans="1:7" x14ac:dyDescent="0.3">
      <c r="A11" s="5" t="s">
        <v>10</v>
      </c>
      <c r="B11" s="9">
        <f>B62</f>
        <v>16.666666666666668</v>
      </c>
    </row>
    <row r="12" spans="1:7" x14ac:dyDescent="0.3">
      <c r="A12" s="5" t="s">
        <v>11</v>
      </c>
      <c r="B12" s="9">
        <f>B68</f>
        <v>100</v>
      </c>
    </row>
    <row r="14" spans="1:7" x14ac:dyDescent="0.3">
      <c r="A14" s="3" t="s">
        <v>12</v>
      </c>
      <c r="B14" s="10">
        <v>0.18</v>
      </c>
    </row>
    <row r="15" spans="1:7" ht="19.5" customHeight="1" x14ac:dyDescent="0.3">
      <c r="A15" s="2" t="s">
        <v>13</v>
      </c>
    </row>
    <row r="16" spans="1:7" ht="43.5" customHeight="1" x14ac:dyDescent="0.3">
      <c r="A16" s="11" t="s">
        <v>14</v>
      </c>
      <c r="B16" s="11" t="s">
        <v>15</v>
      </c>
      <c r="C16" s="11" t="s">
        <v>16</v>
      </c>
      <c r="D16" s="11" t="s">
        <v>17</v>
      </c>
      <c r="E16" s="11" t="s">
        <v>18</v>
      </c>
      <c r="F16" s="11" t="s">
        <v>19</v>
      </c>
      <c r="G16" s="11" t="s">
        <v>20</v>
      </c>
    </row>
    <row r="17" spans="1:8" x14ac:dyDescent="0.3">
      <c r="A17" s="12" t="s">
        <v>21</v>
      </c>
      <c r="B17" s="13" t="s">
        <v>22</v>
      </c>
      <c r="C17" s="14">
        <v>500</v>
      </c>
      <c r="D17" s="13" t="s">
        <v>23</v>
      </c>
      <c r="E17" s="15">
        <v>90</v>
      </c>
      <c r="F17" s="16"/>
      <c r="G17" s="16"/>
      <c r="H17" s="4" t="s">
        <v>24</v>
      </c>
    </row>
    <row r="18" spans="1:8" x14ac:dyDescent="0.3">
      <c r="A18" s="17" t="s">
        <v>25</v>
      </c>
      <c r="B18" s="18" t="s">
        <v>26</v>
      </c>
      <c r="C18" s="19">
        <v>1200</v>
      </c>
      <c r="D18" s="18" t="s">
        <v>27</v>
      </c>
      <c r="E18" s="20">
        <v>120</v>
      </c>
      <c r="F18" s="16"/>
      <c r="G18" s="16"/>
      <c r="H18" s="4" t="s">
        <v>28</v>
      </c>
    </row>
    <row r="19" spans="1:8" x14ac:dyDescent="0.3">
      <c r="A19" s="12" t="s">
        <v>29</v>
      </c>
      <c r="B19" s="13" t="s">
        <v>30</v>
      </c>
      <c r="C19" s="14">
        <v>1000</v>
      </c>
      <c r="D19" s="13" t="s">
        <v>31</v>
      </c>
      <c r="E19" s="15">
        <v>120</v>
      </c>
      <c r="F19" s="16"/>
      <c r="G19" s="16"/>
      <c r="H19" s="4" t="s">
        <v>24</v>
      </c>
    </row>
    <row r="21" spans="1:8" ht="19.5" customHeight="1" x14ac:dyDescent="0.3">
      <c r="A21" s="2" t="s">
        <v>32</v>
      </c>
    </row>
    <row r="22" spans="1:8" ht="31.5" customHeight="1" x14ac:dyDescent="0.3">
      <c r="A22" s="11" t="s">
        <v>14</v>
      </c>
      <c r="B22" s="11" t="s">
        <v>33</v>
      </c>
      <c r="C22" s="11" t="s">
        <v>17</v>
      </c>
      <c r="D22" s="11" t="s">
        <v>34</v>
      </c>
    </row>
    <row r="23" spans="1:8" x14ac:dyDescent="0.3">
      <c r="A23" s="12" t="s">
        <v>21</v>
      </c>
      <c r="B23" s="14">
        <v>1</v>
      </c>
      <c r="C23" s="13" t="s">
        <v>23</v>
      </c>
      <c r="D23" s="16"/>
    </row>
    <row r="24" spans="1:8" x14ac:dyDescent="0.3">
      <c r="A24" s="17" t="s">
        <v>25</v>
      </c>
      <c r="B24" s="19">
        <v>1</v>
      </c>
      <c r="C24" s="18" t="s">
        <v>27</v>
      </c>
      <c r="D24" s="16"/>
    </row>
    <row r="25" spans="1:8" x14ac:dyDescent="0.3">
      <c r="A25" s="12" t="s">
        <v>29</v>
      </c>
      <c r="B25" s="14">
        <v>1</v>
      </c>
      <c r="C25" s="13" t="s">
        <v>31</v>
      </c>
      <c r="D25" s="16"/>
    </row>
    <row r="26" spans="1:8" x14ac:dyDescent="0.3">
      <c r="A26" s="21" t="s">
        <v>35</v>
      </c>
      <c r="B26" s="22"/>
      <c r="C26" s="22"/>
      <c r="D26" s="23"/>
    </row>
    <row r="28" spans="1:8" x14ac:dyDescent="0.3">
      <c r="A28" s="24" t="s">
        <v>305</v>
      </c>
    </row>
    <row r="29" spans="1:8" x14ac:dyDescent="0.3">
      <c r="A29" s="4" t="s">
        <v>36</v>
      </c>
    </row>
    <row r="30" spans="1:8" x14ac:dyDescent="0.3">
      <c r="A30" s="4" t="s">
        <v>37</v>
      </c>
    </row>
    <row r="31" spans="1:8" x14ac:dyDescent="0.3">
      <c r="A31" s="4" t="s">
        <v>38</v>
      </c>
    </row>
    <row r="33" spans="1:8" ht="19.5" customHeight="1" x14ac:dyDescent="0.3">
      <c r="A33" s="2" t="s">
        <v>39</v>
      </c>
    </row>
    <row r="34" spans="1:8" ht="30" customHeight="1" x14ac:dyDescent="0.3">
      <c r="A34" s="11" t="s">
        <v>40</v>
      </c>
      <c r="B34" s="11" t="s">
        <v>41</v>
      </c>
      <c r="C34" s="11" t="s">
        <v>42</v>
      </c>
      <c r="D34" s="11" t="s">
        <v>43</v>
      </c>
      <c r="E34" s="11" t="s">
        <v>44</v>
      </c>
      <c r="F34" s="11" t="s">
        <v>45</v>
      </c>
      <c r="G34" s="11" t="s">
        <v>46</v>
      </c>
      <c r="H34" s="25" t="s">
        <v>47</v>
      </c>
    </row>
    <row r="35" spans="1:8" x14ac:dyDescent="0.3">
      <c r="A35" s="12" t="s">
        <v>48</v>
      </c>
      <c r="B35" s="26">
        <v>1</v>
      </c>
      <c r="C35" s="27">
        <v>1399</v>
      </c>
      <c r="D35" s="28">
        <f>B35*C35</f>
        <v>1399</v>
      </c>
      <c r="E35" s="26">
        <v>5</v>
      </c>
      <c r="F35" s="28">
        <f>IFERROR(D35/E35,0)</f>
        <v>279.8</v>
      </c>
      <c r="G35" s="29">
        <f>F35/12</f>
        <v>23.316666666666666</v>
      </c>
      <c r="H35" s="4" t="s">
        <v>49</v>
      </c>
    </row>
    <row r="36" spans="1:8" x14ac:dyDescent="0.3">
      <c r="A36" s="17" t="s">
        <v>50</v>
      </c>
      <c r="B36" s="30">
        <v>1</v>
      </c>
      <c r="C36" s="31">
        <v>2099</v>
      </c>
      <c r="D36" s="32">
        <f>B36*C36</f>
        <v>2099</v>
      </c>
      <c r="E36" s="30">
        <v>4</v>
      </c>
      <c r="F36" s="32">
        <f>IFERROR(D36/E36,0)</f>
        <v>524.75</v>
      </c>
      <c r="G36" s="33">
        <f>F36/12</f>
        <v>43.729166666666664</v>
      </c>
      <c r="H36" s="4" t="s">
        <v>51</v>
      </c>
    </row>
    <row r="37" spans="1:8" x14ac:dyDescent="0.3">
      <c r="A37" s="12" t="s">
        <v>52</v>
      </c>
      <c r="B37" s="26">
        <v>1</v>
      </c>
      <c r="C37" s="27">
        <v>300</v>
      </c>
      <c r="D37" s="28">
        <f>B37*C37</f>
        <v>300</v>
      </c>
      <c r="E37" s="26">
        <v>10</v>
      </c>
      <c r="F37" s="28">
        <f>IFERROR(D37/E37,0)</f>
        <v>30</v>
      </c>
      <c r="G37" s="29">
        <f>F37/12</f>
        <v>2.5</v>
      </c>
      <c r="H37" s="4" t="s">
        <v>53</v>
      </c>
    </row>
    <row r="38" spans="1:8" x14ac:dyDescent="0.3">
      <c r="A38" s="21" t="s">
        <v>54</v>
      </c>
      <c r="B38" s="22"/>
      <c r="C38" s="22"/>
      <c r="D38" s="34">
        <f>SUM(D35:D37)</f>
        <v>3798</v>
      </c>
      <c r="E38" s="22"/>
      <c r="F38" s="34">
        <f>SUM(F35:F37)</f>
        <v>834.55</v>
      </c>
      <c r="G38" s="35">
        <f>SUM(G35:G37)</f>
        <v>69.545833333333334</v>
      </c>
    </row>
    <row r="40" spans="1:8" ht="19.5" customHeight="1" x14ac:dyDescent="0.3">
      <c r="A40" s="2" t="s">
        <v>55</v>
      </c>
    </row>
    <row r="41" spans="1:8" ht="30" customHeight="1" x14ac:dyDescent="0.3">
      <c r="A41" s="11" t="s">
        <v>56</v>
      </c>
      <c r="B41" s="11" t="s">
        <v>41</v>
      </c>
      <c r="C41" s="11" t="s">
        <v>57</v>
      </c>
      <c r="D41" s="11" t="s">
        <v>58</v>
      </c>
      <c r="E41" s="11" t="s">
        <v>59</v>
      </c>
      <c r="F41" s="11" t="s">
        <v>60</v>
      </c>
      <c r="G41" s="11" t="s">
        <v>61</v>
      </c>
      <c r="H41" s="25" t="s">
        <v>62</v>
      </c>
    </row>
    <row r="42" spans="1:8" ht="22.8" x14ac:dyDescent="0.3">
      <c r="A42" s="12" t="s">
        <v>63</v>
      </c>
      <c r="B42" s="26">
        <v>1</v>
      </c>
      <c r="C42" s="27">
        <v>1300</v>
      </c>
      <c r="D42" s="10">
        <v>0.3</v>
      </c>
      <c r="E42" s="28">
        <f>C42*D42</f>
        <v>390</v>
      </c>
      <c r="F42" s="28">
        <f>(C42+E42)*B42</f>
        <v>1690</v>
      </c>
      <c r="G42" s="28">
        <f>F42*12</f>
        <v>20280</v>
      </c>
      <c r="H42" s="36" t="s">
        <v>64</v>
      </c>
    </row>
    <row r="43" spans="1:8" x14ac:dyDescent="0.3">
      <c r="A43" s="21" t="s">
        <v>65</v>
      </c>
      <c r="B43" s="22"/>
      <c r="C43" s="22"/>
      <c r="D43" s="22"/>
      <c r="E43" s="22"/>
      <c r="F43" s="34">
        <f>SUM(F42:F42)</f>
        <v>1690</v>
      </c>
      <c r="G43" s="34">
        <f>SUM(G42:G42)</f>
        <v>20280</v>
      </c>
    </row>
    <row r="44" spans="1:8" x14ac:dyDescent="0.3">
      <c r="A44" s="37" t="s">
        <v>66</v>
      </c>
    </row>
    <row r="46" spans="1:8" ht="19.5" customHeight="1" x14ac:dyDescent="0.3">
      <c r="A46" s="2" t="s">
        <v>67</v>
      </c>
    </row>
    <row r="47" spans="1:8" x14ac:dyDescent="0.3">
      <c r="A47" s="11" t="s">
        <v>68</v>
      </c>
      <c r="B47" s="11" t="s">
        <v>69</v>
      </c>
      <c r="C47" s="11" t="s">
        <v>70</v>
      </c>
      <c r="D47" s="25" t="s">
        <v>47</v>
      </c>
    </row>
    <row r="48" spans="1:8" x14ac:dyDescent="0.3">
      <c r="A48" s="12" t="s">
        <v>71</v>
      </c>
      <c r="B48" s="38" t="s">
        <v>72</v>
      </c>
      <c r="C48" s="15">
        <v>1500</v>
      </c>
      <c r="D48" s="4" t="s">
        <v>73</v>
      </c>
    </row>
    <row r="49" spans="1:4" x14ac:dyDescent="0.3">
      <c r="A49" s="17" t="s">
        <v>74</v>
      </c>
      <c r="B49" s="39" t="s">
        <v>75</v>
      </c>
      <c r="C49" s="20">
        <v>20</v>
      </c>
      <c r="D49" s="4" t="s">
        <v>76</v>
      </c>
    </row>
    <row r="50" spans="1:4" x14ac:dyDescent="0.3">
      <c r="A50" s="12" t="s">
        <v>77</v>
      </c>
      <c r="B50" s="38" t="s">
        <v>75</v>
      </c>
      <c r="C50" s="15">
        <v>50</v>
      </c>
      <c r="D50" s="4" t="s">
        <v>78</v>
      </c>
    </row>
    <row r="51" spans="1:4" x14ac:dyDescent="0.3">
      <c r="A51" s="17" t="s">
        <v>79</v>
      </c>
      <c r="B51" s="39" t="s">
        <v>80</v>
      </c>
      <c r="C51" s="20">
        <v>16</v>
      </c>
      <c r="D51" s="4" t="s">
        <v>81</v>
      </c>
    </row>
    <row r="52" spans="1:4" x14ac:dyDescent="0.3">
      <c r="A52" s="12" t="s">
        <v>82</v>
      </c>
      <c r="B52" s="38" t="s">
        <v>75</v>
      </c>
      <c r="C52" s="15">
        <v>50</v>
      </c>
      <c r="D52" s="4" t="s">
        <v>83</v>
      </c>
    </row>
    <row r="53" spans="1:4" x14ac:dyDescent="0.3">
      <c r="A53" s="17" t="s">
        <v>84</v>
      </c>
      <c r="B53" s="39"/>
      <c r="C53" s="40">
        <f>G38</f>
        <v>69.545833333333334</v>
      </c>
      <c r="D53" s="4" t="s">
        <v>85</v>
      </c>
    </row>
    <row r="54" spans="1:4" x14ac:dyDescent="0.3">
      <c r="A54" s="21" t="s">
        <v>86</v>
      </c>
      <c r="B54" s="22"/>
      <c r="C54" s="35">
        <f>SUM(C48:C53)</f>
        <v>1705.5458333333333</v>
      </c>
    </row>
    <row r="56" spans="1:4" ht="19.5" customHeight="1" x14ac:dyDescent="0.3">
      <c r="A56" s="2" t="s">
        <v>87</v>
      </c>
    </row>
    <row r="57" spans="1:4" x14ac:dyDescent="0.3">
      <c r="A57" s="11" t="s">
        <v>68</v>
      </c>
      <c r="B57" s="11" t="s">
        <v>70</v>
      </c>
      <c r="C57" s="25" t="s">
        <v>47</v>
      </c>
    </row>
    <row r="58" spans="1:4" x14ac:dyDescent="0.3">
      <c r="A58" s="12" t="s">
        <v>88</v>
      </c>
      <c r="B58" s="41">
        <v>0</v>
      </c>
      <c r="C58" s="4" t="s">
        <v>89</v>
      </c>
    </row>
    <row r="59" spans="1:4" x14ac:dyDescent="0.3">
      <c r="A59" s="17" t="s">
        <v>90</v>
      </c>
      <c r="B59" s="20">
        <f>200/12</f>
        <v>16.666666666666668</v>
      </c>
      <c r="C59" s="4" t="s">
        <v>80</v>
      </c>
    </row>
    <row r="60" spans="1:4" x14ac:dyDescent="0.3">
      <c r="A60" s="12" t="s">
        <v>91</v>
      </c>
      <c r="B60" s="41">
        <v>0</v>
      </c>
      <c r="C60" s="4" t="s">
        <v>89</v>
      </c>
    </row>
    <row r="61" spans="1:4" x14ac:dyDescent="0.3">
      <c r="A61" s="17" t="s">
        <v>92</v>
      </c>
      <c r="B61" s="41">
        <v>0</v>
      </c>
      <c r="C61" s="4" t="s">
        <v>89</v>
      </c>
    </row>
    <row r="62" spans="1:4" x14ac:dyDescent="0.3">
      <c r="A62" s="21" t="s">
        <v>93</v>
      </c>
      <c r="B62" s="35">
        <f>SUM(B58:B61)</f>
        <v>16.666666666666668</v>
      </c>
    </row>
    <row r="64" spans="1:4" ht="19.5" customHeight="1" x14ac:dyDescent="0.3">
      <c r="A64" s="2" t="s">
        <v>94</v>
      </c>
    </row>
    <row r="65" spans="1:3" x14ac:dyDescent="0.3">
      <c r="A65" s="11" t="s">
        <v>68</v>
      </c>
      <c r="B65" s="11" t="s">
        <v>70</v>
      </c>
      <c r="C65" s="25" t="s">
        <v>47</v>
      </c>
    </row>
    <row r="66" spans="1:3" x14ac:dyDescent="0.3">
      <c r="A66" s="12" t="s">
        <v>95</v>
      </c>
      <c r="B66" s="15">
        <v>100</v>
      </c>
      <c r="C66" s="4" t="s">
        <v>96</v>
      </c>
    </row>
    <row r="67" spans="1:3" x14ac:dyDescent="0.3">
      <c r="A67" s="17" t="s">
        <v>97</v>
      </c>
      <c r="B67" s="41">
        <v>0</v>
      </c>
      <c r="C67" s="4" t="s">
        <v>89</v>
      </c>
    </row>
    <row r="68" spans="1:3" x14ac:dyDescent="0.3">
      <c r="A68" s="21" t="s">
        <v>98</v>
      </c>
      <c r="B68" s="35">
        <f>SUM(B66:B67)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showGridLines="0" topLeftCell="A31" zoomScaleNormal="100" workbookViewId="0">
      <selection activeCell="D54" sqref="D54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99</v>
      </c>
    </row>
    <row r="2" spans="1:7" ht="15.75" customHeight="1" x14ac:dyDescent="0.3">
      <c r="A2" s="4" t="s">
        <v>100</v>
      </c>
    </row>
    <row r="4" spans="1:7" ht="19.5" customHeight="1" x14ac:dyDescent="0.3">
      <c r="A4" s="2" t="s">
        <v>2</v>
      </c>
    </row>
    <row r="5" spans="1:7" x14ac:dyDescent="0.3">
      <c r="A5" s="5" t="s">
        <v>3</v>
      </c>
      <c r="B5" s="6">
        <v>70</v>
      </c>
    </row>
    <row r="6" spans="1:7" x14ac:dyDescent="0.3">
      <c r="A6" s="5" t="s">
        <v>4</v>
      </c>
      <c r="B6" s="7" t="s">
        <v>5</v>
      </c>
    </row>
    <row r="7" spans="1:7" x14ac:dyDescent="0.3">
      <c r="A7" s="5" t="s">
        <v>6</v>
      </c>
      <c r="B7" s="8">
        <f>D46</f>
        <v>2289</v>
      </c>
    </row>
    <row r="8" spans="1:7" x14ac:dyDescent="0.3">
      <c r="A8" s="5" t="s">
        <v>7</v>
      </c>
      <c r="B8" s="9">
        <f>G46</f>
        <v>33.983333333333341</v>
      </c>
    </row>
    <row r="9" spans="1:7" x14ac:dyDescent="0.3">
      <c r="A9" s="5" t="s">
        <v>8</v>
      </c>
      <c r="B9" s="8">
        <f>F52</f>
        <v>3380</v>
      </c>
    </row>
    <row r="10" spans="1:7" x14ac:dyDescent="0.3">
      <c r="A10" s="5" t="s">
        <v>9</v>
      </c>
      <c r="B10" s="9">
        <f>C63</f>
        <v>1158.9833333333333</v>
      </c>
    </row>
    <row r="11" spans="1:7" x14ac:dyDescent="0.3">
      <c r="A11" s="5" t="s">
        <v>10</v>
      </c>
      <c r="B11" s="9">
        <f>B70</f>
        <v>0</v>
      </c>
    </row>
    <row r="12" spans="1:7" x14ac:dyDescent="0.3">
      <c r="A12" s="5" t="s">
        <v>11</v>
      </c>
      <c r="B12" s="9">
        <f>B77</f>
        <v>100</v>
      </c>
    </row>
    <row r="14" spans="1:7" x14ac:dyDescent="0.3">
      <c r="A14" s="3" t="s">
        <v>12</v>
      </c>
      <c r="B14" s="10">
        <v>0.18</v>
      </c>
    </row>
    <row r="15" spans="1:7" ht="19.5" customHeight="1" x14ac:dyDescent="0.3">
      <c r="A15" s="2" t="s">
        <v>13</v>
      </c>
    </row>
    <row r="16" spans="1:7" ht="43.5" customHeight="1" x14ac:dyDescent="0.3">
      <c r="A16" s="11" t="s">
        <v>14</v>
      </c>
      <c r="B16" s="11" t="s">
        <v>15</v>
      </c>
      <c r="C16" s="11" t="s">
        <v>16</v>
      </c>
      <c r="D16" s="11" t="s">
        <v>17</v>
      </c>
      <c r="E16" s="11" t="s">
        <v>18</v>
      </c>
      <c r="F16" s="11" t="s">
        <v>19</v>
      </c>
      <c r="G16" s="11" t="s">
        <v>20</v>
      </c>
    </row>
    <row r="17" spans="1:8" x14ac:dyDescent="0.3">
      <c r="A17" s="12" t="s">
        <v>101</v>
      </c>
      <c r="B17" s="13" t="s">
        <v>102</v>
      </c>
      <c r="C17" s="14">
        <v>50</v>
      </c>
      <c r="D17" s="13" t="s">
        <v>103</v>
      </c>
      <c r="E17" s="15">
        <v>600</v>
      </c>
      <c r="F17" s="16"/>
      <c r="G17" s="16"/>
      <c r="H17" s="4" t="s">
        <v>104</v>
      </c>
    </row>
    <row r="18" spans="1:8" x14ac:dyDescent="0.3">
      <c r="A18" s="17" t="s">
        <v>105</v>
      </c>
      <c r="B18" s="18" t="s">
        <v>102</v>
      </c>
      <c r="C18" s="19">
        <v>100</v>
      </c>
      <c r="D18" s="18" t="s">
        <v>103</v>
      </c>
      <c r="E18" s="20">
        <v>150</v>
      </c>
      <c r="F18" s="16"/>
      <c r="G18" s="16"/>
      <c r="H18" s="4" t="s">
        <v>24</v>
      </c>
    </row>
    <row r="19" spans="1:8" x14ac:dyDescent="0.3">
      <c r="A19" s="12" t="s">
        <v>106</v>
      </c>
      <c r="B19" s="13" t="s">
        <v>107</v>
      </c>
      <c r="C19" s="14">
        <v>5000</v>
      </c>
      <c r="D19" s="13" t="s">
        <v>103</v>
      </c>
      <c r="E19" s="15">
        <v>12</v>
      </c>
      <c r="F19" s="16"/>
      <c r="G19" s="16"/>
      <c r="H19" s="4" t="s">
        <v>24</v>
      </c>
    </row>
    <row r="20" spans="1:8" x14ac:dyDescent="0.3">
      <c r="A20" s="17" t="s">
        <v>108</v>
      </c>
      <c r="B20" s="18" t="s">
        <v>22</v>
      </c>
      <c r="C20" s="19">
        <v>144</v>
      </c>
      <c r="D20" s="18" t="s">
        <v>31</v>
      </c>
      <c r="E20" s="20">
        <v>36</v>
      </c>
      <c r="F20" s="16"/>
      <c r="G20" s="16"/>
      <c r="H20" s="4" t="s">
        <v>109</v>
      </c>
    </row>
    <row r="21" spans="1:8" x14ac:dyDescent="0.3">
      <c r="A21" s="12" t="s">
        <v>110</v>
      </c>
      <c r="B21" s="13" t="s">
        <v>30</v>
      </c>
      <c r="C21" s="14">
        <v>1000</v>
      </c>
      <c r="D21" s="13" t="s">
        <v>31</v>
      </c>
      <c r="E21" s="15">
        <v>300</v>
      </c>
      <c r="F21" s="16"/>
      <c r="G21" s="16"/>
      <c r="H21" s="4" t="s">
        <v>24</v>
      </c>
    </row>
    <row r="22" spans="1:8" x14ac:dyDescent="0.3">
      <c r="A22" s="17" t="s">
        <v>111</v>
      </c>
      <c r="B22" s="18" t="s">
        <v>30</v>
      </c>
      <c r="C22" s="19">
        <v>1000</v>
      </c>
      <c r="D22" s="18" t="s">
        <v>31</v>
      </c>
      <c r="E22" s="20">
        <v>120</v>
      </c>
      <c r="F22" s="16"/>
      <c r="G22" s="16"/>
      <c r="H22" s="4" t="s">
        <v>112</v>
      </c>
    </row>
    <row r="24" spans="1:8" ht="19.5" customHeight="1" x14ac:dyDescent="0.3">
      <c r="A24" s="2" t="s">
        <v>32</v>
      </c>
    </row>
    <row r="25" spans="1:8" ht="31.5" customHeight="1" x14ac:dyDescent="0.3">
      <c r="A25" s="11" t="s">
        <v>14</v>
      </c>
      <c r="B25" s="11" t="s">
        <v>33</v>
      </c>
      <c r="C25" s="11" t="s">
        <v>17</v>
      </c>
      <c r="D25" s="11" t="s">
        <v>34</v>
      </c>
    </row>
    <row r="26" spans="1:8" x14ac:dyDescent="0.3">
      <c r="A26" s="12" t="s">
        <v>101</v>
      </c>
      <c r="B26" s="14">
        <v>2.5</v>
      </c>
      <c r="C26" s="13" t="s">
        <v>103</v>
      </c>
      <c r="D26" s="16"/>
    </row>
    <row r="27" spans="1:8" x14ac:dyDescent="0.3">
      <c r="A27" s="17" t="s">
        <v>105</v>
      </c>
      <c r="B27" s="19">
        <v>1</v>
      </c>
      <c r="C27" s="18" t="s">
        <v>103</v>
      </c>
      <c r="D27" s="16"/>
    </row>
    <row r="28" spans="1:8" x14ac:dyDescent="0.3">
      <c r="A28" s="12" t="s">
        <v>106</v>
      </c>
      <c r="B28" s="14">
        <v>10</v>
      </c>
      <c r="C28" s="13" t="s">
        <v>103</v>
      </c>
      <c r="D28" s="16"/>
    </row>
    <row r="29" spans="1:8" x14ac:dyDescent="0.3">
      <c r="A29" s="17" t="s">
        <v>108</v>
      </c>
      <c r="B29" s="19">
        <v>4</v>
      </c>
      <c r="C29" s="18" t="s">
        <v>31</v>
      </c>
      <c r="D29" s="16"/>
    </row>
    <row r="30" spans="1:8" x14ac:dyDescent="0.3">
      <c r="A30" s="12" t="s">
        <v>110</v>
      </c>
      <c r="B30" s="14">
        <v>1</v>
      </c>
      <c r="C30" s="13" t="s">
        <v>31</v>
      </c>
      <c r="D30" s="16"/>
    </row>
    <row r="31" spans="1:8" x14ac:dyDescent="0.3">
      <c r="A31" s="17" t="s">
        <v>111</v>
      </c>
      <c r="B31" s="19">
        <v>1</v>
      </c>
      <c r="C31" s="18" t="s">
        <v>31</v>
      </c>
      <c r="D31" s="16"/>
    </row>
    <row r="32" spans="1:8" x14ac:dyDescent="0.3">
      <c r="A32" s="21" t="s">
        <v>35</v>
      </c>
      <c r="B32" s="22"/>
      <c r="C32" s="22"/>
      <c r="D32" s="23"/>
    </row>
    <row r="34" spans="1:8" x14ac:dyDescent="0.3">
      <c r="A34" s="24" t="s">
        <v>305</v>
      </c>
    </row>
    <row r="35" spans="1:8" x14ac:dyDescent="0.3">
      <c r="A35" s="4" t="s">
        <v>36</v>
      </c>
    </row>
    <row r="36" spans="1:8" x14ac:dyDescent="0.3">
      <c r="A36" s="4" t="s">
        <v>37</v>
      </c>
    </row>
    <row r="37" spans="1:8" x14ac:dyDescent="0.3">
      <c r="A37" s="4" t="s">
        <v>38</v>
      </c>
    </row>
    <row r="39" spans="1:8" ht="19.5" customHeight="1" x14ac:dyDescent="0.3">
      <c r="A39" s="2" t="s">
        <v>39</v>
      </c>
    </row>
    <row r="40" spans="1:8" ht="30" customHeight="1" x14ac:dyDescent="0.3">
      <c r="A40" s="11" t="s">
        <v>40</v>
      </c>
      <c r="B40" s="11" t="s">
        <v>41</v>
      </c>
      <c r="C40" s="11" t="s">
        <v>42</v>
      </c>
      <c r="D40" s="11" t="s">
        <v>43</v>
      </c>
      <c r="E40" s="11" t="s">
        <v>44</v>
      </c>
      <c r="F40" s="11" t="s">
        <v>45</v>
      </c>
      <c r="G40" s="11" t="s">
        <v>46</v>
      </c>
      <c r="H40" s="25" t="s">
        <v>47</v>
      </c>
    </row>
    <row r="41" spans="1:8" x14ac:dyDescent="0.3">
      <c r="A41" s="12" t="s">
        <v>113</v>
      </c>
      <c r="B41" s="26">
        <v>1</v>
      </c>
      <c r="C41" s="27">
        <v>789</v>
      </c>
      <c r="D41" s="28">
        <f>B41*C41</f>
        <v>789</v>
      </c>
      <c r="E41" s="26">
        <v>5</v>
      </c>
      <c r="F41" s="28">
        <f>IFERROR(D41/E41,0)</f>
        <v>157.80000000000001</v>
      </c>
      <c r="G41" s="29">
        <f>F41/12</f>
        <v>13.15</v>
      </c>
      <c r="H41" s="4" t="s">
        <v>114</v>
      </c>
    </row>
    <row r="42" spans="1:8" x14ac:dyDescent="0.3">
      <c r="A42" s="17" t="s">
        <v>115</v>
      </c>
      <c r="B42" s="30">
        <v>1</v>
      </c>
      <c r="C42" s="31">
        <v>1000</v>
      </c>
      <c r="D42" s="32">
        <f>B42*C42</f>
        <v>1000</v>
      </c>
      <c r="E42" s="30">
        <v>5</v>
      </c>
      <c r="F42" s="32">
        <f>IFERROR(D42/E42,0)</f>
        <v>200</v>
      </c>
      <c r="G42" s="33">
        <f>F42/12</f>
        <v>16.666666666666668</v>
      </c>
      <c r="H42" s="4" t="s">
        <v>116</v>
      </c>
    </row>
    <row r="43" spans="1:8" x14ac:dyDescent="0.3">
      <c r="A43" s="12" t="s">
        <v>117</v>
      </c>
      <c r="B43" s="26">
        <v>1</v>
      </c>
      <c r="C43" s="27">
        <v>200</v>
      </c>
      <c r="D43" s="28">
        <f>B43*C43</f>
        <v>200</v>
      </c>
      <c r="E43" s="26">
        <v>10</v>
      </c>
      <c r="F43" s="28">
        <f>IFERROR(D43/E43,0)</f>
        <v>20</v>
      </c>
      <c r="G43" s="29">
        <f>F43/12</f>
        <v>1.6666666666666667</v>
      </c>
      <c r="H43" s="4" t="s">
        <v>53</v>
      </c>
    </row>
    <row r="44" spans="1:8" x14ac:dyDescent="0.3">
      <c r="A44" s="17" t="s">
        <v>118</v>
      </c>
      <c r="B44" s="30">
        <v>1</v>
      </c>
      <c r="C44" s="31">
        <v>200</v>
      </c>
      <c r="D44" s="32">
        <f>B44*C44</f>
        <v>200</v>
      </c>
      <c r="E44" s="30">
        <v>10</v>
      </c>
      <c r="F44" s="32">
        <f>IFERROR(D44/E44,0)</f>
        <v>20</v>
      </c>
      <c r="G44" s="33">
        <f>F44/12</f>
        <v>1.6666666666666667</v>
      </c>
      <c r="H44" s="4" t="s">
        <v>53</v>
      </c>
    </row>
    <row r="45" spans="1:8" x14ac:dyDescent="0.3">
      <c r="A45" s="12" t="s">
        <v>119</v>
      </c>
      <c r="B45" s="26">
        <v>1</v>
      </c>
      <c r="C45" s="27">
        <v>100</v>
      </c>
      <c r="D45" s="28">
        <f>B45*C45</f>
        <v>100</v>
      </c>
      <c r="E45" s="26">
        <v>10</v>
      </c>
      <c r="F45" s="28">
        <f>IFERROR(D45/E45,0)</f>
        <v>10</v>
      </c>
      <c r="G45" s="29">
        <f>F45/12</f>
        <v>0.83333333333333337</v>
      </c>
      <c r="H45" s="4" t="s">
        <v>53</v>
      </c>
    </row>
    <row r="46" spans="1:8" x14ac:dyDescent="0.3">
      <c r="A46" s="21" t="s">
        <v>54</v>
      </c>
      <c r="B46" s="22"/>
      <c r="C46" s="22"/>
      <c r="D46" s="34">
        <f>SUM(D41:D45)</f>
        <v>2289</v>
      </c>
      <c r="E46" s="22"/>
      <c r="F46" s="34">
        <f>SUM(F41:F45)</f>
        <v>407.8</v>
      </c>
      <c r="G46" s="35">
        <f>SUM(G41:G45)</f>
        <v>33.983333333333341</v>
      </c>
    </row>
    <row r="48" spans="1:8" ht="19.5" customHeight="1" x14ac:dyDescent="0.3">
      <c r="A48" s="2" t="s">
        <v>55</v>
      </c>
    </row>
    <row r="49" spans="1:8" ht="30" customHeight="1" x14ac:dyDescent="0.3">
      <c r="A49" s="11" t="s">
        <v>56</v>
      </c>
      <c r="B49" s="11" t="s">
        <v>41</v>
      </c>
      <c r="C49" s="11" t="s">
        <v>57</v>
      </c>
      <c r="D49" s="11" t="s">
        <v>58</v>
      </c>
      <c r="E49" s="11" t="s">
        <v>59</v>
      </c>
      <c r="F49" s="11" t="s">
        <v>60</v>
      </c>
      <c r="G49" s="11" t="s">
        <v>61</v>
      </c>
      <c r="H49" s="25" t="s">
        <v>62</v>
      </c>
    </row>
    <row r="50" spans="1:8" ht="22.8" x14ac:dyDescent="0.3">
      <c r="A50" s="12" t="s">
        <v>120</v>
      </c>
      <c r="B50" s="26">
        <v>1</v>
      </c>
      <c r="C50" s="27">
        <v>1300</v>
      </c>
      <c r="D50" s="10">
        <v>0.3</v>
      </c>
      <c r="E50" s="28">
        <f>C50*D50</f>
        <v>390</v>
      </c>
      <c r="F50" s="28">
        <f>(C50+E50)*B50</f>
        <v>1690</v>
      </c>
      <c r="G50" s="28">
        <f>F50*12</f>
        <v>20280</v>
      </c>
      <c r="H50" s="36" t="s">
        <v>121</v>
      </c>
    </row>
    <row r="51" spans="1:8" x14ac:dyDescent="0.3">
      <c r="A51" s="17" t="s">
        <v>122</v>
      </c>
      <c r="B51" s="30">
        <v>1</v>
      </c>
      <c r="C51" s="31">
        <v>1300</v>
      </c>
      <c r="D51" s="10">
        <v>0.3</v>
      </c>
      <c r="E51" s="32">
        <f>C51*D51</f>
        <v>390</v>
      </c>
      <c r="F51" s="32">
        <f>(C51+E51)*B51</f>
        <v>1690</v>
      </c>
      <c r="G51" s="32">
        <f>F51*12</f>
        <v>20280</v>
      </c>
      <c r="H51" s="36" t="s">
        <v>123</v>
      </c>
    </row>
    <row r="52" spans="1:8" x14ac:dyDescent="0.3">
      <c r="A52" s="21" t="s">
        <v>65</v>
      </c>
      <c r="B52" s="22"/>
      <c r="C52" s="22"/>
      <c r="D52" s="22"/>
      <c r="E52" s="22"/>
      <c r="F52" s="34">
        <f>SUM(F50:F51)</f>
        <v>3380</v>
      </c>
      <c r="G52" s="34">
        <f>SUM(G50:G51)</f>
        <v>40560</v>
      </c>
    </row>
    <row r="53" spans="1:8" x14ac:dyDescent="0.3">
      <c r="A53" s="37" t="s">
        <v>66</v>
      </c>
    </row>
    <row r="55" spans="1:8" ht="19.5" customHeight="1" x14ac:dyDescent="0.3">
      <c r="A55" s="2" t="s">
        <v>67</v>
      </c>
    </row>
    <row r="56" spans="1:8" x14ac:dyDescent="0.3">
      <c r="A56" s="11" t="s">
        <v>68</v>
      </c>
      <c r="B56" s="11" t="s">
        <v>69</v>
      </c>
      <c r="C56" s="11" t="s">
        <v>70</v>
      </c>
      <c r="D56" s="25" t="s">
        <v>47</v>
      </c>
    </row>
    <row r="57" spans="1:8" x14ac:dyDescent="0.3">
      <c r="A57" s="12" t="s">
        <v>124</v>
      </c>
      <c r="B57" s="38" t="s">
        <v>125</v>
      </c>
      <c r="C57" s="15">
        <v>900</v>
      </c>
      <c r="D57" s="4" t="s">
        <v>73</v>
      </c>
    </row>
    <row r="58" spans="1:8" x14ac:dyDescent="0.3">
      <c r="A58" s="17" t="s">
        <v>126</v>
      </c>
      <c r="B58" s="39" t="s">
        <v>75</v>
      </c>
      <c r="C58" s="20">
        <v>45</v>
      </c>
      <c r="D58" s="4" t="s">
        <v>127</v>
      </c>
    </row>
    <row r="59" spans="1:8" x14ac:dyDescent="0.3">
      <c r="A59" s="12" t="s">
        <v>128</v>
      </c>
      <c r="B59" s="38" t="s">
        <v>75</v>
      </c>
      <c r="C59" s="15">
        <v>30</v>
      </c>
      <c r="D59" s="4" t="s">
        <v>53</v>
      </c>
    </row>
    <row r="60" spans="1:8" x14ac:dyDescent="0.3">
      <c r="A60" s="17" t="s">
        <v>129</v>
      </c>
      <c r="B60" s="39" t="s">
        <v>75</v>
      </c>
      <c r="C60" s="20">
        <v>100</v>
      </c>
      <c r="D60" s="4" t="s">
        <v>130</v>
      </c>
    </row>
    <row r="61" spans="1:8" x14ac:dyDescent="0.3">
      <c r="A61" s="12" t="s">
        <v>131</v>
      </c>
      <c r="B61" s="38" t="s">
        <v>75</v>
      </c>
      <c r="C61" s="15">
        <v>50</v>
      </c>
      <c r="D61" s="4" t="s">
        <v>132</v>
      </c>
    </row>
    <row r="62" spans="1:8" x14ac:dyDescent="0.3">
      <c r="A62" s="17" t="s">
        <v>84</v>
      </c>
      <c r="B62" s="39"/>
      <c r="C62" s="40">
        <f>G46</f>
        <v>33.983333333333341</v>
      </c>
      <c r="D62" s="4" t="s">
        <v>85</v>
      </c>
    </row>
    <row r="63" spans="1:8" x14ac:dyDescent="0.3">
      <c r="A63" s="21" t="s">
        <v>86</v>
      </c>
      <c r="B63" s="22"/>
      <c r="C63" s="35">
        <f>SUM(C57:C62)</f>
        <v>1158.9833333333333</v>
      </c>
    </row>
    <row r="65" spans="1:3" ht="19.5" customHeight="1" x14ac:dyDescent="0.3">
      <c r="A65" s="2" t="s">
        <v>87</v>
      </c>
    </row>
    <row r="66" spans="1:3" x14ac:dyDescent="0.3">
      <c r="A66" s="11" t="s">
        <v>68</v>
      </c>
      <c r="B66" s="11" t="s">
        <v>70</v>
      </c>
      <c r="C66" s="25" t="s">
        <v>47</v>
      </c>
    </row>
    <row r="67" spans="1:3" x14ac:dyDescent="0.3">
      <c r="A67" s="12" t="s">
        <v>88</v>
      </c>
      <c r="B67" s="41">
        <v>0</v>
      </c>
      <c r="C67" s="4" t="s">
        <v>89</v>
      </c>
    </row>
    <row r="68" spans="1:3" x14ac:dyDescent="0.3">
      <c r="A68" s="17" t="s">
        <v>91</v>
      </c>
      <c r="B68" s="41">
        <v>0</v>
      </c>
      <c r="C68" s="4" t="s">
        <v>89</v>
      </c>
    </row>
    <row r="69" spans="1:3" x14ac:dyDescent="0.3">
      <c r="A69" s="12" t="s">
        <v>92</v>
      </c>
      <c r="B69" s="41">
        <v>0</v>
      </c>
      <c r="C69" s="4" t="s">
        <v>89</v>
      </c>
    </row>
    <row r="70" spans="1:3" x14ac:dyDescent="0.3">
      <c r="A70" s="21" t="s">
        <v>93</v>
      </c>
      <c r="B70" s="35">
        <f>SUM(B67:B69)</f>
        <v>0</v>
      </c>
    </row>
    <row r="72" spans="1:3" ht="19.5" customHeight="1" x14ac:dyDescent="0.3">
      <c r="A72" s="2" t="s">
        <v>94</v>
      </c>
    </row>
    <row r="73" spans="1:3" x14ac:dyDescent="0.3">
      <c r="A73" s="11" t="s">
        <v>68</v>
      </c>
      <c r="B73" s="11" t="s">
        <v>70</v>
      </c>
      <c r="C73" s="25" t="s">
        <v>47</v>
      </c>
    </row>
    <row r="74" spans="1:3" x14ac:dyDescent="0.3">
      <c r="A74" s="12" t="s">
        <v>133</v>
      </c>
      <c r="B74" s="15">
        <v>100</v>
      </c>
      <c r="C74" s="4" t="s">
        <v>96</v>
      </c>
    </row>
    <row r="75" spans="1:3" x14ac:dyDescent="0.3">
      <c r="A75" s="17" t="s">
        <v>134</v>
      </c>
      <c r="B75" s="41">
        <v>0</v>
      </c>
      <c r="C75" s="4" t="s">
        <v>89</v>
      </c>
    </row>
    <row r="76" spans="1:3" x14ac:dyDescent="0.3">
      <c r="A76" s="12" t="s">
        <v>135</v>
      </c>
      <c r="B76" s="41">
        <v>0</v>
      </c>
      <c r="C76" s="4" t="s">
        <v>89</v>
      </c>
    </row>
    <row r="77" spans="1:3" x14ac:dyDescent="0.3">
      <c r="A77" s="21" t="s">
        <v>98</v>
      </c>
      <c r="B77" s="35">
        <f>SUM(B74:B76)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showGridLines="0" topLeftCell="A17" zoomScaleNormal="100" workbookViewId="0">
      <selection activeCell="A39" sqref="A39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2" ht="25.5" customHeight="1" x14ac:dyDescent="0.3">
      <c r="A1" s="1" t="s">
        <v>136</v>
      </c>
    </row>
    <row r="2" spans="1:2" ht="15.75" customHeight="1" x14ac:dyDescent="0.3">
      <c r="A2" s="4" t="s">
        <v>137</v>
      </c>
    </row>
    <row r="4" spans="1:2" ht="19.5" customHeight="1" x14ac:dyDescent="0.3">
      <c r="A4" s="2" t="s">
        <v>2</v>
      </c>
    </row>
    <row r="5" spans="1:2" x14ac:dyDescent="0.3">
      <c r="A5" s="5" t="s">
        <v>3</v>
      </c>
      <c r="B5" s="6">
        <v>300</v>
      </c>
    </row>
    <row r="6" spans="1:2" x14ac:dyDescent="0.3">
      <c r="A6" s="5" t="s">
        <v>4</v>
      </c>
      <c r="B6" s="9">
        <f>B16</f>
        <v>0</v>
      </c>
    </row>
    <row r="7" spans="1:2" x14ac:dyDescent="0.3">
      <c r="A7" s="5" t="s">
        <v>6</v>
      </c>
      <c r="B7" s="8">
        <f>D24</f>
        <v>8200</v>
      </c>
    </row>
    <row r="8" spans="1:2" x14ac:dyDescent="0.3">
      <c r="A8" s="5" t="s">
        <v>7</v>
      </c>
      <c r="B8" s="9">
        <f>G24</f>
        <v>101.66666666666666</v>
      </c>
    </row>
    <row r="9" spans="1:2" x14ac:dyDescent="0.3">
      <c r="A9" s="5" t="s">
        <v>138</v>
      </c>
      <c r="B9" s="8">
        <f>F29</f>
        <v>400</v>
      </c>
    </row>
    <row r="10" spans="1:2" x14ac:dyDescent="0.3">
      <c r="A10" s="5" t="s">
        <v>139</v>
      </c>
      <c r="B10" s="9">
        <f>C37</f>
        <v>291.66666666666669</v>
      </c>
    </row>
    <row r="11" spans="1:2" x14ac:dyDescent="0.3">
      <c r="A11" s="5" t="s">
        <v>10</v>
      </c>
      <c r="B11" s="9">
        <f>B43</f>
        <v>0</v>
      </c>
    </row>
    <row r="12" spans="1:2" x14ac:dyDescent="0.3">
      <c r="A12" s="5" t="s">
        <v>11</v>
      </c>
      <c r="B12" s="9">
        <f>B49</f>
        <v>100</v>
      </c>
    </row>
    <row r="14" spans="1:2" ht="19.5" customHeight="1" x14ac:dyDescent="0.3">
      <c r="A14" s="2" t="s">
        <v>140</v>
      </c>
    </row>
    <row r="15" spans="1:2" x14ac:dyDescent="0.3">
      <c r="A15" s="42" t="s">
        <v>141</v>
      </c>
    </row>
    <row r="16" spans="1:2" x14ac:dyDescent="0.3">
      <c r="A16" s="21" t="s">
        <v>142</v>
      </c>
      <c r="B16" s="35">
        <v>0</v>
      </c>
    </row>
    <row r="18" spans="1:8" ht="19.5" customHeight="1" x14ac:dyDescent="0.3">
      <c r="A18" s="2" t="s">
        <v>39</v>
      </c>
    </row>
    <row r="19" spans="1:8" ht="30" customHeight="1" x14ac:dyDescent="0.3">
      <c r="A19" s="11" t="s">
        <v>40</v>
      </c>
      <c r="B19" s="11" t="s">
        <v>41</v>
      </c>
      <c r="C19" s="11" t="s">
        <v>42</v>
      </c>
      <c r="D19" s="11" t="s">
        <v>43</v>
      </c>
      <c r="E19" s="11" t="s">
        <v>44</v>
      </c>
      <c r="F19" s="11" t="s">
        <v>45</v>
      </c>
      <c r="G19" s="11" t="s">
        <v>46</v>
      </c>
      <c r="H19" s="25" t="s">
        <v>47</v>
      </c>
    </row>
    <row r="20" spans="1:8" x14ac:dyDescent="0.3">
      <c r="A20" s="12" t="s">
        <v>143</v>
      </c>
      <c r="B20" s="26">
        <v>1</v>
      </c>
      <c r="C20" s="27">
        <v>1000</v>
      </c>
      <c r="D20" s="28">
        <f>B20*C20</f>
        <v>1000</v>
      </c>
      <c r="E20" s="26">
        <v>5</v>
      </c>
      <c r="F20" s="28">
        <f>IFERROR(D20/E20,0)</f>
        <v>200</v>
      </c>
      <c r="G20" s="29">
        <f>F20/12</f>
        <v>16.666666666666668</v>
      </c>
      <c r="H20" s="4" t="s">
        <v>53</v>
      </c>
    </row>
    <row r="21" spans="1:8" x14ac:dyDescent="0.3">
      <c r="A21" s="17" t="s">
        <v>144</v>
      </c>
      <c r="B21" s="30">
        <v>1</v>
      </c>
      <c r="C21" s="31">
        <v>2000</v>
      </c>
      <c r="D21" s="32">
        <f>B21*C21</f>
        <v>2000</v>
      </c>
      <c r="E21" s="30">
        <v>4</v>
      </c>
      <c r="F21" s="32">
        <f>IFERROR(D21/E21,0)</f>
        <v>500</v>
      </c>
      <c r="G21" s="33">
        <f>F21/12</f>
        <v>41.666666666666664</v>
      </c>
      <c r="H21" s="4" t="s">
        <v>53</v>
      </c>
    </row>
    <row r="22" spans="1:8" x14ac:dyDescent="0.3">
      <c r="A22" s="12" t="s">
        <v>145</v>
      </c>
      <c r="B22" s="26">
        <v>1</v>
      </c>
      <c r="C22" s="27">
        <v>200</v>
      </c>
      <c r="D22" s="28">
        <f>B22*C22</f>
        <v>200</v>
      </c>
      <c r="E22" s="26">
        <v>10</v>
      </c>
      <c r="F22" s="28">
        <f>IFERROR(D22/E22,0)</f>
        <v>20</v>
      </c>
      <c r="G22" s="29">
        <f>F22/12</f>
        <v>1.6666666666666667</v>
      </c>
      <c r="H22" s="4" t="s">
        <v>53</v>
      </c>
    </row>
    <row r="23" spans="1:8" x14ac:dyDescent="0.3">
      <c r="A23" s="17" t="s">
        <v>146</v>
      </c>
      <c r="B23" s="30">
        <v>1</v>
      </c>
      <c r="C23" s="31">
        <v>5000</v>
      </c>
      <c r="D23" s="32">
        <f>B23*C23</f>
        <v>5000</v>
      </c>
      <c r="E23" s="30">
        <v>10</v>
      </c>
      <c r="F23" s="32">
        <f>IFERROR(D23/E23,0)</f>
        <v>500</v>
      </c>
      <c r="G23" s="33">
        <f>F23/12</f>
        <v>41.666666666666664</v>
      </c>
      <c r="H23" s="4" t="s">
        <v>53</v>
      </c>
    </row>
    <row r="24" spans="1:8" x14ac:dyDescent="0.3">
      <c r="A24" s="21" t="s">
        <v>54</v>
      </c>
      <c r="B24" s="22"/>
      <c r="C24" s="22"/>
      <c r="D24" s="34">
        <f>SUM(D20:D23)</f>
        <v>8200</v>
      </c>
      <c r="E24" s="22"/>
      <c r="F24" s="34">
        <f>SUM(F20:F23)</f>
        <v>1220</v>
      </c>
      <c r="G24" s="35">
        <f>SUM(G20:G23)</f>
        <v>101.66666666666666</v>
      </c>
    </row>
    <row r="26" spans="1:8" ht="19.5" customHeight="1" x14ac:dyDescent="0.3">
      <c r="A26" s="2" t="s">
        <v>147</v>
      </c>
    </row>
    <row r="27" spans="1:8" ht="30" customHeight="1" x14ac:dyDescent="0.3">
      <c r="A27" s="11" t="s">
        <v>56</v>
      </c>
      <c r="B27" s="11" t="s">
        <v>41</v>
      </c>
      <c r="C27" s="11" t="s">
        <v>57</v>
      </c>
      <c r="D27" s="11" t="s">
        <v>58</v>
      </c>
      <c r="E27" s="11" t="s">
        <v>59</v>
      </c>
      <c r="F27" s="11" t="s">
        <v>60</v>
      </c>
      <c r="G27" s="11" t="s">
        <v>61</v>
      </c>
      <c r="H27" s="25" t="s">
        <v>62</v>
      </c>
    </row>
    <row r="28" spans="1:8" ht="22.8" x14ac:dyDescent="0.3">
      <c r="A28" s="12" t="s">
        <v>148</v>
      </c>
      <c r="B28" s="26">
        <v>1</v>
      </c>
      <c r="C28" s="27">
        <v>400</v>
      </c>
      <c r="D28" s="10">
        <v>0</v>
      </c>
      <c r="E28" s="28">
        <f>C28*D28</f>
        <v>0</v>
      </c>
      <c r="F28" s="28">
        <f>(C28+E28)*B28</f>
        <v>400</v>
      </c>
      <c r="G28" s="28">
        <f>F28*12</f>
        <v>4800</v>
      </c>
      <c r="H28" s="36" t="s">
        <v>149</v>
      </c>
    </row>
    <row r="29" spans="1:8" x14ac:dyDescent="0.3">
      <c r="A29" s="21" t="s">
        <v>65</v>
      </c>
      <c r="B29" s="22"/>
      <c r="C29" s="22"/>
      <c r="D29" s="22"/>
      <c r="E29" s="22"/>
      <c r="F29" s="34">
        <f>SUM(F28:F28)</f>
        <v>400</v>
      </c>
      <c r="G29" s="34">
        <f>SUM(G28:G28)</f>
        <v>4800</v>
      </c>
    </row>
    <row r="30" spans="1:8" x14ac:dyDescent="0.3">
      <c r="A30" s="37" t="s">
        <v>66</v>
      </c>
    </row>
    <row r="32" spans="1:8" ht="19.5" customHeight="1" x14ac:dyDescent="0.3">
      <c r="A32" s="2" t="s">
        <v>150</v>
      </c>
    </row>
    <row r="33" spans="1:4" x14ac:dyDescent="0.3">
      <c r="A33" s="11" t="s">
        <v>68</v>
      </c>
      <c r="B33" s="11" t="s">
        <v>69</v>
      </c>
      <c r="C33" s="11" t="s">
        <v>70</v>
      </c>
      <c r="D33" s="25" t="s">
        <v>47</v>
      </c>
    </row>
    <row r="34" spans="1:4" x14ac:dyDescent="0.3">
      <c r="A34" s="12" t="s">
        <v>151</v>
      </c>
      <c r="B34" s="38" t="s">
        <v>152</v>
      </c>
      <c r="C34" s="15">
        <v>180</v>
      </c>
      <c r="D34" s="4" t="s">
        <v>153</v>
      </c>
    </row>
    <row r="35" spans="1:4" x14ac:dyDescent="0.3">
      <c r="A35" s="17" t="s">
        <v>154</v>
      </c>
      <c r="B35" s="39" t="s">
        <v>155</v>
      </c>
      <c r="C35" s="20">
        <v>10</v>
      </c>
      <c r="D35" s="4" t="s">
        <v>53</v>
      </c>
    </row>
    <row r="36" spans="1:4" x14ac:dyDescent="0.3">
      <c r="A36" s="12" t="s">
        <v>84</v>
      </c>
      <c r="B36" s="38"/>
      <c r="C36" s="43">
        <f>F24/12</f>
        <v>101.66666666666667</v>
      </c>
      <c r="D36" s="4" t="s">
        <v>156</v>
      </c>
    </row>
    <row r="37" spans="1:4" x14ac:dyDescent="0.3">
      <c r="A37" s="21" t="s">
        <v>86</v>
      </c>
      <c r="B37" s="22"/>
      <c r="C37" s="35">
        <f>SUM(C34:C36)</f>
        <v>291.66666666666669</v>
      </c>
    </row>
    <row r="39" spans="1:4" ht="19.5" customHeight="1" x14ac:dyDescent="0.3">
      <c r="A39" s="2" t="s">
        <v>87</v>
      </c>
    </row>
    <row r="40" spans="1:4" x14ac:dyDescent="0.3">
      <c r="A40" s="11" t="s">
        <v>68</v>
      </c>
      <c r="B40" s="11" t="s">
        <v>70</v>
      </c>
      <c r="C40" s="25" t="s">
        <v>47</v>
      </c>
    </row>
    <row r="41" spans="1:4" x14ac:dyDescent="0.3">
      <c r="A41" s="12" t="s">
        <v>88</v>
      </c>
      <c r="B41" s="41">
        <v>0</v>
      </c>
      <c r="C41" s="4" t="s">
        <v>89</v>
      </c>
    </row>
    <row r="42" spans="1:4" x14ac:dyDescent="0.3">
      <c r="A42" s="17" t="s">
        <v>157</v>
      </c>
      <c r="B42" s="41">
        <v>0</v>
      </c>
      <c r="C42" s="4" t="s">
        <v>89</v>
      </c>
    </row>
    <row r="43" spans="1:4" x14ac:dyDescent="0.3">
      <c r="A43" s="21" t="s">
        <v>93</v>
      </c>
      <c r="B43" s="35">
        <f>SUM(B41:B42)</f>
        <v>0</v>
      </c>
    </row>
    <row r="45" spans="1:4" ht="19.5" customHeight="1" x14ac:dyDescent="0.3">
      <c r="A45" s="2" t="s">
        <v>94</v>
      </c>
    </row>
    <row r="46" spans="1:4" x14ac:dyDescent="0.3">
      <c r="A46" s="11" t="s">
        <v>68</v>
      </c>
      <c r="B46" s="11" t="s">
        <v>70</v>
      </c>
      <c r="C46" s="25" t="s">
        <v>47</v>
      </c>
    </row>
    <row r="47" spans="1:4" x14ac:dyDescent="0.3">
      <c r="A47" s="12" t="s">
        <v>95</v>
      </c>
      <c r="B47" s="15">
        <v>100</v>
      </c>
      <c r="C47" s="4" t="s">
        <v>158</v>
      </c>
    </row>
    <row r="48" spans="1:4" x14ac:dyDescent="0.3">
      <c r="A48" s="17" t="s">
        <v>159</v>
      </c>
      <c r="B48" s="41">
        <v>0</v>
      </c>
      <c r="C48" s="4" t="s">
        <v>89</v>
      </c>
    </row>
    <row r="49" spans="1:2" x14ac:dyDescent="0.3">
      <c r="A49" s="21" t="s">
        <v>98</v>
      </c>
      <c r="B49" s="35">
        <f>SUM(B47:B48)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9"/>
  <sheetViews>
    <sheetView showGridLines="0" zoomScaleNormal="100" workbookViewId="0">
      <selection activeCell="C2" sqref="C2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5" ht="25.5" customHeight="1" x14ac:dyDescent="0.3">
      <c r="A1" s="1" t="s">
        <v>160</v>
      </c>
    </row>
    <row r="2" spans="1:5" ht="15.75" customHeight="1" x14ac:dyDescent="0.3">
      <c r="A2" s="4" t="s">
        <v>161</v>
      </c>
    </row>
    <row r="4" spans="1:5" ht="19.5" customHeight="1" x14ac:dyDescent="0.3">
      <c r="A4" s="2" t="s">
        <v>2</v>
      </c>
    </row>
    <row r="5" spans="1:5" x14ac:dyDescent="0.3">
      <c r="A5" s="5" t="s">
        <v>3</v>
      </c>
      <c r="B5" s="7" t="s">
        <v>162</v>
      </c>
    </row>
    <row r="6" spans="1:5" x14ac:dyDescent="0.3">
      <c r="A6" s="5" t="s">
        <v>4</v>
      </c>
      <c r="B6" s="7" t="s">
        <v>5</v>
      </c>
    </row>
    <row r="7" spans="1:5" x14ac:dyDescent="0.3">
      <c r="A7" s="5" t="s">
        <v>6</v>
      </c>
      <c r="B7" s="8">
        <f>D40</f>
        <v>21000</v>
      </c>
    </row>
    <row r="8" spans="1:5" x14ac:dyDescent="0.3">
      <c r="A8" s="5" t="s">
        <v>7</v>
      </c>
      <c r="B8" s="9">
        <f>G40</f>
        <v>247.40079365079364</v>
      </c>
    </row>
    <row r="9" spans="1:5" x14ac:dyDescent="0.3">
      <c r="A9" s="5" t="s">
        <v>8</v>
      </c>
      <c r="B9" s="8">
        <f>F48</f>
        <v>8268</v>
      </c>
    </row>
    <row r="10" spans="1:5" x14ac:dyDescent="0.3">
      <c r="A10" s="5" t="s">
        <v>9</v>
      </c>
      <c r="B10" s="9">
        <f>C61</f>
        <v>5167.4007936507933</v>
      </c>
    </row>
    <row r="11" spans="1:5" x14ac:dyDescent="0.3">
      <c r="A11" s="5" t="s">
        <v>10</v>
      </c>
      <c r="B11" s="9">
        <f>B70</f>
        <v>0</v>
      </c>
    </row>
    <row r="12" spans="1:5" x14ac:dyDescent="0.3">
      <c r="A12" s="5" t="s">
        <v>11</v>
      </c>
      <c r="B12" s="9">
        <f>B79</f>
        <v>300</v>
      </c>
    </row>
    <row r="14" spans="1:5" ht="19.5" customHeight="1" x14ac:dyDescent="0.3">
      <c r="A14" s="2" t="s">
        <v>163</v>
      </c>
    </row>
    <row r="15" spans="1:5" ht="24" x14ac:dyDescent="0.3">
      <c r="A15" s="11" t="s">
        <v>164</v>
      </c>
      <c r="B15" s="11" t="s">
        <v>165</v>
      </c>
      <c r="C15" s="11" t="s">
        <v>166</v>
      </c>
      <c r="D15" s="11" t="s">
        <v>167</v>
      </c>
      <c r="E15" s="25" t="s">
        <v>47</v>
      </c>
    </row>
    <row r="16" spans="1:5" x14ac:dyDescent="0.3">
      <c r="A16" s="44" t="s">
        <v>168</v>
      </c>
      <c r="B16" s="45"/>
      <c r="C16" s="45"/>
      <c r="D16" s="45"/>
    </row>
    <row r="17" spans="1:8" x14ac:dyDescent="0.3">
      <c r="A17" s="12" t="s">
        <v>169</v>
      </c>
      <c r="B17" s="13" t="s">
        <v>170</v>
      </c>
      <c r="C17" s="15">
        <v>480</v>
      </c>
      <c r="D17" s="12" t="s">
        <v>171</v>
      </c>
      <c r="E17" s="4" t="s">
        <v>172</v>
      </c>
    </row>
    <row r="18" spans="1:8" x14ac:dyDescent="0.3">
      <c r="A18" s="17" t="s">
        <v>173</v>
      </c>
      <c r="B18" s="18" t="s">
        <v>174</v>
      </c>
      <c r="C18" s="20">
        <v>96</v>
      </c>
      <c r="D18" s="17" t="s">
        <v>175</v>
      </c>
      <c r="E18" s="4" t="s">
        <v>176</v>
      </c>
    </row>
    <row r="19" spans="1:8" x14ac:dyDescent="0.3">
      <c r="A19" s="12" t="s">
        <v>177</v>
      </c>
      <c r="B19" s="13" t="s">
        <v>178</v>
      </c>
      <c r="C19" s="15">
        <v>80</v>
      </c>
      <c r="D19" s="12" t="s">
        <v>179</v>
      </c>
      <c r="E19" s="4" t="s">
        <v>24</v>
      </c>
    </row>
    <row r="20" spans="1:8" x14ac:dyDescent="0.3">
      <c r="A20" s="44" t="s">
        <v>180</v>
      </c>
      <c r="B20" s="45"/>
      <c r="C20" s="45"/>
      <c r="D20" s="45"/>
    </row>
    <row r="21" spans="1:8" x14ac:dyDescent="0.3">
      <c r="A21" s="12" t="s">
        <v>181</v>
      </c>
      <c r="B21" s="13" t="s">
        <v>182</v>
      </c>
      <c r="C21" s="15"/>
      <c r="D21" s="12" t="s">
        <v>183</v>
      </c>
      <c r="E21" s="4" t="s">
        <v>184</v>
      </c>
    </row>
    <row r="22" spans="1:8" x14ac:dyDescent="0.3">
      <c r="A22" s="24" t="s">
        <v>185</v>
      </c>
    </row>
    <row r="24" spans="1:8" ht="19.5" customHeight="1" x14ac:dyDescent="0.3">
      <c r="A24" s="2" t="s">
        <v>39</v>
      </c>
    </row>
    <row r="25" spans="1:8" ht="30" customHeight="1" x14ac:dyDescent="0.3">
      <c r="A25" s="11" t="s">
        <v>40</v>
      </c>
      <c r="B25" s="11" t="s">
        <v>41</v>
      </c>
      <c r="C25" s="11" t="s">
        <v>42</v>
      </c>
      <c r="D25" s="11" t="s">
        <v>43</v>
      </c>
      <c r="E25" s="11" t="s">
        <v>44</v>
      </c>
      <c r="F25" s="11" t="s">
        <v>45</v>
      </c>
      <c r="G25" s="11" t="s">
        <v>46</v>
      </c>
      <c r="H25" s="25" t="s">
        <v>47</v>
      </c>
    </row>
    <row r="26" spans="1:8" x14ac:dyDescent="0.3">
      <c r="A26" s="12" t="s">
        <v>186</v>
      </c>
      <c r="B26" s="26">
        <v>1</v>
      </c>
      <c r="C26" s="27">
        <v>2500</v>
      </c>
      <c r="D26" s="28">
        <f t="shared" ref="D26:D39" si="0">B26*C26</f>
        <v>2500</v>
      </c>
      <c r="E26" s="26">
        <v>7</v>
      </c>
      <c r="F26" s="28">
        <f t="shared" ref="F26:F39" si="1">IFERROR(D26/E26,0)</f>
        <v>357.14285714285717</v>
      </c>
      <c r="G26" s="29">
        <f t="shared" ref="G26:G39" si="2">F26/12</f>
        <v>29.761904761904763</v>
      </c>
      <c r="H26" s="4" t="s">
        <v>24</v>
      </c>
    </row>
    <row r="27" spans="1:8" x14ac:dyDescent="0.3">
      <c r="A27" s="17" t="s">
        <v>187</v>
      </c>
      <c r="B27" s="30">
        <v>1</v>
      </c>
      <c r="C27" s="31">
        <v>2000</v>
      </c>
      <c r="D27" s="32">
        <f t="shared" si="0"/>
        <v>2000</v>
      </c>
      <c r="E27" s="30">
        <v>7</v>
      </c>
      <c r="F27" s="32">
        <f t="shared" si="1"/>
        <v>285.71428571428572</v>
      </c>
      <c r="G27" s="33">
        <f t="shared" si="2"/>
        <v>23.80952380952381</v>
      </c>
      <c r="H27" s="4" t="s">
        <v>24</v>
      </c>
    </row>
    <row r="28" spans="1:8" x14ac:dyDescent="0.3">
      <c r="A28" s="12" t="s">
        <v>188</v>
      </c>
      <c r="B28" s="26">
        <v>1</v>
      </c>
      <c r="C28" s="27">
        <v>1500</v>
      </c>
      <c r="D28" s="28">
        <f t="shared" si="0"/>
        <v>1500</v>
      </c>
      <c r="E28" s="26">
        <v>10</v>
      </c>
      <c r="F28" s="28">
        <f t="shared" si="1"/>
        <v>150</v>
      </c>
      <c r="G28" s="29">
        <f t="shared" si="2"/>
        <v>12.5</v>
      </c>
      <c r="H28" s="4" t="s">
        <v>24</v>
      </c>
    </row>
    <row r="29" spans="1:8" x14ac:dyDescent="0.3">
      <c r="A29" s="17" t="s">
        <v>189</v>
      </c>
      <c r="B29" s="30">
        <v>1</v>
      </c>
      <c r="C29" s="31">
        <v>1200</v>
      </c>
      <c r="D29" s="32">
        <f t="shared" si="0"/>
        <v>1200</v>
      </c>
      <c r="E29" s="30">
        <v>10</v>
      </c>
      <c r="F29" s="32">
        <f t="shared" si="1"/>
        <v>120</v>
      </c>
      <c r="G29" s="33">
        <f t="shared" si="2"/>
        <v>10</v>
      </c>
      <c r="H29" s="4" t="s">
        <v>190</v>
      </c>
    </row>
    <row r="30" spans="1:8" x14ac:dyDescent="0.3">
      <c r="A30" s="12" t="s">
        <v>191</v>
      </c>
      <c r="B30" s="26">
        <v>1</v>
      </c>
      <c r="C30" s="27">
        <v>600</v>
      </c>
      <c r="D30" s="28">
        <f t="shared" si="0"/>
        <v>600</v>
      </c>
      <c r="E30" s="26">
        <v>7</v>
      </c>
      <c r="F30" s="28">
        <f t="shared" si="1"/>
        <v>85.714285714285708</v>
      </c>
      <c r="G30" s="29">
        <f t="shared" si="2"/>
        <v>7.1428571428571423</v>
      </c>
      <c r="H30" s="4" t="s">
        <v>192</v>
      </c>
    </row>
    <row r="31" spans="1:8" x14ac:dyDescent="0.3">
      <c r="A31" s="17" t="s">
        <v>193</v>
      </c>
      <c r="B31" s="30">
        <v>10</v>
      </c>
      <c r="C31" s="31">
        <v>200</v>
      </c>
      <c r="D31" s="32">
        <f t="shared" si="0"/>
        <v>2000</v>
      </c>
      <c r="E31" s="30">
        <v>10</v>
      </c>
      <c r="F31" s="32">
        <f t="shared" si="1"/>
        <v>200</v>
      </c>
      <c r="G31" s="33">
        <f t="shared" si="2"/>
        <v>16.666666666666668</v>
      </c>
      <c r="H31" s="4" t="s">
        <v>194</v>
      </c>
    </row>
    <row r="32" spans="1:8" x14ac:dyDescent="0.3">
      <c r="A32" s="12" t="s">
        <v>195</v>
      </c>
      <c r="B32" s="26">
        <v>40</v>
      </c>
      <c r="C32" s="27">
        <v>60</v>
      </c>
      <c r="D32" s="28">
        <f t="shared" si="0"/>
        <v>2400</v>
      </c>
      <c r="E32" s="26">
        <v>10</v>
      </c>
      <c r="F32" s="28">
        <f t="shared" si="1"/>
        <v>240</v>
      </c>
      <c r="G32" s="29">
        <f t="shared" si="2"/>
        <v>20</v>
      </c>
      <c r="H32" s="4" t="s">
        <v>194</v>
      </c>
    </row>
    <row r="33" spans="1:8" x14ac:dyDescent="0.3">
      <c r="A33" s="17" t="s">
        <v>196</v>
      </c>
      <c r="B33" s="30">
        <v>1</v>
      </c>
      <c r="C33" s="31">
        <v>1500</v>
      </c>
      <c r="D33" s="32">
        <f t="shared" si="0"/>
        <v>1500</v>
      </c>
      <c r="E33" s="30">
        <v>4</v>
      </c>
      <c r="F33" s="32">
        <f t="shared" si="1"/>
        <v>375</v>
      </c>
      <c r="G33" s="33">
        <f t="shared" si="2"/>
        <v>31.25</v>
      </c>
      <c r="H33" s="4" t="s">
        <v>197</v>
      </c>
    </row>
    <row r="34" spans="1:8" x14ac:dyDescent="0.3">
      <c r="A34" s="12" t="s">
        <v>198</v>
      </c>
      <c r="B34" s="26">
        <v>1</v>
      </c>
      <c r="C34" s="27">
        <v>2000</v>
      </c>
      <c r="D34" s="28">
        <f t="shared" si="0"/>
        <v>2000</v>
      </c>
      <c r="E34" s="26">
        <v>10</v>
      </c>
      <c r="F34" s="28">
        <f t="shared" si="1"/>
        <v>200</v>
      </c>
      <c r="G34" s="29">
        <f t="shared" si="2"/>
        <v>16.666666666666668</v>
      </c>
      <c r="H34" s="4" t="s">
        <v>199</v>
      </c>
    </row>
    <row r="35" spans="1:8" x14ac:dyDescent="0.3">
      <c r="A35" s="17" t="s">
        <v>200</v>
      </c>
      <c r="B35" s="30">
        <v>1</v>
      </c>
      <c r="C35" s="31">
        <v>800</v>
      </c>
      <c r="D35" s="32">
        <f t="shared" si="0"/>
        <v>800</v>
      </c>
      <c r="E35" s="30">
        <v>3</v>
      </c>
      <c r="F35" s="32">
        <f t="shared" si="1"/>
        <v>266.66666666666669</v>
      </c>
      <c r="G35" s="33">
        <f t="shared" si="2"/>
        <v>22.222222222222225</v>
      </c>
      <c r="H35" s="4" t="s">
        <v>201</v>
      </c>
    </row>
    <row r="36" spans="1:8" x14ac:dyDescent="0.3">
      <c r="A36" s="12" t="s">
        <v>202</v>
      </c>
      <c r="B36" s="26">
        <v>1</v>
      </c>
      <c r="C36" s="27">
        <v>1000</v>
      </c>
      <c r="D36" s="28">
        <f t="shared" si="0"/>
        <v>1000</v>
      </c>
      <c r="E36" s="26">
        <v>7</v>
      </c>
      <c r="F36" s="28">
        <f t="shared" si="1"/>
        <v>142.85714285714286</v>
      </c>
      <c r="G36" s="29">
        <f t="shared" si="2"/>
        <v>11.904761904761905</v>
      </c>
      <c r="H36" s="4" t="s">
        <v>203</v>
      </c>
    </row>
    <row r="37" spans="1:8" x14ac:dyDescent="0.3">
      <c r="A37" s="17" t="s">
        <v>204</v>
      </c>
      <c r="B37" s="30">
        <v>1</v>
      </c>
      <c r="C37" s="31">
        <v>1200</v>
      </c>
      <c r="D37" s="32">
        <f t="shared" si="0"/>
        <v>1200</v>
      </c>
      <c r="E37" s="30">
        <v>7</v>
      </c>
      <c r="F37" s="32">
        <f t="shared" si="1"/>
        <v>171.42857142857142</v>
      </c>
      <c r="G37" s="33">
        <f t="shared" si="2"/>
        <v>14.285714285714285</v>
      </c>
      <c r="H37" s="4" t="s">
        <v>203</v>
      </c>
    </row>
    <row r="38" spans="1:8" x14ac:dyDescent="0.3">
      <c r="A38" s="12" t="s">
        <v>205</v>
      </c>
      <c r="B38" s="26">
        <v>1</v>
      </c>
      <c r="C38" s="27">
        <v>800</v>
      </c>
      <c r="D38" s="28">
        <f t="shared" si="0"/>
        <v>800</v>
      </c>
      <c r="E38" s="26">
        <v>5</v>
      </c>
      <c r="F38" s="28">
        <f t="shared" si="1"/>
        <v>160</v>
      </c>
      <c r="G38" s="29">
        <f t="shared" si="2"/>
        <v>13.333333333333334</v>
      </c>
      <c r="H38" s="4" t="s">
        <v>206</v>
      </c>
    </row>
    <row r="39" spans="1:8" x14ac:dyDescent="0.3">
      <c r="A39" s="17" t="s">
        <v>207</v>
      </c>
      <c r="B39" s="30">
        <v>1</v>
      </c>
      <c r="C39" s="31">
        <v>1500</v>
      </c>
      <c r="D39" s="32">
        <f t="shared" si="0"/>
        <v>1500</v>
      </c>
      <c r="E39" s="30">
        <v>7</v>
      </c>
      <c r="F39" s="32">
        <f t="shared" si="1"/>
        <v>214.28571428571428</v>
      </c>
      <c r="G39" s="33">
        <f t="shared" si="2"/>
        <v>17.857142857142858</v>
      </c>
      <c r="H39" s="4" t="s">
        <v>208</v>
      </c>
    </row>
    <row r="40" spans="1:8" x14ac:dyDescent="0.3">
      <c r="A40" s="21" t="s">
        <v>54</v>
      </c>
      <c r="B40" s="22"/>
      <c r="C40" s="22"/>
      <c r="D40" s="34">
        <f>SUM(D26:D39)</f>
        <v>21000</v>
      </c>
      <c r="E40" s="22"/>
      <c r="F40" s="34">
        <f>SUM(F26:F39)</f>
        <v>2968.8095238095234</v>
      </c>
      <c r="G40" s="35">
        <f>SUM(G26:G39)</f>
        <v>247.40079365079364</v>
      </c>
    </row>
    <row r="42" spans="1:8" ht="19.5" customHeight="1" x14ac:dyDescent="0.3">
      <c r="A42" s="2" t="s">
        <v>55</v>
      </c>
    </row>
    <row r="43" spans="1:8" ht="30" customHeight="1" x14ac:dyDescent="0.3">
      <c r="A43" s="11" t="s">
        <v>56</v>
      </c>
      <c r="B43" s="11" t="s">
        <v>41</v>
      </c>
      <c r="C43" s="11" t="s">
        <v>57</v>
      </c>
      <c r="D43" s="11" t="s">
        <v>58</v>
      </c>
      <c r="E43" s="11" t="s">
        <v>59</v>
      </c>
      <c r="F43" s="11" t="s">
        <v>60</v>
      </c>
      <c r="G43" s="11" t="s">
        <v>61</v>
      </c>
      <c r="H43" s="25" t="s">
        <v>62</v>
      </c>
    </row>
    <row r="44" spans="1:8" ht="22.8" x14ac:dyDescent="0.3">
      <c r="A44" s="12" t="s">
        <v>209</v>
      </c>
      <c r="B44" s="26">
        <v>1</v>
      </c>
      <c r="C44" s="27">
        <v>1300</v>
      </c>
      <c r="D44" s="10">
        <v>0.3</v>
      </c>
      <c r="E44" s="28">
        <f>C44*D44</f>
        <v>390</v>
      </c>
      <c r="F44" s="28">
        <f>(C44+E44)*B44</f>
        <v>1690</v>
      </c>
      <c r="G44" s="28">
        <f>F44*12</f>
        <v>20280</v>
      </c>
      <c r="H44" s="36" t="s">
        <v>210</v>
      </c>
    </row>
    <row r="45" spans="1:8" x14ac:dyDescent="0.3">
      <c r="A45" s="17" t="s">
        <v>211</v>
      </c>
      <c r="B45" s="30">
        <v>2</v>
      </c>
      <c r="C45" s="31">
        <v>1130</v>
      </c>
      <c r="D45" s="10">
        <v>0.3</v>
      </c>
      <c r="E45" s="32">
        <f>C45*D45</f>
        <v>339</v>
      </c>
      <c r="F45" s="32">
        <f>(C45+E45)*B45</f>
        <v>2938</v>
      </c>
      <c r="G45" s="32">
        <f>F45*12</f>
        <v>35256</v>
      </c>
      <c r="H45" s="36" t="s">
        <v>212</v>
      </c>
    </row>
    <row r="46" spans="1:8" x14ac:dyDescent="0.3">
      <c r="A46" s="12" t="s">
        <v>213</v>
      </c>
      <c r="B46" s="26">
        <v>1</v>
      </c>
      <c r="C46" s="27">
        <v>1300</v>
      </c>
      <c r="D46" s="10">
        <v>0.3</v>
      </c>
      <c r="E46" s="28">
        <f>C46*D46</f>
        <v>390</v>
      </c>
      <c r="F46" s="28">
        <f>(C46+E46)*B46</f>
        <v>1690</v>
      </c>
      <c r="G46" s="28">
        <f>F46*12</f>
        <v>20280</v>
      </c>
      <c r="H46" s="36" t="s">
        <v>214</v>
      </c>
    </row>
    <row r="47" spans="1:8" x14ac:dyDescent="0.3">
      <c r="A47" s="17" t="s">
        <v>215</v>
      </c>
      <c r="B47" s="30">
        <v>1</v>
      </c>
      <c r="C47" s="31">
        <v>1500</v>
      </c>
      <c r="D47" s="10">
        <v>0.3</v>
      </c>
      <c r="E47" s="32">
        <f>C47*D47</f>
        <v>450</v>
      </c>
      <c r="F47" s="32">
        <f>(C47+E47)*B47</f>
        <v>1950</v>
      </c>
      <c r="G47" s="32">
        <f>F47*12</f>
        <v>23400</v>
      </c>
      <c r="H47" s="36" t="s">
        <v>216</v>
      </c>
    </row>
    <row r="48" spans="1:8" x14ac:dyDescent="0.3">
      <c r="A48" s="21" t="s">
        <v>65</v>
      </c>
      <c r="B48" s="22"/>
      <c r="C48" s="22"/>
      <c r="D48" s="22"/>
      <c r="E48" s="22"/>
      <c r="F48" s="34">
        <f>SUM(F44:F47)</f>
        <v>8268</v>
      </c>
      <c r="G48" s="34">
        <f>SUM(G44:G47)</f>
        <v>99216</v>
      </c>
    </row>
    <row r="49" spans="1:4" x14ac:dyDescent="0.3">
      <c r="A49" s="37" t="s">
        <v>66</v>
      </c>
    </row>
    <row r="51" spans="1:4" ht="19.5" customHeight="1" x14ac:dyDescent="0.3">
      <c r="A51" s="2" t="s">
        <v>67</v>
      </c>
    </row>
    <row r="52" spans="1:4" x14ac:dyDescent="0.3">
      <c r="A52" s="11" t="s">
        <v>68</v>
      </c>
      <c r="B52" s="11" t="s">
        <v>69</v>
      </c>
      <c r="C52" s="11" t="s">
        <v>70</v>
      </c>
      <c r="D52" s="25" t="s">
        <v>47</v>
      </c>
    </row>
    <row r="53" spans="1:4" x14ac:dyDescent="0.3">
      <c r="A53" s="12" t="s">
        <v>217</v>
      </c>
      <c r="B53" s="38" t="s">
        <v>218</v>
      </c>
      <c r="C53" s="15">
        <v>3500</v>
      </c>
      <c r="D53" s="4" t="s">
        <v>24</v>
      </c>
    </row>
    <row r="54" spans="1:4" x14ac:dyDescent="0.3">
      <c r="A54" s="17" t="s">
        <v>219</v>
      </c>
      <c r="B54" s="39" t="s">
        <v>75</v>
      </c>
      <c r="C54" s="20">
        <v>600</v>
      </c>
      <c r="D54" s="4" t="s">
        <v>220</v>
      </c>
    </row>
    <row r="55" spans="1:4" x14ac:dyDescent="0.3">
      <c r="A55" s="12" t="s">
        <v>221</v>
      </c>
      <c r="B55" s="38" t="s">
        <v>75</v>
      </c>
      <c r="C55" s="15">
        <v>150</v>
      </c>
      <c r="D55" s="4" t="s">
        <v>53</v>
      </c>
    </row>
    <row r="56" spans="1:4" x14ac:dyDescent="0.3">
      <c r="A56" s="17" t="s">
        <v>222</v>
      </c>
      <c r="B56" s="39" t="s">
        <v>75</v>
      </c>
      <c r="C56" s="20">
        <v>120</v>
      </c>
      <c r="D56" s="4" t="s">
        <v>53</v>
      </c>
    </row>
    <row r="57" spans="1:4" x14ac:dyDescent="0.3">
      <c r="A57" s="12" t="s">
        <v>223</v>
      </c>
      <c r="B57" s="38" t="s">
        <v>75</v>
      </c>
      <c r="C57" s="15">
        <v>200</v>
      </c>
      <c r="D57" s="4" t="s">
        <v>203</v>
      </c>
    </row>
    <row r="58" spans="1:4" x14ac:dyDescent="0.3">
      <c r="A58" s="17" t="s">
        <v>224</v>
      </c>
      <c r="B58" s="39" t="s">
        <v>75</v>
      </c>
      <c r="C58" s="20">
        <v>200</v>
      </c>
      <c r="D58" s="4" t="s">
        <v>225</v>
      </c>
    </row>
    <row r="59" spans="1:4" x14ac:dyDescent="0.3">
      <c r="A59" s="12" t="s">
        <v>226</v>
      </c>
      <c r="B59" s="38" t="s">
        <v>75</v>
      </c>
      <c r="C59" s="15">
        <v>150</v>
      </c>
      <c r="D59" s="4" t="s">
        <v>227</v>
      </c>
    </row>
    <row r="60" spans="1:4" x14ac:dyDescent="0.3">
      <c r="A60" s="17" t="s">
        <v>84</v>
      </c>
      <c r="B60" s="39"/>
      <c r="C60" s="40">
        <f>G40</f>
        <v>247.40079365079364</v>
      </c>
      <c r="D60" s="4" t="s">
        <v>85</v>
      </c>
    </row>
    <row r="61" spans="1:4" x14ac:dyDescent="0.3">
      <c r="A61" s="21" t="s">
        <v>86</v>
      </c>
      <c r="B61" s="22"/>
      <c r="C61" s="35">
        <f>SUM(C53:C60)</f>
        <v>5167.4007936507933</v>
      </c>
    </row>
    <row r="63" spans="1:4" ht="19.5" customHeight="1" x14ac:dyDescent="0.3">
      <c r="A63" s="2" t="s">
        <v>87</v>
      </c>
    </row>
    <row r="64" spans="1:4" x14ac:dyDescent="0.3">
      <c r="A64" s="11" t="s">
        <v>68</v>
      </c>
      <c r="B64" s="11" t="s">
        <v>70</v>
      </c>
      <c r="C64" s="25" t="s">
        <v>47</v>
      </c>
    </row>
    <row r="65" spans="1:3" x14ac:dyDescent="0.3">
      <c r="A65" s="12" t="s">
        <v>88</v>
      </c>
      <c r="B65" s="41">
        <v>0</v>
      </c>
      <c r="C65" s="4" t="s">
        <v>89</v>
      </c>
    </row>
    <row r="66" spans="1:3" x14ac:dyDescent="0.3">
      <c r="A66" s="17" t="s">
        <v>228</v>
      </c>
      <c r="B66" s="41">
        <v>0</v>
      </c>
      <c r="C66" s="4" t="s">
        <v>89</v>
      </c>
    </row>
    <row r="67" spans="1:3" x14ac:dyDescent="0.3">
      <c r="A67" s="12" t="s">
        <v>229</v>
      </c>
      <c r="B67" s="41">
        <v>0</v>
      </c>
      <c r="C67" s="4" t="s">
        <v>89</v>
      </c>
    </row>
    <row r="68" spans="1:3" x14ac:dyDescent="0.3">
      <c r="A68" s="17" t="s">
        <v>230</v>
      </c>
      <c r="B68" s="41">
        <v>0</v>
      </c>
      <c r="C68" s="4" t="s">
        <v>89</v>
      </c>
    </row>
    <row r="69" spans="1:3" x14ac:dyDescent="0.3">
      <c r="A69" s="12" t="s">
        <v>231</v>
      </c>
      <c r="B69" s="41">
        <v>0</v>
      </c>
      <c r="C69" s="4" t="s">
        <v>89</v>
      </c>
    </row>
    <row r="70" spans="1:3" x14ac:dyDescent="0.3">
      <c r="A70" s="21" t="s">
        <v>93</v>
      </c>
      <c r="B70" s="35">
        <f>SUM(B65:B69)</f>
        <v>0</v>
      </c>
    </row>
    <row r="72" spans="1:3" ht="19.5" customHeight="1" x14ac:dyDescent="0.3">
      <c r="A72" s="2" t="s">
        <v>94</v>
      </c>
    </row>
    <row r="73" spans="1:3" x14ac:dyDescent="0.3">
      <c r="A73" s="11" t="s">
        <v>68</v>
      </c>
      <c r="B73" s="11" t="s">
        <v>70</v>
      </c>
      <c r="C73" s="25" t="s">
        <v>47</v>
      </c>
    </row>
    <row r="74" spans="1:3" x14ac:dyDescent="0.3">
      <c r="A74" s="12" t="s">
        <v>95</v>
      </c>
      <c r="B74" s="15">
        <v>300</v>
      </c>
      <c r="C74" s="4" t="s">
        <v>96</v>
      </c>
    </row>
    <row r="75" spans="1:3" x14ac:dyDescent="0.3">
      <c r="A75" s="17" t="s">
        <v>232</v>
      </c>
      <c r="B75" s="41">
        <v>0</v>
      </c>
      <c r="C75" s="4" t="s">
        <v>89</v>
      </c>
    </row>
    <row r="76" spans="1:3" x14ac:dyDescent="0.3">
      <c r="A76" s="12" t="s">
        <v>233</v>
      </c>
      <c r="B76" s="41">
        <v>0</v>
      </c>
      <c r="C76" s="4" t="s">
        <v>89</v>
      </c>
    </row>
    <row r="77" spans="1:3" x14ac:dyDescent="0.3">
      <c r="A77" s="17" t="s">
        <v>234</v>
      </c>
      <c r="B77" s="41">
        <v>0</v>
      </c>
      <c r="C77" s="4" t="s">
        <v>89</v>
      </c>
    </row>
    <row r="78" spans="1:3" x14ac:dyDescent="0.3">
      <c r="A78" s="12" t="s">
        <v>235</v>
      </c>
      <c r="B78" s="41">
        <v>0</v>
      </c>
      <c r="C78" s="4" t="s">
        <v>89</v>
      </c>
    </row>
    <row r="79" spans="1:3" x14ac:dyDescent="0.3">
      <c r="A79" s="21" t="s">
        <v>98</v>
      </c>
      <c r="B79" s="35">
        <f>SUM(B74:B78)</f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showGridLines="0" topLeftCell="A23" zoomScaleNormal="100" workbookViewId="0">
      <selection activeCell="A34" sqref="A34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236</v>
      </c>
    </row>
    <row r="2" spans="1:7" ht="15.75" customHeight="1" x14ac:dyDescent="0.3">
      <c r="A2" s="4" t="s">
        <v>237</v>
      </c>
    </row>
    <row r="4" spans="1:7" ht="19.5" customHeight="1" x14ac:dyDescent="0.3">
      <c r="A4" s="2" t="s">
        <v>2</v>
      </c>
    </row>
    <row r="5" spans="1:7" x14ac:dyDescent="0.3">
      <c r="A5" s="5" t="s">
        <v>3</v>
      </c>
      <c r="B5" s="6">
        <v>40</v>
      </c>
    </row>
    <row r="6" spans="1:7" x14ac:dyDescent="0.3">
      <c r="A6" s="5" t="s">
        <v>4</v>
      </c>
      <c r="B6" s="7" t="s">
        <v>5</v>
      </c>
    </row>
    <row r="7" spans="1:7" x14ac:dyDescent="0.3">
      <c r="A7" s="5" t="s">
        <v>6</v>
      </c>
      <c r="B7" s="8">
        <f>D45</f>
        <v>2050</v>
      </c>
    </row>
    <row r="8" spans="1:7" x14ac:dyDescent="0.3">
      <c r="A8" s="5" t="s">
        <v>7</v>
      </c>
      <c r="B8" s="9">
        <f>G45</f>
        <v>31.666666666666668</v>
      </c>
    </row>
    <row r="9" spans="1:7" x14ac:dyDescent="0.3">
      <c r="A9" s="5" t="s">
        <v>8</v>
      </c>
      <c r="B9" s="8">
        <f>F50</f>
        <v>1690</v>
      </c>
    </row>
    <row r="10" spans="1:7" x14ac:dyDescent="0.3">
      <c r="A10" s="5" t="s">
        <v>9</v>
      </c>
      <c r="B10" s="9">
        <f>C60</f>
        <v>1036.6666666666667</v>
      </c>
    </row>
    <row r="11" spans="1:7" x14ac:dyDescent="0.3">
      <c r="A11" s="5" t="s">
        <v>10</v>
      </c>
      <c r="B11" s="9">
        <f>B67</f>
        <v>0</v>
      </c>
    </row>
    <row r="12" spans="1:7" x14ac:dyDescent="0.3">
      <c r="A12" s="5" t="s">
        <v>11</v>
      </c>
      <c r="B12" s="9">
        <f>B74</f>
        <v>125</v>
      </c>
    </row>
    <row r="14" spans="1:7" x14ac:dyDescent="0.3">
      <c r="A14" s="3" t="s">
        <v>12</v>
      </c>
      <c r="B14" s="10">
        <v>0.18</v>
      </c>
    </row>
    <row r="15" spans="1:7" ht="19.5" customHeight="1" x14ac:dyDescent="0.3">
      <c r="A15" s="2" t="s">
        <v>13</v>
      </c>
    </row>
    <row r="16" spans="1:7" ht="43.5" customHeight="1" x14ac:dyDescent="0.3">
      <c r="A16" s="11" t="s">
        <v>14</v>
      </c>
      <c r="B16" s="11" t="s">
        <v>15</v>
      </c>
      <c r="C16" s="11" t="s">
        <v>16</v>
      </c>
      <c r="D16" s="11" t="s">
        <v>17</v>
      </c>
      <c r="E16" s="11" t="s">
        <v>18</v>
      </c>
      <c r="F16" s="11" t="s">
        <v>19</v>
      </c>
      <c r="G16" s="11" t="s">
        <v>20</v>
      </c>
    </row>
    <row r="17" spans="1:8" x14ac:dyDescent="0.3">
      <c r="A17" s="12" t="s">
        <v>238</v>
      </c>
      <c r="B17" s="13" t="s">
        <v>112</v>
      </c>
      <c r="C17" s="14">
        <v>25</v>
      </c>
      <c r="D17" s="13" t="s">
        <v>239</v>
      </c>
      <c r="E17" s="15">
        <v>2500</v>
      </c>
      <c r="F17" s="16"/>
      <c r="G17" s="16"/>
      <c r="H17" s="4" t="s">
        <v>24</v>
      </c>
    </row>
    <row r="18" spans="1:8" x14ac:dyDescent="0.3">
      <c r="A18" s="17" t="s">
        <v>240</v>
      </c>
      <c r="B18" s="18" t="s">
        <v>241</v>
      </c>
      <c r="C18" s="19">
        <v>20</v>
      </c>
      <c r="D18" s="18" t="s">
        <v>239</v>
      </c>
      <c r="E18" s="20">
        <v>250</v>
      </c>
      <c r="F18" s="16"/>
      <c r="G18" s="16"/>
      <c r="H18" s="4" t="s">
        <v>242</v>
      </c>
    </row>
    <row r="19" spans="1:8" x14ac:dyDescent="0.3">
      <c r="A19" s="12" t="s">
        <v>243</v>
      </c>
      <c r="B19" s="13" t="s">
        <v>241</v>
      </c>
      <c r="C19" s="14">
        <v>50</v>
      </c>
      <c r="D19" s="13" t="s">
        <v>239</v>
      </c>
      <c r="E19" s="15">
        <v>200</v>
      </c>
      <c r="F19" s="16"/>
      <c r="G19" s="16"/>
      <c r="H19" s="4" t="s">
        <v>24</v>
      </c>
    </row>
    <row r="20" spans="1:8" x14ac:dyDescent="0.3">
      <c r="A20" s="17" t="s">
        <v>244</v>
      </c>
      <c r="B20" s="18" t="s">
        <v>112</v>
      </c>
      <c r="C20" s="19">
        <v>1</v>
      </c>
      <c r="D20" s="18" t="s">
        <v>239</v>
      </c>
      <c r="E20" s="20">
        <v>40</v>
      </c>
      <c r="F20" s="16"/>
      <c r="G20" s="16"/>
      <c r="H20" s="4" t="s">
        <v>24</v>
      </c>
    </row>
    <row r="21" spans="1:8" x14ac:dyDescent="0.3">
      <c r="A21" s="12" t="s">
        <v>245</v>
      </c>
      <c r="B21" s="13" t="s">
        <v>112</v>
      </c>
      <c r="C21" s="14">
        <v>5</v>
      </c>
      <c r="D21" s="13" t="s">
        <v>239</v>
      </c>
      <c r="E21" s="15">
        <v>90</v>
      </c>
      <c r="F21" s="16"/>
      <c r="G21" s="16"/>
      <c r="H21" s="4" t="s">
        <v>24</v>
      </c>
    </row>
    <row r="22" spans="1:8" x14ac:dyDescent="0.3">
      <c r="A22" s="17" t="s">
        <v>246</v>
      </c>
      <c r="B22" s="18" t="s">
        <v>30</v>
      </c>
      <c r="C22" s="19">
        <v>1000</v>
      </c>
      <c r="D22" s="18" t="s">
        <v>31</v>
      </c>
      <c r="E22" s="20">
        <v>600</v>
      </c>
      <c r="F22" s="16"/>
      <c r="G22" s="16"/>
      <c r="H22" s="4" t="s">
        <v>24</v>
      </c>
    </row>
    <row r="24" spans="1:8" ht="19.5" customHeight="1" x14ac:dyDescent="0.3">
      <c r="A24" s="2" t="s">
        <v>32</v>
      </c>
    </row>
    <row r="25" spans="1:8" ht="31.5" customHeight="1" x14ac:dyDescent="0.3">
      <c r="A25" s="11" t="s">
        <v>14</v>
      </c>
      <c r="B25" s="11" t="s">
        <v>33</v>
      </c>
      <c r="C25" s="11" t="s">
        <v>17</v>
      </c>
      <c r="D25" s="11" t="s">
        <v>34</v>
      </c>
    </row>
    <row r="26" spans="1:8" x14ac:dyDescent="0.3">
      <c r="A26" s="12" t="s">
        <v>238</v>
      </c>
      <c r="B26" s="14">
        <v>0.05</v>
      </c>
      <c r="C26" s="13" t="s">
        <v>239</v>
      </c>
      <c r="D26" s="16"/>
    </row>
    <row r="27" spans="1:8" x14ac:dyDescent="0.3">
      <c r="A27" s="17" t="s">
        <v>240</v>
      </c>
      <c r="B27" s="19">
        <v>0.03</v>
      </c>
      <c r="C27" s="18" t="s">
        <v>239</v>
      </c>
      <c r="D27" s="16"/>
    </row>
    <row r="28" spans="1:8" x14ac:dyDescent="0.3">
      <c r="A28" s="12" t="s">
        <v>243</v>
      </c>
      <c r="B28" s="14">
        <v>0.06</v>
      </c>
      <c r="C28" s="13" t="s">
        <v>239</v>
      </c>
      <c r="D28" s="16"/>
    </row>
    <row r="29" spans="1:8" x14ac:dyDescent="0.3">
      <c r="A29" s="17" t="s">
        <v>244</v>
      </c>
      <c r="B29" s="19">
        <v>3.0000000000000001E-3</v>
      </c>
      <c r="C29" s="18" t="s">
        <v>239</v>
      </c>
      <c r="D29" s="16"/>
    </row>
    <row r="30" spans="1:8" x14ac:dyDescent="0.3">
      <c r="A30" s="12" t="s">
        <v>245</v>
      </c>
      <c r="B30" s="14">
        <v>0.01</v>
      </c>
      <c r="C30" s="13" t="s">
        <v>239</v>
      </c>
      <c r="D30" s="16"/>
    </row>
    <row r="31" spans="1:8" x14ac:dyDescent="0.3">
      <c r="A31" s="17" t="s">
        <v>246</v>
      </c>
      <c r="B31" s="19">
        <v>1</v>
      </c>
      <c r="C31" s="18" t="s">
        <v>31</v>
      </c>
      <c r="D31" s="16"/>
    </row>
    <row r="32" spans="1:8" x14ac:dyDescent="0.3">
      <c r="A32" s="21" t="s">
        <v>35</v>
      </c>
      <c r="B32" s="22"/>
      <c r="C32" s="22"/>
      <c r="D32" s="23"/>
    </row>
    <row r="34" spans="1:8" x14ac:dyDescent="0.3">
      <c r="A34" s="24" t="s">
        <v>305</v>
      </c>
    </row>
    <row r="35" spans="1:8" x14ac:dyDescent="0.3">
      <c r="A35" s="4" t="s">
        <v>36</v>
      </c>
    </row>
    <row r="36" spans="1:8" x14ac:dyDescent="0.3">
      <c r="A36" s="4" t="s">
        <v>37</v>
      </c>
    </row>
    <row r="37" spans="1:8" x14ac:dyDescent="0.3">
      <c r="A37" s="4" t="s">
        <v>38</v>
      </c>
    </row>
    <row r="39" spans="1:8" ht="19.5" customHeight="1" x14ac:dyDescent="0.3">
      <c r="A39" s="2" t="s">
        <v>39</v>
      </c>
    </row>
    <row r="40" spans="1:8" ht="30" customHeight="1" x14ac:dyDescent="0.3">
      <c r="A40" s="11" t="s">
        <v>40</v>
      </c>
      <c r="B40" s="11" t="s">
        <v>41</v>
      </c>
      <c r="C40" s="11" t="s">
        <v>42</v>
      </c>
      <c r="D40" s="11" t="s">
        <v>43</v>
      </c>
      <c r="E40" s="11" t="s">
        <v>44</v>
      </c>
      <c r="F40" s="11" t="s">
        <v>45</v>
      </c>
      <c r="G40" s="11" t="s">
        <v>46</v>
      </c>
      <c r="H40" s="25" t="s">
        <v>47</v>
      </c>
    </row>
    <row r="41" spans="1:8" x14ac:dyDescent="0.3">
      <c r="A41" s="12" t="s">
        <v>247</v>
      </c>
      <c r="B41" s="26">
        <v>1</v>
      </c>
      <c r="C41" s="27">
        <v>1600</v>
      </c>
      <c r="D41" s="28">
        <f>B41*C41</f>
        <v>1600</v>
      </c>
      <c r="E41" s="26">
        <v>5</v>
      </c>
      <c r="F41" s="28">
        <f>IFERROR(D41/E41,0)</f>
        <v>320</v>
      </c>
      <c r="G41" s="29">
        <f>F41/12</f>
        <v>26.666666666666668</v>
      </c>
      <c r="H41" s="4" t="s">
        <v>248</v>
      </c>
    </row>
    <row r="42" spans="1:8" x14ac:dyDescent="0.3">
      <c r="A42" s="17" t="s">
        <v>249</v>
      </c>
      <c r="B42" s="30">
        <v>1</v>
      </c>
      <c r="C42" s="31">
        <v>100</v>
      </c>
      <c r="D42" s="32">
        <f>B42*C42</f>
        <v>100</v>
      </c>
      <c r="E42" s="30">
        <v>5</v>
      </c>
      <c r="F42" s="32">
        <f>IFERROR(D42/E42,0)</f>
        <v>20</v>
      </c>
      <c r="G42" s="33">
        <f>F42/12</f>
        <v>1.6666666666666667</v>
      </c>
      <c r="H42" s="4" t="s">
        <v>53</v>
      </c>
    </row>
    <row r="43" spans="1:8" x14ac:dyDescent="0.3">
      <c r="A43" s="12" t="s">
        <v>250</v>
      </c>
      <c r="B43" s="26">
        <v>1</v>
      </c>
      <c r="C43" s="27">
        <v>300</v>
      </c>
      <c r="D43" s="28">
        <f>B43*C43</f>
        <v>300</v>
      </c>
      <c r="E43" s="26">
        <v>10</v>
      </c>
      <c r="F43" s="28">
        <f>IFERROR(D43/E43,0)</f>
        <v>30</v>
      </c>
      <c r="G43" s="29">
        <f>F43/12</f>
        <v>2.5</v>
      </c>
      <c r="H43" s="4" t="s">
        <v>53</v>
      </c>
    </row>
    <row r="44" spans="1:8" x14ac:dyDescent="0.3">
      <c r="A44" s="17" t="s">
        <v>251</v>
      </c>
      <c r="B44" s="30">
        <v>1</v>
      </c>
      <c r="C44" s="31">
        <v>50</v>
      </c>
      <c r="D44" s="32">
        <f>B44*C44</f>
        <v>50</v>
      </c>
      <c r="E44" s="30">
        <v>5</v>
      </c>
      <c r="F44" s="32">
        <f>IFERROR(D44/E44,0)</f>
        <v>10</v>
      </c>
      <c r="G44" s="33">
        <f>F44/12</f>
        <v>0.83333333333333337</v>
      </c>
      <c r="H44" s="4" t="s">
        <v>53</v>
      </c>
    </row>
    <row r="45" spans="1:8" x14ac:dyDescent="0.3">
      <c r="A45" s="21" t="s">
        <v>54</v>
      </c>
      <c r="B45" s="22"/>
      <c r="C45" s="22"/>
      <c r="D45" s="34">
        <f>SUM(D41:D44)</f>
        <v>2050</v>
      </c>
      <c r="E45" s="22"/>
      <c r="F45" s="34">
        <f>SUM(F41:F44)</f>
        <v>380</v>
      </c>
      <c r="G45" s="35">
        <f>SUM(G41:G44)</f>
        <v>31.666666666666668</v>
      </c>
    </row>
    <row r="47" spans="1:8" ht="19.5" customHeight="1" x14ac:dyDescent="0.3">
      <c r="A47" s="2" t="s">
        <v>55</v>
      </c>
    </row>
    <row r="48" spans="1:8" ht="30" customHeight="1" x14ac:dyDescent="0.3">
      <c r="A48" s="11" t="s">
        <v>56</v>
      </c>
      <c r="B48" s="11" t="s">
        <v>41</v>
      </c>
      <c r="C48" s="11" t="s">
        <v>57</v>
      </c>
      <c r="D48" s="11" t="s">
        <v>58</v>
      </c>
      <c r="E48" s="11" t="s">
        <v>59</v>
      </c>
      <c r="F48" s="11" t="s">
        <v>60</v>
      </c>
      <c r="G48" s="11" t="s">
        <v>61</v>
      </c>
      <c r="H48" s="25" t="s">
        <v>62</v>
      </c>
    </row>
    <row r="49" spans="1:8" ht="22.8" x14ac:dyDescent="0.3">
      <c r="A49" s="12" t="s">
        <v>252</v>
      </c>
      <c r="B49" s="26">
        <v>1</v>
      </c>
      <c r="C49" s="27">
        <v>1300</v>
      </c>
      <c r="D49" s="10">
        <v>0.3</v>
      </c>
      <c r="E49" s="28">
        <f>C49*D49</f>
        <v>390</v>
      </c>
      <c r="F49" s="28">
        <f>(C49+E49)*B49</f>
        <v>1690</v>
      </c>
      <c r="G49" s="28">
        <f>F49*12</f>
        <v>20280</v>
      </c>
      <c r="H49" s="36" t="s">
        <v>253</v>
      </c>
    </row>
    <row r="50" spans="1:8" x14ac:dyDescent="0.3">
      <c r="A50" s="21" t="s">
        <v>65</v>
      </c>
      <c r="B50" s="22"/>
      <c r="C50" s="22"/>
      <c r="D50" s="22"/>
      <c r="E50" s="22"/>
      <c r="F50" s="34">
        <f>SUM(F49:F49)</f>
        <v>1690</v>
      </c>
      <c r="G50" s="34">
        <f>SUM(G49:G49)</f>
        <v>20280</v>
      </c>
    </row>
    <row r="51" spans="1:8" x14ac:dyDescent="0.3">
      <c r="A51" s="37" t="s">
        <v>66</v>
      </c>
    </row>
    <row r="53" spans="1:8" ht="19.5" customHeight="1" x14ac:dyDescent="0.3">
      <c r="A53" s="2" t="s">
        <v>67</v>
      </c>
    </row>
    <row r="54" spans="1:8" x14ac:dyDescent="0.3">
      <c r="A54" s="11" t="s">
        <v>68</v>
      </c>
      <c r="B54" s="11" t="s">
        <v>69</v>
      </c>
      <c r="C54" s="11" t="s">
        <v>70</v>
      </c>
      <c r="D54" s="25" t="s">
        <v>47</v>
      </c>
    </row>
    <row r="55" spans="1:8" x14ac:dyDescent="0.3">
      <c r="A55" s="12" t="s">
        <v>254</v>
      </c>
      <c r="B55" s="38" t="s">
        <v>255</v>
      </c>
      <c r="C55" s="15">
        <v>900</v>
      </c>
      <c r="D55" s="4" t="s">
        <v>53</v>
      </c>
    </row>
    <row r="56" spans="1:8" x14ac:dyDescent="0.3">
      <c r="A56" s="17" t="s">
        <v>256</v>
      </c>
      <c r="B56" s="39" t="s">
        <v>75</v>
      </c>
      <c r="C56" s="20">
        <v>70</v>
      </c>
      <c r="D56" s="4" t="s">
        <v>257</v>
      </c>
    </row>
    <row r="57" spans="1:8" x14ac:dyDescent="0.3">
      <c r="A57" s="12" t="s">
        <v>258</v>
      </c>
      <c r="B57" s="38" t="s">
        <v>75</v>
      </c>
      <c r="C57" s="15">
        <v>5</v>
      </c>
      <c r="D57" s="4" t="s">
        <v>53</v>
      </c>
    </row>
    <row r="58" spans="1:8" x14ac:dyDescent="0.3">
      <c r="A58" s="17" t="s">
        <v>259</v>
      </c>
      <c r="B58" s="39" t="s">
        <v>75</v>
      </c>
      <c r="C58" s="20">
        <v>30</v>
      </c>
      <c r="D58" s="4" t="s">
        <v>53</v>
      </c>
    </row>
    <row r="59" spans="1:8" x14ac:dyDescent="0.3">
      <c r="A59" s="12" t="s">
        <v>84</v>
      </c>
      <c r="B59" s="38"/>
      <c r="C59" s="43">
        <f>G45</f>
        <v>31.666666666666668</v>
      </c>
      <c r="D59" s="4" t="s">
        <v>85</v>
      </c>
    </row>
    <row r="60" spans="1:8" x14ac:dyDescent="0.3">
      <c r="A60" s="21" t="s">
        <v>86</v>
      </c>
      <c r="B60" s="22"/>
      <c r="C60" s="35">
        <f>SUM(C55:C59)</f>
        <v>1036.6666666666667</v>
      </c>
    </row>
    <row r="62" spans="1:8" ht="19.5" customHeight="1" x14ac:dyDescent="0.3">
      <c r="A62" s="2" t="s">
        <v>87</v>
      </c>
    </row>
    <row r="63" spans="1:8" x14ac:dyDescent="0.3">
      <c r="A63" s="11" t="s">
        <v>68</v>
      </c>
      <c r="B63" s="11" t="s">
        <v>70</v>
      </c>
      <c r="C63" s="25" t="s">
        <v>47</v>
      </c>
    </row>
    <row r="64" spans="1:8" x14ac:dyDescent="0.3">
      <c r="A64" s="12" t="s">
        <v>88</v>
      </c>
      <c r="B64" s="41">
        <v>0</v>
      </c>
      <c r="C64" s="4" t="s">
        <v>89</v>
      </c>
    </row>
    <row r="65" spans="1:3" x14ac:dyDescent="0.3">
      <c r="A65" s="17" t="s">
        <v>260</v>
      </c>
      <c r="B65" s="41">
        <v>0</v>
      </c>
      <c r="C65" s="4" t="s">
        <v>89</v>
      </c>
    </row>
    <row r="66" spans="1:3" x14ac:dyDescent="0.3">
      <c r="A66" s="12" t="s">
        <v>92</v>
      </c>
      <c r="B66" s="41">
        <v>0</v>
      </c>
      <c r="C66" s="4" t="s">
        <v>89</v>
      </c>
    </row>
    <row r="67" spans="1:3" x14ac:dyDescent="0.3">
      <c r="A67" s="21" t="s">
        <v>93</v>
      </c>
      <c r="B67" s="35">
        <f>SUM(B64:B66)</f>
        <v>0</v>
      </c>
    </row>
    <row r="69" spans="1:3" ht="19.5" customHeight="1" x14ac:dyDescent="0.3">
      <c r="A69" s="2" t="s">
        <v>94</v>
      </c>
    </row>
    <row r="70" spans="1:3" x14ac:dyDescent="0.3">
      <c r="A70" s="11" t="s">
        <v>68</v>
      </c>
      <c r="B70" s="11" t="s">
        <v>70</v>
      </c>
      <c r="C70" s="25" t="s">
        <v>47</v>
      </c>
    </row>
    <row r="71" spans="1:3" x14ac:dyDescent="0.3">
      <c r="A71" s="12" t="s">
        <v>261</v>
      </c>
      <c r="B71" s="15">
        <v>100</v>
      </c>
      <c r="C71" s="4" t="s">
        <v>96</v>
      </c>
    </row>
    <row r="72" spans="1:3" x14ac:dyDescent="0.3">
      <c r="A72" s="17" t="s">
        <v>262</v>
      </c>
      <c r="B72" s="20">
        <f>300/12</f>
        <v>25</v>
      </c>
      <c r="C72" s="4" t="s">
        <v>263</v>
      </c>
    </row>
    <row r="73" spans="1:3" x14ac:dyDescent="0.3">
      <c r="A73" s="12" t="s">
        <v>264</v>
      </c>
      <c r="B73" s="41">
        <v>0</v>
      </c>
      <c r="C73" s="4" t="s">
        <v>89</v>
      </c>
    </row>
    <row r="74" spans="1:3" x14ac:dyDescent="0.3">
      <c r="A74" s="21" t="s">
        <v>98</v>
      </c>
      <c r="B74" s="35">
        <f>SUM(B71:B73)</f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5"/>
  <sheetViews>
    <sheetView showGridLines="0" tabSelected="1" topLeftCell="A18" zoomScaleNormal="100" workbookViewId="0">
      <selection activeCell="F37" sqref="F37"/>
    </sheetView>
  </sheetViews>
  <sheetFormatPr baseColWidth="10" defaultColWidth="8.6640625" defaultRowHeight="14.4" x14ac:dyDescent="0.3"/>
  <cols>
    <col min="1" max="1" width="44" customWidth="1"/>
    <col min="2" max="2" width="18" customWidth="1"/>
    <col min="3" max="3" width="16" customWidth="1"/>
    <col min="4" max="4" width="14" customWidth="1"/>
    <col min="5" max="6" width="16" customWidth="1"/>
    <col min="7" max="7" width="20" customWidth="1"/>
    <col min="8" max="8" width="28" customWidth="1"/>
  </cols>
  <sheetData>
    <row r="1" spans="1:7" ht="25.5" customHeight="1" x14ac:dyDescent="0.3">
      <c r="A1" s="1" t="s">
        <v>265</v>
      </c>
    </row>
    <row r="2" spans="1:7" ht="15.75" customHeight="1" x14ac:dyDescent="0.3">
      <c r="A2" s="4" t="s">
        <v>266</v>
      </c>
    </row>
    <row r="4" spans="1:7" ht="19.5" customHeight="1" x14ac:dyDescent="0.3">
      <c r="A4" s="2" t="s">
        <v>2</v>
      </c>
    </row>
    <row r="5" spans="1:7" x14ac:dyDescent="0.3">
      <c r="A5" s="5" t="s">
        <v>3</v>
      </c>
      <c r="B5" s="7" t="s">
        <v>162</v>
      </c>
    </row>
    <row r="6" spans="1:7" x14ac:dyDescent="0.3">
      <c r="A6" s="5" t="s">
        <v>4</v>
      </c>
      <c r="B6" s="7" t="s">
        <v>5</v>
      </c>
    </row>
    <row r="7" spans="1:7" x14ac:dyDescent="0.3">
      <c r="A7" s="5" t="s">
        <v>6</v>
      </c>
      <c r="B7" s="8">
        <f>D54</f>
        <v>4370</v>
      </c>
    </row>
    <row r="8" spans="1:7" x14ac:dyDescent="0.3">
      <c r="A8" s="5" t="s">
        <v>7</v>
      </c>
      <c r="B8" s="9">
        <f>G54</f>
        <v>46.642857142857139</v>
      </c>
    </row>
    <row r="9" spans="1:7" x14ac:dyDescent="0.3">
      <c r="A9" s="5" t="s">
        <v>8</v>
      </c>
      <c r="B9" s="8">
        <f>F59</f>
        <v>1690</v>
      </c>
    </row>
    <row r="10" spans="1:7" x14ac:dyDescent="0.3">
      <c r="A10" s="5" t="s">
        <v>9</v>
      </c>
      <c r="B10" s="9">
        <f>C70</f>
        <v>1256.6428571428571</v>
      </c>
    </row>
    <row r="11" spans="1:7" x14ac:dyDescent="0.3">
      <c r="A11" s="5" t="s">
        <v>10</v>
      </c>
      <c r="B11" s="9">
        <f>B77</f>
        <v>0</v>
      </c>
    </row>
    <row r="12" spans="1:7" x14ac:dyDescent="0.3">
      <c r="A12" s="5" t="s">
        <v>11</v>
      </c>
      <c r="B12" s="9">
        <f>B85</f>
        <v>100</v>
      </c>
    </row>
    <row r="14" spans="1:7" x14ac:dyDescent="0.3">
      <c r="A14" s="3" t="s">
        <v>12</v>
      </c>
      <c r="B14" s="10">
        <v>0.18</v>
      </c>
    </row>
    <row r="15" spans="1:7" ht="19.5" customHeight="1" x14ac:dyDescent="0.3">
      <c r="A15" s="2" t="s">
        <v>13</v>
      </c>
    </row>
    <row r="16" spans="1:7" ht="43.5" customHeight="1" x14ac:dyDescent="0.3">
      <c r="A16" s="11" t="s">
        <v>14</v>
      </c>
      <c r="B16" s="11" t="s">
        <v>15</v>
      </c>
      <c r="C16" s="11" t="s">
        <v>16</v>
      </c>
      <c r="D16" s="11" t="s">
        <v>17</v>
      </c>
      <c r="E16" s="11" t="s">
        <v>18</v>
      </c>
      <c r="F16" s="11" t="s">
        <v>19</v>
      </c>
      <c r="G16" s="11" t="s">
        <v>20</v>
      </c>
    </row>
    <row r="17" spans="1:8" x14ac:dyDescent="0.3">
      <c r="A17" s="12" t="s">
        <v>267</v>
      </c>
      <c r="B17" s="13" t="s">
        <v>241</v>
      </c>
      <c r="C17" s="14">
        <v>50</v>
      </c>
      <c r="D17" s="13" t="s">
        <v>239</v>
      </c>
      <c r="E17" s="15">
        <v>180</v>
      </c>
      <c r="F17" s="16"/>
      <c r="G17" s="16"/>
      <c r="H17" s="4" t="s">
        <v>24</v>
      </c>
    </row>
    <row r="18" spans="1:8" x14ac:dyDescent="0.3">
      <c r="A18" s="17" t="s">
        <v>268</v>
      </c>
      <c r="B18" s="18" t="s">
        <v>269</v>
      </c>
      <c r="C18" s="19">
        <v>18</v>
      </c>
      <c r="D18" s="18" t="s">
        <v>239</v>
      </c>
      <c r="E18" s="20">
        <v>90</v>
      </c>
      <c r="F18" s="16"/>
      <c r="G18" s="16"/>
      <c r="H18" s="4" t="s">
        <v>24</v>
      </c>
    </row>
    <row r="19" spans="1:8" x14ac:dyDescent="0.3">
      <c r="A19" s="12" t="s">
        <v>270</v>
      </c>
      <c r="B19" s="13" t="s">
        <v>241</v>
      </c>
      <c r="C19" s="14">
        <v>50</v>
      </c>
      <c r="D19" s="13" t="s">
        <v>239</v>
      </c>
      <c r="E19" s="15">
        <v>200</v>
      </c>
      <c r="F19" s="16"/>
      <c r="G19" s="16"/>
      <c r="H19" s="4" t="s">
        <v>24</v>
      </c>
    </row>
    <row r="20" spans="1:8" x14ac:dyDescent="0.3">
      <c r="A20" s="17" t="s">
        <v>271</v>
      </c>
      <c r="B20" s="18" t="s">
        <v>272</v>
      </c>
      <c r="C20" s="19">
        <v>30</v>
      </c>
      <c r="D20" s="18" t="s">
        <v>31</v>
      </c>
      <c r="E20" s="20">
        <v>18</v>
      </c>
      <c r="F20" s="16"/>
      <c r="G20" s="16"/>
      <c r="H20" s="4" t="s">
        <v>273</v>
      </c>
    </row>
    <row r="21" spans="1:8" x14ac:dyDescent="0.3">
      <c r="A21" s="12" t="s">
        <v>274</v>
      </c>
      <c r="B21" s="13" t="s">
        <v>22</v>
      </c>
      <c r="C21" s="14">
        <v>10</v>
      </c>
      <c r="D21" s="13" t="s">
        <v>239</v>
      </c>
      <c r="E21" s="15">
        <v>300</v>
      </c>
      <c r="F21" s="16"/>
      <c r="G21" s="16"/>
      <c r="H21" s="4" t="s">
        <v>24</v>
      </c>
    </row>
    <row r="22" spans="1:8" x14ac:dyDescent="0.3">
      <c r="A22" s="17" t="s">
        <v>275</v>
      </c>
      <c r="B22" s="18" t="s">
        <v>22</v>
      </c>
      <c r="C22" s="19">
        <v>12</v>
      </c>
      <c r="D22" s="18" t="s">
        <v>276</v>
      </c>
      <c r="E22" s="20">
        <v>60</v>
      </c>
      <c r="F22" s="16"/>
      <c r="G22" s="16"/>
      <c r="H22" s="4" t="s">
        <v>24</v>
      </c>
    </row>
    <row r="23" spans="1:8" x14ac:dyDescent="0.3">
      <c r="A23" s="12" t="s">
        <v>277</v>
      </c>
      <c r="B23" s="13" t="s">
        <v>112</v>
      </c>
      <c r="C23" s="14">
        <v>1</v>
      </c>
      <c r="D23" s="13" t="s">
        <v>239</v>
      </c>
      <c r="E23" s="15">
        <v>15</v>
      </c>
      <c r="F23" s="16"/>
      <c r="G23" s="16"/>
      <c r="H23" s="4" t="s">
        <v>24</v>
      </c>
    </row>
    <row r="24" spans="1:8" x14ac:dyDescent="0.3">
      <c r="A24" s="17" t="s">
        <v>278</v>
      </c>
      <c r="B24" s="18" t="s">
        <v>279</v>
      </c>
      <c r="C24" s="19">
        <v>1</v>
      </c>
      <c r="D24" s="18" t="s">
        <v>239</v>
      </c>
      <c r="E24" s="20">
        <v>20</v>
      </c>
      <c r="F24" s="16"/>
      <c r="G24" s="16"/>
      <c r="H24" s="4" t="s">
        <v>24</v>
      </c>
    </row>
    <row r="25" spans="1:8" x14ac:dyDescent="0.3">
      <c r="A25" s="12" t="s">
        <v>280</v>
      </c>
      <c r="B25" s="13" t="s">
        <v>281</v>
      </c>
      <c r="C25" s="14">
        <v>100</v>
      </c>
      <c r="D25" s="13" t="s">
        <v>31</v>
      </c>
      <c r="E25" s="15">
        <v>60</v>
      </c>
      <c r="F25" s="16"/>
      <c r="G25" s="16"/>
      <c r="H25" s="4" t="s">
        <v>282</v>
      </c>
    </row>
    <row r="27" spans="1:8" ht="19.5" customHeight="1" x14ac:dyDescent="0.3">
      <c r="A27" s="2" t="s">
        <v>32</v>
      </c>
    </row>
    <row r="28" spans="1:8" ht="31.5" customHeight="1" x14ac:dyDescent="0.3">
      <c r="A28" s="11" t="s">
        <v>14</v>
      </c>
      <c r="B28" s="11" t="s">
        <v>33</v>
      </c>
      <c r="C28" s="11" t="s">
        <v>17</v>
      </c>
      <c r="D28" s="11" t="s">
        <v>34</v>
      </c>
    </row>
    <row r="29" spans="1:8" x14ac:dyDescent="0.3">
      <c r="A29" s="12" t="s">
        <v>267</v>
      </c>
      <c r="B29" s="14">
        <v>0.5</v>
      </c>
      <c r="C29" s="13" t="s">
        <v>239</v>
      </c>
      <c r="D29" s="16"/>
    </row>
    <row r="30" spans="1:8" x14ac:dyDescent="0.3">
      <c r="A30" s="17" t="s">
        <v>268</v>
      </c>
      <c r="B30" s="19">
        <v>0.6</v>
      </c>
      <c r="C30" s="18" t="s">
        <v>239</v>
      </c>
      <c r="D30" s="16"/>
    </row>
    <row r="31" spans="1:8" x14ac:dyDescent="0.3">
      <c r="A31" s="12" t="s">
        <v>270</v>
      </c>
      <c r="B31" s="14">
        <v>0.25</v>
      </c>
      <c r="C31" s="13" t="s">
        <v>239</v>
      </c>
      <c r="D31" s="16"/>
    </row>
    <row r="32" spans="1:8" x14ac:dyDescent="0.3">
      <c r="A32" s="17" t="s">
        <v>271</v>
      </c>
      <c r="B32" s="19">
        <v>4</v>
      </c>
      <c r="C32" s="18" t="s">
        <v>31</v>
      </c>
      <c r="D32" s="16"/>
    </row>
    <row r="33" spans="1:8" x14ac:dyDescent="0.3">
      <c r="A33" s="12" t="s">
        <v>274</v>
      </c>
      <c r="B33" s="14">
        <v>0.2</v>
      </c>
      <c r="C33" s="13" t="s">
        <v>239</v>
      </c>
      <c r="D33" s="16"/>
    </row>
    <row r="34" spans="1:8" x14ac:dyDescent="0.3">
      <c r="A34" s="17" t="s">
        <v>275</v>
      </c>
      <c r="B34" s="19">
        <v>0.1</v>
      </c>
      <c r="C34" s="18" t="s">
        <v>276</v>
      </c>
      <c r="D34" s="16"/>
    </row>
    <row r="35" spans="1:8" x14ac:dyDescent="0.3">
      <c r="A35" s="12" t="s">
        <v>277</v>
      </c>
      <c r="B35" s="14">
        <v>1.4999999999999999E-2</v>
      </c>
      <c r="C35" s="13" t="s">
        <v>239</v>
      </c>
      <c r="D35" s="16"/>
    </row>
    <row r="36" spans="1:8" x14ac:dyDescent="0.3">
      <c r="A36" s="17" t="s">
        <v>278</v>
      </c>
      <c r="B36" s="19">
        <v>5.0000000000000001E-3</v>
      </c>
      <c r="C36" s="18" t="s">
        <v>239</v>
      </c>
      <c r="D36" s="16"/>
    </row>
    <row r="37" spans="1:8" x14ac:dyDescent="0.3">
      <c r="A37" s="12" t="s">
        <v>280</v>
      </c>
      <c r="B37" s="14">
        <v>1</v>
      </c>
      <c r="C37" s="13" t="s">
        <v>31</v>
      </c>
      <c r="D37" s="16"/>
    </row>
    <row r="38" spans="1:8" x14ac:dyDescent="0.3">
      <c r="A38" s="21" t="s">
        <v>35</v>
      </c>
      <c r="B38" s="22"/>
      <c r="C38" s="22"/>
      <c r="D38" s="23"/>
    </row>
    <row r="40" spans="1:8" x14ac:dyDescent="0.3">
      <c r="A40" s="24" t="s">
        <v>305</v>
      </c>
    </row>
    <row r="41" spans="1:8" x14ac:dyDescent="0.3">
      <c r="A41" s="4" t="s">
        <v>36</v>
      </c>
    </row>
    <row r="42" spans="1:8" x14ac:dyDescent="0.3">
      <c r="A42" s="4" t="s">
        <v>37</v>
      </c>
    </row>
    <row r="43" spans="1:8" x14ac:dyDescent="0.3">
      <c r="A43" s="4" t="s">
        <v>38</v>
      </c>
    </row>
    <row r="45" spans="1:8" ht="19.5" customHeight="1" x14ac:dyDescent="0.3">
      <c r="A45" s="2" t="s">
        <v>39</v>
      </c>
    </row>
    <row r="46" spans="1:8" ht="30" customHeight="1" x14ac:dyDescent="0.3">
      <c r="A46" s="11" t="s">
        <v>40</v>
      </c>
      <c r="B46" s="11" t="s">
        <v>41</v>
      </c>
      <c r="C46" s="11" t="s">
        <v>42</v>
      </c>
      <c r="D46" s="11" t="s">
        <v>43</v>
      </c>
      <c r="E46" s="11" t="s">
        <v>44</v>
      </c>
      <c r="F46" s="11" t="s">
        <v>45</v>
      </c>
      <c r="G46" s="11" t="s">
        <v>46</v>
      </c>
      <c r="H46" s="25" t="s">
        <v>47</v>
      </c>
    </row>
    <row r="47" spans="1:8" x14ac:dyDescent="0.3">
      <c r="A47" s="12" t="s">
        <v>283</v>
      </c>
      <c r="B47" s="26">
        <v>1</v>
      </c>
      <c r="C47" s="27">
        <v>1200</v>
      </c>
      <c r="D47" s="28">
        <f t="shared" ref="D47:D53" si="0">B47*C47</f>
        <v>1200</v>
      </c>
      <c r="E47" s="26">
        <v>10</v>
      </c>
      <c r="F47" s="28">
        <f t="shared" ref="F47:F53" si="1">IFERROR(D47/E47,0)</f>
        <v>120</v>
      </c>
      <c r="G47" s="29">
        <f t="shared" ref="G47:G53" si="2">F47/12</f>
        <v>10</v>
      </c>
      <c r="H47" s="4" t="s">
        <v>284</v>
      </c>
    </row>
    <row r="48" spans="1:8" x14ac:dyDescent="0.3">
      <c r="A48" s="17" t="s">
        <v>285</v>
      </c>
      <c r="B48" s="30">
        <v>1</v>
      </c>
      <c r="C48" s="31">
        <v>600</v>
      </c>
      <c r="D48" s="32">
        <f t="shared" si="0"/>
        <v>600</v>
      </c>
      <c r="E48" s="30">
        <v>7</v>
      </c>
      <c r="F48" s="32">
        <f t="shared" si="1"/>
        <v>85.714285714285708</v>
      </c>
      <c r="G48" s="33">
        <f t="shared" si="2"/>
        <v>7.1428571428571423</v>
      </c>
      <c r="H48" s="4" t="s">
        <v>286</v>
      </c>
    </row>
    <row r="49" spans="1:8" x14ac:dyDescent="0.3">
      <c r="A49" s="12" t="s">
        <v>287</v>
      </c>
      <c r="B49" s="26">
        <v>1</v>
      </c>
      <c r="C49" s="27">
        <v>1500</v>
      </c>
      <c r="D49" s="28">
        <f t="shared" si="0"/>
        <v>1500</v>
      </c>
      <c r="E49" s="26">
        <v>10</v>
      </c>
      <c r="F49" s="28">
        <f t="shared" si="1"/>
        <v>150</v>
      </c>
      <c r="G49" s="29">
        <f t="shared" si="2"/>
        <v>12.5</v>
      </c>
      <c r="H49" s="4" t="s">
        <v>288</v>
      </c>
    </row>
    <row r="50" spans="1:8" x14ac:dyDescent="0.3">
      <c r="A50" s="17" t="s">
        <v>289</v>
      </c>
      <c r="B50" s="30">
        <v>1</v>
      </c>
      <c r="C50" s="31">
        <v>120</v>
      </c>
      <c r="D50" s="32">
        <f t="shared" si="0"/>
        <v>120</v>
      </c>
      <c r="E50" s="30">
        <v>5</v>
      </c>
      <c r="F50" s="32">
        <f t="shared" si="1"/>
        <v>24</v>
      </c>
      <c r="G50" s="33">
        <f t="shared" si="2"/>
        <v>2</v>
      </c>
      <c r="H50" s="4" t="s">
        <v>290</v>
      </c>
    </row>
    <row r="51" spans="1:8" x14ac:dyDescent="0.3">
      <c r="A51" s="12" t="s">
        <v>291</v>
      </c>
      <c r="B51" s="26">
        <v>1</v>
      </c>
      <c r="C51" s="27">
        <v>150</v>
      </c>
      <c r="D51" s="28">
        <f t="shared" si="0"/>
        <v>150</v>
      </c>
      <c r="E51" s="26">
        <v>5</v>
      </c>
      <c r="F51" s="28">
        <f t="shared" si="1"/>
        <v>30</v>
      </c>
      <c r="G51" s="29">
        <f t="shared" si="2"/>
        <v>2.5</v>
      </c>
      <c r="H51" s="4" t="s">
        <v>292</v>
      </c>
    </row>
    <row r="52" spans="1:8" x14ac:dyDescent="0.3">
      <c r="A52" s="17" t="s">
        <v>293</v>
      </c>
      <c r="B52" s="30">
        <v>1</v>
      </c>
      <c r="C52" s="31">
        <v>500</v>
      </c>
      <c r="D52" s="32">
        <f t="shared" si="0"/>
        <v>500</v>
      </c>
      <c r="E52" s="30">
        <v>10</v>
      </c>
      <c r="F52" s="32">
        <f t="shared" si="1"/>
        <v>50</v>
      </c>
      <c r="G52" s="33">
        <f t="shared" si="2"/>
        <v>4.166666666666667</v>
      </c>
      <c r="H52" s="4" t="s">
        <v>294</v>
      </c>
    </row>
    <row r="53" spans="1:8" x14ac:dyDescent="0.3">
      <c r="A53" s="12" t="s">
        <v>295</v>
      </c>
      <c r="B53" s="26">
        <v>1</v>
      </c>
      <c r="C53" s="27">
        <v>300</v>
      </c>
      <c r="D53" s="28">
        <f t="shared" si="0"/>
        <v>300</v>
      </c>
      <c r="E53" s="26">
        <v>3</v>
      </c>
      <c r="F53" s="28">
        <f t="shared" si="1"/>
        <v>100</v>
      </c>
      <c r="G53" s="29">
        <f t="shared" si="2"/>
        <v>8.3333333333333339</v>
      </c>
      <c r="H53" s="4" t="s">
        <v>296</v>
      </c>
    </row>
    <row r="54" spans="1:8" x14ac:dyDescent="0.3">
      <c r="A54" s="21" t="s">
        <v>54</v>
      </c>
      <c r="B54" s="22"/>
      <c r="C54" s="22"/>
      <c r="D54" s="34">
        <f>SUM(D47:D53)</f>
        <v>4370</v>
      </c>
      <c r="E54" s="22"/>
      <c r="F54" s="34">
        <f>SUM(F47:F53)</f>
        <v>559.71428571428578</v>
      </c>
      <c r="G54" s="35">
        <f>SUM(G47:G53)</f>
        <v>46.642857142857139</v>
      </c>
    </row>
    <row r="56" spans="1:8" ht="19.5" customHeight="1" x14ac:dyDescent="0.3">
      <c r="A56" s="2" t="s">
        <v>55</v>
      </c>
    </row>
    <row r="57" spans="1:8" ht="30" customHeight="1" x14ac:dyDescent="0.3">
      <c r="A57" s="11" t="s">
        <v>56</v>
      </c>
      <c r="B57" s="11" t="s">
        <v>41</v>
      </c>
      <c r="C57" s="11" t="s">
        <v>57</v>
      </c>
      <c r="D57" s="11" t="s">
        <v>58</v>
      </c>
      <c r="E57" s="11" t="s">
        <v>59</v>
      </c>
      <c r="F57" s="11" t="s">
        <v>60</v>
      </c>
      <c r="G57" s="11" t="s">
        <v>61</v>
      </c>
      <c r="H57" s="25" t="s">
        <v>62</v>
      </c>
    </row>
    <row r="58" spans="1:8" ht="22.8" x14ac:dyDescent="0.3">
      <c r="A58" s="12" t="s">
        <v>297</v>
      </c>
      <c r="B58" s="26">
        <v>1</v>
      </c>
      <c r="C58" s="27">
        <v>1300</v>
      </c>
      <c r="D58" s="10">
        <v>0.3</v>
      </c>
      <c r="E58" s="28">
        <f>C58*D58</f>
        <v>390</v>
      </c>
      <c r="F58" s="28">
        <f>(C58+E58)*B58</f>
        <v>1690</v>
      </c>
      <c r="G58" s="28">
        <f>F58*12</f>
        <v>20280</v>
      </c>
      <c r="H58" s="36" t="s">
        <v>298</v>
      </c>
    </row>
    <row r="59" spans="1:8" x14ac:dyDescent="0.3">
      <c r="A59" s="21" t="s">
        <v>65</v>
      </c>
      <c r="B59" s="22"/>
      <c r="C59" s="22"/>
      <c r="D59" s="22"/>
      <c r="E59" s="22"/>
      <c r="F59" s="34">
        <f>SUM(F58:F58)</f>
        <v>1690</v>
      </c>
      <c r="G59" s="34">
        <f>SUM(G58:G58)</f>
        <v>20280</v>
      </c>
    </row>
    <row r="60" spans="1:8" x14ac:dyDescent="0.3">
      <c r="A60" s="37" t="s">
        <v>66</v>
      </c>
    </row>
    <row r="62" spans="1:8" ht="19.5" customHeight="1" x14ac:dyDescent="0.3">
      <c r="A62" s="2" t="s">
        <v>67</v>
      </c>
    </row>
    <row r="63" spans="1:8" x14ac:dyDescent="0.3">
      <c r="A63" s="11" t="s">
        <v>68</v>
      </c>
      <c r="B63" s="11" t="s">
        <v>69</v>
      </c>
      <c r="C63" s="11" t="s">
        <v>70</v>
      </c>
      <c r="D63" s="25" t="s">
        <v>47</v>
      </c>
    </row>
    <row r="64" spans="1:8" x14ac:dyDescent="0.3">
      <c r="A64" s="12" t="s">
        <v>299</v>
      </c>
      <c r="B64" s="38" t="s">
        <v>192</v>
      </c>
      <c r="C64" s="15">
        <v>900</v>
      </c>
      <c r="D64" s="4" t="s">
        <v>53</v>
      </c>
    </row>
    <row r="65" spans="1:4" x14ac:dyDescent="0.3">
      <c r="A65" s="17" t="s">
        <v>300</v>
      </c>
      <c r="B65" s="39" t="s">
        <v>75</v>
      </c>
      <c r="C65" s="20">
        <v>150</v>
      </c>
      <c r="D65" s="4" t="s">
        <v>53</v>
      </c>
    </row>
    <row r="66" spans="1:4" x14ac:dyDescent="0.3">
      <c r="A66" s="12" t="s">
        <v>301</v>
      </c>
      <c r="B66" s="38" t="s">
        <v>75</v>
      </c>
      <c r="C66" s="15">
        <v>80</v>
      </c>
      <c r="D66" s="4" t="s">
        <v>53</v>
      </c>
    </row>
    <row r="67" spans="1:4" x14ac:dyDescent="0.3">
      <c r="A67" s="17" t="s">
        <v>221</v>
      </c>
      <c r="B67" s="39" t="s">
        <v>75</v>
      </c>
      <c r="C67" s="20">
        <v>30</v>
      </c>
      <c r="D67" s="4" t="s">
        <v>53</v>
      </c>
    </row>
    <row r="68" spans="1:4" x14ac:dyDescent="0.3">
      <c r="A68" s="12" t="s">
        <v>79</v>
      </c>
      <c r="B68" s="38" t="s">
        <v>75</v>
      </c>
      <c r="C68" s="15">
        <v>50</v>
      </c>
      <c r="D68" s="4" t="s">
        <v>53</v>
      </c>
    </row>
    <row r="69" spans="1:4" x14ac:dyDescent="0.3">
      <c r="A69" s="17" t="s">
        <v>84</v>
      </c>
      <c r="B69" s="39"/>
      <c r="C69" s="40">
        <f>G54</f>
        <v>46.642857142857139</v>
      </c>
      <c r="D69" s="4" t="s">
        <v>85</v>
      </c>
    </row>
    <row r="70" spans="1:4" x14ac:dyDescent="0.3">
      <c r="A70" s="21" t="s">
        <v>86</v>
      </c>
      <c r="B70" s="22"/>
      <c r="C70" s="35">
        <f>SUM(C64:C69)</f>
        <v>1256.6428571428571</v>
      </c>
    </row>
    <row r="72" spans="1:4" ht="19.5" customHeight="1" x14ac:dyDescent="0.3">
      <c r="A72" s="2" t="s">
        <v>87</v>
      </c>
    </row>
    <row r="73" spans="1:4" x14ac:dyDescent="0.3">
      <c r="A73" s="11" t="s">
        <v>68</v>
      </c>
      <c r="B73" s="11" t="s">
        <v>70</v>
      </c>
      <c r="C73" s="25" t="s">
        <v>47</v>
      </c>
    </row>
    <row r="74" spans="1:4" x14ac:dyDescent="0.3">
      <c r="A74" s="12" t="s">
        <v>88</v>
      </c>
      <c r="B74" s="41">
        <v>0</v>
      </c>
      <c r="C74" s="4" t="s">
        <v>89</v>
      </c>
    </row>
    <row r="75" spans="1:4" x14ac:dyDescent="0.3">
      <c r="A75" s="17" t="s">
        <v>260</v>
      </c>
      <c r="B75" s="41">
        <v>0</v>
      </c>
      <c r="C75" s="4" t="s">
        <v>89</v>
      </c>
    </row>
    <row r="76" spans="1:4" x14ac:dyDescent="0.3">
      <c r="A76" s="12" t="s">
        <v>92</v>
      </c>
      <c r="B76" s="41">
        <v>0</v>
      </c>
      <c r="C76" s="4" t="s">
        <v>89</v>
      </c>
    </row>
    <row r="77" spans="1:4" x14ac:dyDescent="0.3">
      <c r="A77" s="21" t="s">
        <v>93</v>
      </c>
      <c r="B77" s="35">
        <f>SUM(B74:B76)</f>
        <v>0</v>
      </c>
    </row>
    <row r="79" spans="1:4" ht="19.5" customHeight="1" x14ac:dyDescent="0.3">
      <c r="A79" s="2" t="s">
        <v>94</v>
      </c>
    </row>
    <row r="80" spans="1:4" x14ac:dyDescent="0.3">
      <c r="A80" s="11" t="s">
        <v>68</v>
      </c>
      <c r="B80" s="11" t="s">
        <v>70</v>
      </c>
      <c r="C80" s="25" t="s">
        <v>47</v>
      </c>
    </row>
    <row r="81" spans="1:3" x14ac:dyDescent="0.3">
      <c r="A81" s="12" t="s">
        <v>95</v>
      </c>
      <c r="B81" s="15">
        <v>100</v>
      </c>
      <c r="C81" s="4" t="s">
        <v>96</v>
      </c>
    </row>
    <row r="82" spans="1:3" x14ac:dyDescent="0.3">
      <c r="A82" s="17" t="s">
        <v>302</v>
      </c>
      <c r="B82" s="41">
        <v>0</v>
      </c>
      <c r="C82" s="4" t="s">
        <v>89</v>
      </c>
    </row>
    <row r="83" spans="1:3" x14ac:dyDescent="0.3">
      <c r="A83" s="12" t="s">
        <v>303</v>
      </c>
      <c r="B83" s="41">
        <v>0</v>
      </c>
      <c r="C83" s="4" t="s">
        <v>89</v>
      </c>
    </row>
    <row r="84" spans="1:3" x14ac:dyDescent="0.3">
      <c r="A84" s="17" t="s">
        <v>304</v>
      </c>
      <c r="B84" s="41">
        <v>0</v>
      </c>
      <c r="C84" s="4" t="s">
        <v>89</v>
      </c>
    </row>
    <row r="85" spans="1:3" x14ac:dyDescent="0.3">
      <c r="A85" s="21" t="s">
        <v>98</v>
      </c>
      <c r="B85" s="35">
        <f>SUM(B81:B84)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Revelado de Fotos</vt:lpstr>
      <vt:lpstr>2. Pijamas</vt:lpstr>
      <vt:lpstr>3. Curso de Guión</vt:lpstr>
      <vt:lpstr>4. Restobar Cervecero</vt:lpstr>
      <vt:lpstr>5. Chocolate Blanco</vt:lpstr>
      <vt:lpstr>6. Queque de Manzana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2026-09-17T10:54:32Z</dcterms:created>
  <dcterms:modified xsi:type="dcterms:W3CDTF">2026-09-17T11:14:50Z</dcterms:modified>
  <dc:language>en-US</dc:language>
</cp:coreProperties>
</file>