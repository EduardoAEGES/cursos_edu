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URSOS 2026 II\ANÁLISIS DE COSTOS Y PRESUPUESTOS\"/>
    </mc:Choice>
  </mc:AlternateContent>
  <xr:revisionPtr revIDLastSave="0" documentId="13_ncr:1_{B52E09B4-7C8F-4E53-BD57-F917BE95D00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dicaciones" sheetId="1" r:id="rId1"/>
    <sheet name="Activida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2" l="1"/>
  <c r="C94" i="2"/>
  <c r="C95" i="2" s="1"/>
  <c r="E67" i="2"/>
  <c r="D72" i="2" s="1"/>
  <c r="E66" i="2"/>
  <c r="E54" i="2"/>
  <c r="E53" i="2"/>
  <c r="E52" i="2"/>
  <c r="E51" i="2"/>
  <c r="E50" i="2"/>
  <c r="E49" i="2"/>
  <c r="E48" i="2"/>
  <c r="C47" i="2"/>
  <c r="E47" i="2" s="1"/>
  <c r="C57" i="2" s="1"/>
  <c r="C36" i="2"/>
  <c r="C31" i="2"/>
  <c r="C14" i="2"/>
  <c r="C12" i="2"/>
  <c r="D74" i="2" l="1"/>
  <c r="D73" i="2"/>
  <c r="C59" i="2"/>
  <c r="C58" i="2"/>
  <c r="C96" i="2"/>
  <c r="C99" i="2" s="1"/>
  <c r="C13" i="2"/>
  <c r="C32" i="2"/>
  <c r="C33" i="2" s="1"/>
  <c r="C72" i="2"/>
  <c r="D75" i="2" l="1"/>
  <c r="D76" i="2" s="1"/>
  <c r="C34" i="2"/>
  <c r="C35" i="2" s="1"/>
  <c r="C37" i="2" s="1"/>
  <c r="C38" i="2" s="1"/>
  <c r="C74" i="2"/>
  <c r="E74" i="2" s="1"/>
  <c r="C73" i="2"/>
  <c r="E72" i="2"/>
  <c r="C97" i="2"/>
  <c r="C98" i="2" s="1"/>
  <c r="C106" i="2" s="1"/>
  <c r="C112" i="2" s="1"/>
  <c r="C113" i="2" l="1"/>
  <c r="C114" i="2" s="1"/>
  <c r="E73" i="2"/>
  <c r="C75" i="2"/>
  <c r="C115" i="2" l="1"/>
  <c r="C116" i="2" s="1"/>
  <c r="C76" i="2"/>
  <c r="E75" i="2"/>
</calcChain>
</file>

<file path=xl/sharedStrings.xml><?xml version="1.0" encoding="utf-8"?>
<sst xmlns="http://schemas.openxmlformats.org/spreadsheetml/2006/main" count="197" uniqueCount="151">
  <si>
    <t>SOLUCIONARIO PARA EL DOCENTE</t>
  </si>
  <si>
    <t>Análisis de Costos y Presupuestos — Sesión 4</t>
  </si>
  <si>
    <t>Actividad práctica: cálculo del costo de adquisición</t>
  </si>
  <si>
    <t>IES Thomas Jefferson — Marketing — III ciclo — 2026-II</t>
  </si>
  <si>
    <t>Qué se evalúa</t>
  </si>
  <si>
    <t>Determinar el costo de adquisición de existencias según la NIC 2, parrafos 11 y 15, distinguiendo</t>
  </si>
  <si>
    <t>las partidas que integran el costo de aquellas que constituyen gasto del periodo.</t>
  </si>
  <si>
    <t>Regla de cálculo</t>
  </si>
  <si>
    <t>Costo de adquisición = Precio de compra - descuentos comerciales - rebajas + aranceles de importación</t>
  </si>
  <si>
    <t>+ otros impuestos no recuperables + transportes + seguros + almacenamiento + otros costos directamente</t>
  </si>
  <si>
    <t>atribuibles a la adquisición.</t>
  </si>
  <si>
    <t>El IGV no forma parte del costo porque es recuperable como crédito fiscal.</t>
  </si>
  <si>
    <t>Los intereses de financiamiento, los gastos administrativos, los gastos de venta y las mermas anormales</t>
  </si>
  <si>
    <t>son gasto del periodo y no integran el costo de la mercadería.</t>
  </si>
  <si>
    <t>Indicaciones para el estudiante</t>
  </si>
  <si>
    <t>1. Trabaja en la hoja Actividad. Resuelve los siete ejercicios en el orden propuesto.</t>
  </si>
  <si>
    <t>2. Escribe solo en las celdas de fondo amarillo. No modifiques los datos del enunciado.</t>
  </si>
  <si>
    <t>3. Usa fórmulas de Excel en cada respuesta; no escribas el resultado calculado a mano.</t>
  </si>
  <si>
    <t>4. Expresa todos los importes en soles con dos decimales.</t>
  </si>
  <si>
    <t>5. En el ejercicio 7 responde SI o NO y justifica en una línea.</t>
  </si>
  <si>
    <t>6. El trabajo es individual y se entrega al final de la sesión.</t>
  </si>
  <si>
    <t>Leyenda de colores</t>
  </si>
  <si>
    <t>Fondo gris: título de ejercicio o encabezado de tabla.</t>
  </si>
  <si>
    <t>Fondo blanco: datos del enunciado, no se modifican.</t>
  </si>
  <si>
    <t>Fondo amarillo: celda de respuesta que debes completar.</t>
  </si>
  <si>
    <t>Ejemplo de formato esperado en una respuesta</t>
  </si>
  <si>
    <t>Si el valor de compra está en B20 y el flete en B21, la respuesta se escribe como  =B20+B21  y se muestra</t>
  </si>
  <si>
    <t>como 100,000.00</t>
  </si>
  <si>
    <t>EJERCICIO 1. Compra local de mercadería</t>
  </si>
  <si>
    <t>La empresa Los Comerciantes SAC adquiere 100 computadoras a un valor de compra de S/ 90,000.00 más IGV. Además contrata un servicio de transporte que traslada la mercadería desde el local del vendedor hasta su almacén por S/ 10,000.00 más IGV. Determina el costo de adquisición, el costo unitario y el desembolso total.</t>
  </si>
  <si>
    <t>Datos del enunciado</t>
  </si>
  <si>
    <t>Importe</t>
  </si>
  <si>
    <t>Observación</t>
  </si>
  <si>
    <t>Unidades adquiridas</t>
  </si>
  <si>
    <t>Valor de compra según factura</t>
  </si>
  <si>
    <t>Servicio de transporte hasta el almacén</t>
  </si>
  <si>
    <t>Tasa de IGV</t>
  </si>
  <si>
    <t>recuperable, no es costo</t>
  </si>
  <si>
    <t>Desarrollo</t>
  </si>
  <si>
    <t>Costo de adquisición de la mercadería</t>
  </si>
  <si>
    <t>Costo unitario por computadora</t>
  </si>
  <si>
    <t>Desembolso total de la operación</t>
  </si>
  <si>
    <t>EJERCICIO 2. Descuentos comerciales y rebajas</t>
  </si>
  <si>
    <t>Distribuidora Andina EIRL compra 500 cajas de conservas a un precio de lista de S/ 40.00 por caja. El proveedor concede un descuento comercial del 8 por ciento sobre el precio de lista y, por el volumen adquirido, una rebaja adicional del 2 por ciento sobre el valor ya descontado. La empresa paga un flete de S/ 1,200.00, estiba y desestiba por S/ 350.00 y un seguro de transporte de S/ 250.00. Determina el costo de adquisición y el costo unitario por caja.</t>
  </si>
  <si>
    <t>Cajas adquiridas</t>
  </si>
  <si>
    <t>Precio de lista por caja</t>
  </si>
  <si>
    <t>Descuento comercial</t>
  </si>
  <si>
    <t>Rebaja por volumen</t>
  </si>
  <si>
    <t>Flete</t>
  </si>
  <si>
    <t>Estiba y desestiba</t>
  </si>
  <si>
    <t>Seguro de transporte</t>
  </si>
  <si>
    <t>Valor bruto de la compra</t>
  </si>
  <si>
    <t>Descuento comercial obtenido</t>
  </si>
  <si>
    <t>Valor neto después del descuento</t>
  </si>
  <si>
    <t>Rebaja por volumen obtenida</t>
  </si>
  <si>
    <t>Precio de compra neto</t>
  </si>
  <si>
    <t>Costos adicionales atribuibles</t>
  </si>
  <si>
    <t>Costo de adquisición</t>
  </si>
  <si>
    <t>Costo unitario por caja</t>
  </si>
  <si>
    <t>EJERCICIO 3. Partidas que integran el costo y partidas que son gasto</t>
  </si>
  <si>
    <t>Comercial El Misti SAC compra 300 llantas a S/ 260.00 cada una más IGV. Durante el mes registra además los desembolsos que figuran en la tabla. Clasifica cada partida, calcula el costo de adquisición y el costo unitario. Escribe 1 en la columna Integra el costo cuando la partida forme parte del costo y 0 cuando sea gasto del periodo.</t>
  </si>
  <si>
    <t>Integra el costo</t>
  </si>
  <si>
    <t>Costo computable</t>
  </si>
  <si>
    <t>Motivo</t>
  </si>
  <si>
    <t>Llantas adquiridas</t>
  </si>
  <si>
    <t>Precio de compra por llanta</t>
  </si>
  <si>
    <t>Precio de compra según NIC 2 párrafo 11</t>
  </si>
  <si>
    <t>Flete del proveedor al almacén</t>
  </si>
  <si>
    <t>Transporte necesario para ubicar la mercadería</t>
  </si>
  <si>
    <t>Seguro de la carga en tránsito</t>
  </si>
  <si>
    <t>Costo directamente atribuible</t>
  </si>
  <si>
    <t>Servicio de descarga y estiba</t>
  </si>
  <si>
    <t>Intereses por financiar la compra a 60 días</t>
  </si>
  <si>
    <t>Costo financiero, es gasto del periodo</t>
  </si>
  <si>
    <t>Sueldo del personal administrativo del mes</t>
  </si>
  <si>
    <t>Gasto administrativo</t>
  </si>
  <si>
    <t>Publicidad del producto</t>
  </si>
  <si>
    <t>Gasto de ventas</t>
  </si>
  <si>
    <t>Merma anormal por mal manipuleo</t>
  </si>
  <si>
    <t>No es un costo normal de adquisición</t>
  </si>
  <si>
    <t>Costo unitario por llanta</t>
  </si>
  <si>
    <t>Total registrado como gasto del periodo</t>
  </si>
  <si>
    <t>EJERCICIO 4. Prorrateo de costos comunes entre dos productos</t>
  </si>
  <si>
    <t>Importadora del Sur SAC recibe en una misma factura dos productos. El flete y el seguro son comunes a toda la compra y deben distribuirse en función del valor de compra de cada producto. Determina el costo de adquisición y el costo unitario de cada uno.</t>
  </si>
  <si>
    <t>Producto A</t>
  </si>
  <si>
    <t>Producto B</t>
  </si>
  <si>
    <t>Total</t>
  </si>
  <si>
    <t>Flete común de toda la compra</t>
  </si>
  <si>
    <t>Seguro común de toda la compra</t>
  </si>
  <si>
    <t>Participación sobre el valor de compra</t>
  </si>
  <si>
    <t>Flete asignado</t>
  </si>
  <si>
    <t>Seguro asignado</t>
  </si>
  <si>
    <t>Costo unitario</t>
  </si>
  <si>
    <t>EJERCICIO 5. Mercadería importada</t>
  </si>
  <si>
    <t>Textiles Arequipa SAC importa 1,000 chompas. Determina el valor CIF, el arancel y el costo de adquisición en soles. Considera que el IGV de importación es recuperable y por lo tanto no integra el costo.</t>
  </si>
  <si>
    <t>Unidades importadas</t>
  </si>
  <si>
    <t>Valor FOB en dólares</t>
  </si>
  <si>
    <t>Flete internacional en dólares</t>
  </si>
  <si>
    <t>Seguro internacional en dólares</t>
  </si>
  <si>
    <t>Tipo de cambio</t>
  </si>
  <si>
    <t>Tasa de arancel ad valorem</t>
  </si>
  <si>
    <t>Gastos de agencia de aduana en soles</t>
  </si>
  <si>
    <t>Transporte del puerto al almacén en soles</t>
  </si>
  <si>
    <t>Tasa de IGV de importación</t>
  </si>
  <si>
    <t>Valor CIF en dólares</t>
  </si>
  <si>
    <t>Valor CIF en soles</t>
  </si>
  <si>
    <t>Arancel ad valorem en soles</t>
  </si>
  <si>
    <t>Costo unitario por chompa</t>
  </si>
  <si>
    <t>IGV de importación, solo referencial</t>
  </si>
  <si>
    <t>EJERCICIO 6. Del costo de adquisición al precio de venta</t>
  </si>
  <si>
    <t>Con el costo unitario obtenido en el ejercicio 5, Textiles Arequipa SAC desea aplicar un margen del 35 por ciento sobre el costo y considera un gasto de venta de S/ 4.50 por unidad. Determina el precio de venta sin IGV, el IGV y el precio al público.</t>
  </si>
  <si>
    <t>Costo unitario del ejercicio 5</t>
  </si>
  <si>
    <t>viene del ejercicio anterior</t>
  </si>
  <si>
    <t>Gasto de venta por unidad</t>
  </si>
  <si>
    <t>Margen sobre el costo</t>
  </si>
  <si>
    <t>Costo unitario más gasto de venta</t>
  </si>
  <si>
    <t>Utilidad esperada por unidad</t>
  </si>
  <si>
    <t>Precio de venta sin IGV</t>
  </si>
  <si>
    <t>IGV del precio de venta</t>
  </si>
  <si>
    <t>Precio al público</t>
  </si>
  <si>
    <t>EJERCICIO 7. Clasificación de partidas</t>
  </si>
  <si>
    <t>Indica con SI o NO si cada partida integra el costo de adquisición de las existencias y justifica tu respuesta en una línea.</t>
  </si>
  <si>
    <t>Partida</t>
  </si>
  <si>
    <t>SI o NO</t>
  </si>
  <si>
    <t>Justificación</t>
  </si>
  <si>
    <t>1. Precio de compra según factura del proveedor</t>
  </si>
  <si>
    <t>SI</t>
  </si>
  <si>
    <t>Es el componente principal del costo de adquisición</t>
  </si>
  <si>
    <t>2. IGV de la compra</t>
  </si>
  <si>
    <t>NO</t>
  </si>
  <si>
    <t>Es recuperable como crédito fiscal</t>
  </si>
  <si>
    <t>3. Flete del local del proveedor al almacén</t>
  </si>
  <si>
    <t>4. Descuento comercial obtenido del proveedor</t>
  </si>
  <si>
    <t>Se deduce del precio de compra</t>
  </si>
  <si>
    <t>5. Arancel ad valorem de una importación</t>
  </si>
  <si>
    <t>Impuesto no recuperable de la importación</t>
  </si>
  <si>
    <t>6. Seguro de la mercadería en tránsito</t>
  </si>
  <si>
    <t>Costo directamente atribuible a la adquisición</t>
  </si>
  <si>
    <t>7. Intereses por el financiamiento del proveedor</t>
  </si>
  <si>
    <t>Es un costo financiero del periodo</t>
  </si>
  <si>
    <t>8. Sueldo del contador de la empresa</t>
  </si>
  <si>
    <t>Es un gasto administrativo</t>
  </si>
  <si>
    <t>9. Comisión de la agencia de aduana</t>
  </si>
  <si>
    <t>Costo necesario para nacionalizar la mercadería</t>
  </si>
  <si>
    <t>10. Publicidad del producto en redes sociales</t>
  </si>
  <si>
    <t>Es un gasto de ventas</t>
  </si>
  <si>
    <t>11. Estiba y desestiba en el almacén de destino</t>
  </si>
  <si>
    <t>12. Merma anormal ocurrida por mal manipuleo</t>
  </si>
  <si>
    <t>No corresponde a un costo normal de adquisición</t>
  </si>
  <si>
    <t>Referencia: NIC 2 Inventarios, párrafos 11 y 15. Los datos de todos los ejercicios son supuestos elaborados para fines académicos.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</si>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</sst>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4" x14ac:knownFonts="1">
    <font>
      <sz val="11"/>
      <color theme="1"/>
      <name val="Calibri"/>
      <family val="2"/>
      <charset val="1"/>
    </font>
    <font>
      <sz val="11"/>
      <color rgb="FF000000"/>
      <name val="Arial"/>
      <family val="2"/>
    </font>
    <font>
      <sz val="13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right"/>
    </xf>
    <xf numFmtId="165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6"/>
  <sheetViews>
    <sheetView showGridLines="0" zoomScaleNormal="100" workbookViewId="0"/>
  </sheetViews>
  <sheetFormatPr baseColWidth="10" defaultColWidth="8.6640625" defaultRowHeight="14.4" x14ac:dyDescent="0.3"/>
  <cols>
    <col min="1" max="1" width="4" customWidth="1"/>
    <col min="2" max="2" width="108" customWidth="1"/>
  </cols>
  <sheetData>
    <row r="2" spans="2:2" x14ac:dyDescent="0.3">
      <c r="B2" s="4" t="s">
        <v>0</v>
      </c>
    </row>
    <row r="3" spans="2:2" x14ac:dyDescent="0.3">
      <c r="B3" s="5"/>
    </row>
    <row r="4" spans="2:2" ht="16.8" x14ac:dyDescent="0.3">
      <c r="B4" s="6" t="s">
        <v>1</v>
      </c>
    </row>
    <row r="5" spans="2:2" ht="16.8" x14ac:dyDescent="0.3">
      <c r="B5" s="6" t="s">
        <v>2</v>
      </c>
    </row>
    <row r="6" spans="2:2" x14ac:dyDescent="0.3">
      <c r="B6" s="5" t="s">
        <v>3</v>
      </c>
    </row>
    <row r="7" spans="2:2" x14ac:dyDescent="0.3">
      <c r="B7" s="5"/>
    </row>
    <row r="8" spans="2:2" x14ac:dyDescent="0.3">
      <c r="B8" s="4" t="s">
        <v>4</v>
      </c>
    </row>
    <row r="9" spans="2:2" x14ac:dyDescent="0.3">
      <c r="B9" s="5" t="s">
        <v>5</v>
      </c>
    </row>
    <row r="10" spans="2:2" x14ac:dyDescent="0.3">
      <c r="B10" s="5" t="s">
        <v>6</v>
      </c>
    </row>
    <row r="11" spans="2:2" x14ac:dyDescent="0.3">
      <c r="B11" s="5"/>
    </row>
    <row r="12" spans="2:2" x14ac:dyDescent="0.3">
      <c r="B12" s="4" t="s">
        <v>7</v>
      </c>
    </row>
    <row r="13" spans="2:2" x14ac:dyDescent="0.3">
      <c r="B13" s="5" t="s">
        <v>8</v>
      </c>
    </row>
    <row r="14" spans="2:2" x14ac:dyDescent="0.3">
      <c r="B14" s="5" t="s">
        <v>9</v>
      </c>
    </row>
    <row r="15" spans="2:2" x14ac:dyDescent="0.3">
      <c r="B15" s="5" t="s">
        <v>10</v>
      </c>
    </row>
    <row r="16" spans="2:2" x14ac:dyDescent="0.3">
      <c r="B16" s="5"/>
    </row>
    <row r="17" spans="2:2" x14ac:dyDescent="0.3">
      <c r="B17" s="5" t="s">
        <v>11</v>
      </c>
    </row>
    <row r="18" spans="2:2" x14ac:dyDescent="0.3">
      <c r="B18" s="5" t="s">
        <v>12</v>
      </c>
    </row>
    <row r="19" spans="2:2" x14ac:dyDescent="0.3">
      <c r="B19" s="5" t="s">
        <v>13</v>
      </c>
    </row>
    <row r="20" spans="2:2" x14ac:dyDescent="0.3">
      <c r="B20" s="5"/>
    </row>
    <row r="21" spans="2:2" x14ac:dyDescent="0.3">
      <c r="B21" s="4" t="s">
        <v>14</v>
      </c>
    </row>
    <row r="22" spans="2:2" x14ac:dyDescent="0.3">
      <c r="B22" s="5" t="s">
        <v>15</v>
      </c>
    </row>
    <row r="23" spans="2:2" x14ac:dyDescent="0.3">
      <c r="B23" s="5" t="s">
        <v>16</v>
      </c>
    </row>
    <row r="24" spans="2:2" x14ac:dyDescent="0.3">
      <c r="B24" s="5" t="s">
        <v>17</v>
      </c>
    </row>
    <row r="25" spans="2:2" x14ac:dyDescent="0.3">
      <c r="B25" s="5" t="s">
        <v>18</v>
      </c>
    </row>
    <row r="26" spans="2:2" x14ac:dyDescent="0.3">
      <c r="B26" s="5" t="s">
        <v>19</v>
      </c>
    </row>
    <row r="27" spans="2:2" x14ac:dyDescent="0.3">
      <c r="B27" s="5" t="s">
        <v>20</v>
      </c>
    </row>
    <row r="28" spans="2:2" x14ac:dyDescent="0.3">
      <c r="B28" s="5"/>
    </row>
    <row r="29" spans="2:2" x14ac:dyDescent="0.3">
      <c r="B29" s="4" t="s">
        <v>21</v>
      </c>
    </row>
    <row r="30" spans="2:2" x14ac:dyDescent="0.3">
      <c r="B30" s="5" t="s">
        <v>22</v>
      </c>
    </row>
    <row r="31" spans="2:2" x14ac:dyDescent="0.3">
      <c r="B31" s="5" t="s">
        <v>23</v>
      </c>
    </row>
    <row r="32" spans="2:2" x14ac:dyDescent="0.3">
      <c r="B32" s="5" t="s">
        <v>24</v>
      </c>
    </row>
    <row r="33" spans="2:2" x14ac:dyDescent="0.3">
      <c r="B33" s="5"/>
    </row>
    <row r="34" spans="2:2" x14ac:dyDescent="0.3">
      <c r="B34" s="4" t="s">
        <v>25</v>
      </c>
    </row>
    <row r="35" spans="2:2" x14ac:dyDescent="0.3">
      <c r="B35" s="5" t="s">
        <v>26</v>
      </c>
    </row>
    <row r="36" spans="2:2" x14ac:dyDescent="0.3">
      <c r="B36" s="5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137"/>
  <sheetViews>
    <sheetView showGridLines="0" tabSelected="1" zoomScaleNormal="100" workbookViewId="0">
      <pane ySplit="1" topLeftCell="A62" activePane="bottomLeft" state="frozen"/>
      <selection pane="bottomLeft" activeCell="F69" sqref="F69"/>
    </sheetView>
  </sheetViews>
  <sheetFormatPr baseColWidth="10" defaultColWidth="8.6640625" defaultRowHeight="14.4" x14ac:dyDescent="0.3"/>
  <cols>
    <col min="1" max="1" width="4" customWidth="1"/>
    <col min="2" max="2" width="58" customWidth="1"/>
    <col min="3" max="5" width="16" customWidth="1"/>
    <col min="6" max="6" width="46" customWidth="1"/>
  </cols>
  <sheetData>
    <row r="2" spans="2:6" ht="19.5" customHeight="1" x14ac:dyDescent="0.3">
      <c r="B2" s="3" t="s">
        <v>28</v>
      </c>
      <c r="C2" s="3"/>
      <c r="D2" s="3"/>
      <c r="E2" s="3"/>
      <c r="F2" s="3"/>
    </row>
    <row r="3" spans="2:6" ht="48.75" customHeight="1" x14ac:dyDescent="0.3">
      <c r="B3" s="2" t="s">
        <v>29</v>
      </c>
      <c r="C3" s="2"/>
      <c r="D3" s="2"/>
      <c r="E3" s="2"/>
      <c r="F3" s="2"/>
    </row>
    <row r="5" spans="2:6" x14ac:dyDescent="0.3">
      <c r="B5" s="7" t="s">
        <v>30</v>
      </c>
      <c r="C5" s="8" t="s">
        <v>31</v>
      </c>
      <c r="D5" s="8" t="s">
        <v>32</v>
      </c>
    </row>
    <row r="6" spans="2:6" x14ac:dyDescent="0.3">
      <c r="B6" s="9" t="s">
        <v>33</v>
      </c>
      <c r="C6" s="10">
        <v>160</v>
      </c>
    </row>
    <row r="7" spans="2:6" x14ac:dyDescent="0.3">
      <c r="B7" s="9" t="s">
        <v>34</v>
      </c>
      <c r="C7" s="11">
        <v>90000</v>
      </c>
    </row>
    <row r="8" spans="2:6" x14ac:dyDescent="0.3">
      <c r="B8" s="9" t="s">
        <v>35</v>
      </c>
      <c r="C8" s="11">
        <v>10000</v>
      </c>
    </row>
    <row r="9" spans="2:6" x14ac:dyDescent="0.3">
      <c r="B9" s="9" t="s">
        <v>36</v>
      </c>
      <c r="C9" s="12">
        <v>0.18</v>
      </c>
      <c r="D9" s="13" t="s">
        <v>37</v>
      </c>
    </row>
    <row r="11" spans="2:6" x14ac:dyDescent="0.3">
      <c r="B11" s="7" t="s">
        <v>38</v>
      </c>
      <c r="C11" s="8" t="s">
        <v>31</v>
      </c>
    </row>
    <row r="12" spans="2:6" x14ac:dyDescent="0.3">
      <c r="B12" s="9" t="s">
        <v>39</v>
      </c>
      <c r="C12" s="14">
        <f>C7+C8</f>
        <v>100000</v>
      </c>
    </row>
    <row r="13" spans="2:6" x14ac:dyDescent="0.3">
      <c r="B13" s="9" t="s">
        <v>40</v>
      </c>
      <c r="C13" s="14">
        <f>C12/C6</f>
        <v>625</v>
      </c>
    </row>
    <row r="14" spans="2:6" x14ac:dyDescent="0.3">
      <c r="B14" s="9" t="s">
        <v>150</v>
      </c>
      <c r="C14" s="14">
        <f>C7*C9</f>
        <v>16200</v>
      </c>
    </row>
    <row r="15" spans="2:6" x14ac:dyDescent="0.3">
      <c r="B15" s="9" t="s">
        <v>41</v>
      </c>
      <c r="C15" s="14">
        <f>+C14+C12</f>
        <v>116200</v>
      </c>
    </row>
    <row r="18" spans="2:6" ht="19.5" customHeight="1" x14ac:dyDescent="0.3">
      <c r="B18" s="3" t="s">
        <v>42</v>
      </c>
      <c r="C18" s="3"/>
      <c r="D18" s="3"/>
      <c r="E18" s="3"/>
      <c r="F18" s="3"/>
    </row>
    <row r="19" spans="2:6" ht="63.75" customHeight="1" x14ac:dyDescent="0.3">
      <c r="B19" s="2" t="s">
        <v>43</v>
      </c>
      <c r="C19" s="2"/>
      <c r="D19" s="2"/>
      <c r="E19" s="2"/>
      <c r="F19" s="2"/>
    </row>
    <row r="21" spans="2:6" x14ac:dyDescent="0.3">
      <c r="B21" s="7" t="s">
        <v>30</v>
      </c>
      <c r="C21" s="8" t="s">
        <v>31</v>
      </c>
      <c r="D21" s="8" t="s">
        <v>32</v>
      </c>
    </row>
    <row r="22" spans="2:6" x14ac:dyDescent="0.3">
      <c r="B22" s="9" t="s">
        <v>44</v>
      </c>
      <c r="C22" s="10">
        <v>500</v>
      </c>
    </row>
    <row r="23" spans="2:6" x14ac:dyDescent="0.3">
      <c r="B23" s="9" t="s">
        <v>45</v>
      </c>
      <c r="C23" s="11">
        <v>40</v>
      </c>
    </row>
    <row r="24" spans="2:6" x14ac:dyDescent="0.3">
      <c r="B24" s="9" t="s">
        <v>46</v>
      </c>
      <c r="C24" s="12">
        <v>0.08</v>
      </c>
    </row>
    <row r="25" spans="2:6" x14ac:dyDescent="0.3">
      <c r="B25" s="9" t="s">
        <v>47</v>
      </c>
      <c r="C25" s="12">
        <v>0.02</v>
      </c>
    </row>
    <row r="26" spans="2:6" x14ac:dyDescent="0.3">
      <c r="B26" s="9" t="s">
        <v>48</v>
      </c>
      <c r="C26" s="11">
        <v>1200</v>
      </c>
    </row>
    <row r="27" spans="2:6" x14ac:dyDescent="0.3">
      <c r="B27" s="9" t="s">
        <v>49</v>
      </c>
      <c r="C27" s="11">
        <v>350</v>
      </c>
    </row>
    <row r="28" spans="2:6" x14ac:dyDescent="0.3">
      <c r="B28" s="9" t="s">
        <v>50</v>
      </c>
      <c r="C28" s="11">
        <v>250</v>
      </c>
    </row>
    <row r="30" spans="2:6" x14ac:dyDescent="0.3">
      <c r="B30" s="7" t="s">
        <v>38</v>
      </c>
      <c r="C30" s="8" t="s">
        <v>31</v>
      </c>
    </row>
    <row r="31" spans="2:6" x14ac:dyDescent="0.3">
      <c r="B31" s="9" t="s">
        <v>51</v>
      </c>
      <c r="C31" s="14">
        <f>C22*C23</f>
        <v>20000</v>
      </c>
    </row>
    <row r="32" spans="2:6" x14ac:dyDescent="0.3">
      <c r="B32" s="9" t="s">
        <v>52</v>
      </c>
      <c r="C32" s="14">
        <f>C31*C24</f>
        <v>1600</v>
      </c>
    </row>
    <row r="33" spans="2:6" x14ac:dyDescent="0.3">
      <c r="B33" s="9" t="s">
        <v>53</v>
      </c>
      <c r="C33" s="14">
        <f>C31-C32</f>
        <v>18400</v>
      </c>
    </row>
    <row r="34" spans="2:6" x14ac:dyDescent="0.3">
      <c r="B34" s="9" t="s">
        <v>54</v>
      </c>
      <c r="C34" s="14">
        <f>C33*C25</f>
        <v>368</v>
      </c>
    </row>
    <row r="35" spans="2:6" x14ac:dyDescent="0.3">
      <c r="B35" s="9" t="s">
        <v>55</v>
      </c>
      <c r="C35" s="14">
        <f>C33-C34</f>
        <v>18032</v>
      </c>
    </row>
    <row r="36" spans="2:6" x14ac:dyDescent="0.3">
      <c r="B36" s="9" t="s">
        <v>56</v>
      </c>
      <c r="C36" s="14">
        <f>C26+C27+C28</f>
        <v>1800</v>
      </c>
    </row>
    <row r="37" spans="2:6" x14ac:dyDescent="0.3">
      <c r="B37" s="9" t="s">
        <v>57</v>
      </c>
      <c r="C37" s="14">
        <f>C35+C36</f>
        <v>19832</v>
      </c>
    </row>
    <row r="38" spans="2:6" x14ac:dyDescent="0.3">
      <c r="B38" s="9" t="s">
        <v>58</v>
      </c>
      <c r="C38" s="14">
        <f>C37/C22</f>
        <v>39.664000000000001</v>
      </c>
    </row>
    <row r="41" spans="2:6" ht="19.5" customHeight="1" x14ac:dyDescent="0.3">
      <c r="B41" s="3" t="s">
        <v>59</v>
      </c>
      <c r="C41" s="3"/>
      <c r="D41" s="3"/>
      <c r="E41" s="3"/>
      <c r="F41" s="3"/>
    </row>
    <row r="42" spans="2:6" ht="48.75" customHeight="1" x14ac:dyDescent="0.3">
      <c r="B42" s="2" t="s">
        <v>60</v>
      </c>
      <c r="C42" s="2"/>
      <c r="D42" s="2"/>
      <c r="E42" s="2"/>
      <c r="F42" s="2"/>
    </row>
    <row r="44" spans="2:6" ht="27.6" x14ac:dyDescent="0.3">
      <c r="B44" s="7" t="s">
        <v>30</v>
      </c>
      <c r="C44" s="8" t="s">
        <v>31</v>
      </c>
      <c r="D44" s="8" t="s">
        <v>61</v>
      </c>
      <c r="E44" s="8" t="s">
        <v>62</v>
      </c>
      <c r="F44" s="8" t="s">
        <v>63</v>
      </c>
    </row>
    <row r="45" spans="2:6" x14ac:dyDescent="0.3">
      <c r="B45" s="9" t="s">
        <v>64</v>
      </c>
      <c r="C45" s="10">
        <v>300</v>
      </c>
    </row>
    <row r="46" spans="2:6" x14ac:dyDescent="0.3">
      <c r="B46" s="9" t="s">
        <v>65</v>
      </c>
      <c r="C46" s="11">
        <v>260</v>
      </c>
    </row>
    <row r="47" spans="2:6" x14ac:dyDescent="0.3">
      <c r="B47" s="9" t="s">
        <v>34</v>
      </c>
      <c r="C47" s="11">
        <f>C45*C46</f>
        <v>78000</v>
      </c>
      <c r="D47" s="15">
        <v>1</v>
      </c>
      <c r="E47" s="14">
        <f t="shared" ref="E47:E54" si="0">C47*D47</f>
        <v>78000</v>
      </c>
      <c r="F47" s="16" t="s">
        <v>66</v>
      </c>
    </row>
    <row r="48" spans="2:6" x14ac:dyDescent="0.3">
      <c r="B48" s="9" t="s">
        <v>67</v>
      </c>
      <c r="C48" s="11">
        <v>2400</v>
      </c>
      <c r="D48" s="15">
        <v>1</v>
      </c>
      <c r="E48" s="14">
        <f t="shared" si="0"/>
        <v>2400</v>
      </c>
      <c r="F48" s="16" t="s">
        <v>68</v>
      </c>
    </row>
    <row r="49" spans="2:6" x14ac:dyDescent="0.3">
      <c r="B49" s="9" t="s">
        <v>69</v>
      </c>
      <c r="C49" s="11">
        <v>600</v>
      </c>
      <c r="D49" s="15">
        <v>1</v>
      </c>
      <c r="E49" s="14">
        <f t="shared" si="0"/>
        <v>600</v>
      </c>
      <c r="F49" s="16" t="s">
        <v>70</v>
      </c>
    </row>
    <row r="50" spans="2:6" x14ac:dyDescent="0.3">
      <c r="B50" s="9" t="s">
        <v>71</v>
      </c>
      <c r="C50" s="11">
        <v>500</v>
      </c>
      <c r="D50" s="15">
        <v>1</v>
      </c>
      <c r="E50" s="14">
        <f t="shared" si="0"/>
        <v>500</v>
      </c>
      <c r="F50" s="16" t="s">
        <v>70</v>
      </c>
    </row>
    <row r="51" spans="2:6" x14ac:dyDescent="0.3">
      <c r="B51" s="9" t="s">
        <v>72</v>
      </c>
      <c r="C51" s="11">
        <v>900</v>
      </c>
      <c r="D51" s="15">
        <v>0</v>
      </c>
      <c r="E51" s="14">
        <f t="shared" si="0"/>
        <v>0</v>
      </c>
      <c r="F51" s="16" t="s">
        <v>73</v>
      </c>
    </row>
    <row r="52" spans="2:6" x14ac:dyDescent="0.3">
      <c r="B52" s="9" t="s">
        <v>74</v>
      </c>
      <c r="C52" s="11">
        <v>3000</v>
      </c>
      <c r="D52" s="15">
        <v>0</v>
      </c>
      <c r="E52" s="14">
        <f t="shared" si="0"/>
        <v>0</v>
      </c>
      <c r="F52" s="16" t="s">
        <v>75</v>
      </c>
    </row>
    <row r="53" spans="2:6" x14ac:dyDescent="0.3">
      <c r="B53" s="9" t="s">
        <v>76</v>
      </c>
      <c r="C53" s="11">
        <v>1500</v>
      </c>
      <c r="D53" s="15">
        <v>0</v>
      </c>
      <c r="E53" s="14">
        <f t="shared" si="0"/>
        <v>0</v>
      </c>
      <c r="F53" s="16" t="s">
        <v>77</v>
      </c>
    </row>
    <row r="54" spans="2:6" x14ac:dyDescent="0.3">
      <c r="B54" s="9" t="s">
        <v>78</v>
      </c>
      <c r="C54" s="11">
        <v>700</v>
      </c>
      <c r="D54" s="15">
        <v>0</v>
      </c>
      <c r="E54" s="14">
        <f t="shared" si="0"/>
        <v>0</v>
      </c>
      <c r="F54" s="16" t="s">
        <v>79</v>
      </c>
    </row>
    <row r="56" spans="2:6" x14ac:dyDescent="0.3">
      <c r="B56" s="7" t="s">
        <v>38</v>
      </c>
      <c r="C56" s="8" t="s">
        <v>31</v>
      </c>
    </row>
    <row r="57" spans="2:6" x14ac:dyDescent="0.3">
      <c r="B57" s="9" t="s">
        <v>57</v>
      </c>
      <c r="C57" s="14">
        <f>SUM(E47:E54)</f>
        <v>81500</v>
      </c>
    </row>
    <row r="58" spans="2:6" x14ac:dyDescent="0.3">
      <c r="B58" s="9" t="s">
        <v>80</v>
      </c>
      <c r="C58" s="14">
        <f>C57/C45</f>
        <v>271.66666666666669</v>
      </c>
    </row>
    <row r="59" spans="2:6" x14ac:dyDescent="0.3">
      <c r="B59" s="9" t="s">
        <v>81</v>
      </c>
      <c r="C59" s="14">
        <f>SUM(C47:C54)-C57</f>
        <v>6100</v>
      </c>
    </row>
    <row r="62" spans="2:6" ht="19.5" customHeight="1" x14ac:dyDescent="0.3">
      <c r="B62" s="3" t="s">
        <v>82</v>
      </c>
      <c r="C62" s="3"/>
      <c r="D62" s="3"/>
      <c r="E62" s="3"/>
      <c r="F62" s="3"/>
    </row>
    <row r="63" spans="2:6" ht="33.75" customHeight="1" x14ac:dyDescent="0.3">
      <c r="B63" s="2" t="s">
        <v>83</v>
      </c>
      <c r="C63" s="2"/>
      <c r="D63" s="2"/>
      <c r="E63" s="2"/>
      <c r="F63" s="2"/>
    </row>
    <row r="65" spans="2:6" x14ac:dyDescent="0.3">
      <c r="B65" s="7" t="s">
        <v>30</v>
      </c>
      <c r="C65" s="8" t="s">
        <v>84</v>
      </c>
      <c r="D65" s="8" t="s">
        <v>85</v>
      </c>
      <c r="E65" s="8" t="s">
        <v>86</v>
      </c>
    </row>
    <row r="66" spans="2:6" x14ac:dyDescent="0.3">
      <c r="B66" s="9" t="s">
        <v>33</v>
      </c>
      <c r="C66" s="10">
        <v>200</v>
      </c>
      <c r="D66" s="10">
        <v>300</v>
      </c>
      <c r="E66" s="10">
        <f>C66+D66</f>
        <v>500</v>
      </c>
    </row>
    <row r="67" spans="2:6" x14ac:dyDescent="0.3">
      <c r="B67" s="9" t="s">
        <v>34</v>
      </c>
      <c r="C67" s="11">
        <v>24000</v>
      </c>
      <c r="D67" s="11">
        <v>36000</v>
      </c>
      <c r="E67" s="11">
        <f>C67+D67</f>
        <v>60000</v>
      </c>
    </row>
    <row r="68" spans="2:6" x14ac:dyDescent="0.3">
      <c r="B68" s="9" t="s">
        <v>87</v>
      </c>
      <c r="C68" s="11">
        <v>3000</v>
      </c>
    </row>
    <row r="69" spans="2:6" x14ac:dyDescent="0.3">
      <c r="B69" s="9" t="s">
        <v>88</v>
      </c>
      <c r="C69" s="11">
        <v>1200</v>
      </c>
    </row>
    <row r="71" spans="2:6" x14ac:dyDescent="0.3">
      <c r="B71" s="7" t="s">
        <v>38</v>
      </c>
      <c r="C71" s="8" t="s">
        <v>84</v>
      </c>
      <c r="D71" s="8" t="s">
        <v>85</v>
      </c>
      <c r="E71" s="8" t="s">
        <v>86</v>
      </c>
    </row>
    <row r="72" spans="2:6" x14ac:dyDescent="0.3">
      <c r="B72" s="9" t="s">
        <v>89</v>
      </c>
      <c r="C72" s="17">
        <f>C67/$E$67</f>
        <v>0.4</v>
      </c>
      <c r="D72" s="17">
        <f>D67/$E$67</f>
        <v>0.6</v>
      </c>
      <c r="E72" s="17">
        <f>C72+D72</f>
        <v>1</v>
      </c>
    </row>
    <row r="73" spans="2:6" x14ac:dyDescent="0.3">
      <c r="B73" s="9" t="s">
        <v>90</v>
      </c>
      <c r="C73" s="14">
        <f>$C$68*C72</f>
        <v>1200</v>
      </c>
      <c r="D73" s="14">
        <f>$C$68*D72</f>
        <v>1800</v>
      </c>
      <c r="E73" s="14">
        <f>C73+D73</f>
        <v>3000</v>
      </c>
    </row>
    <row r="74" spans="2:6" x14ac:dyDescent="0.3">
      <c r="B74" s="9" t="s">
        <v>91</v>
      </c>
      <c r="C74" s="14">
        <f>$C$69*C72</f>
        <v>480</v>
      </c>
      <c r="D74" s="14">
        <f>$C$69*D72</f>
        <v>720</v>
      </c>
      <c r="E74" s="14">
        <f>C74+D74</f>
        <v>1200</v>
      </c>
    </row>
    <row r="75" spans="2:6" x14ac:dyDescent="0.3">
      <c r="B75" s="9" t="s">
        <v>57</v>
      </c>
      <c r="C75" s="14">
        <f>C67+C73+C74</f>
        <v>25680</v>
      </c>
      <c r="D75" s="14">
        <f>D67+D73+D74</f>
        <v>38520</v>
      </c>
      <c r="E75" s="14">
        <f>C75+D75</f>
        <v>64200</v>
      </c>
    </row>
    <row r="76" spans="2:6" x14ac:dyDescent="0.3">
      <c r="B76" s="9" t="s">
        <v>92</v>
      </c>
      <c r="C76" s="14">
        <f>C75/C66</f>
        <v>128.4</v>
      </c>
      <c r="D76" s="14">
        <f>D75/D66</f>
        <v>128.4</v>
      </c>
    </row>
    <row r="79" spans="2:6" ht="19.5" customHeight="1" x14ac:dyDescent="0.3">
      <c r="B79" s="3" t="s">
        <v>93</v>
      </c>
      <c r="C79" s="3"/>
      <c r="D79" s="3"/>
      <c r="E79" s="3"/>
      <c r="F79" s="3"/>
    </row>
    <row r="80" spans="2:6" ht="33.75" customHeight="1" x14ac:dyDescent="0.3">
      <c r="B80" s="2" t="s">
        <v>94</v>
      </c>
      <c r="C80" s="2"/>
      <c r="D80" s="2"/>
      <c r="E80" s="2"/>
      <c r="F80" s="2"/>
    </row>
    <row r="82" spans="2:4" x14ac:dyDescent="0.3">
      <c r="B82" s="7" t="s">
        <v>30</v>
      </c>
      <c r="C82" s="8" t="s">
        <v>31</v>
      </c>
      <c r="D82" s="8" t="s">
        <v>32</v>
      </c>
    </row>
    <row r="83" spans="2:4" x14ac:dyDescent="0.3">
      <c r="B83" s="9" t="s">
        <v>95</v>
      </c>
      <c r="C83" s="10">
        <v>1000</v>
      </c>
    </row>
    <row r="84" spans="2:4" x14ac:dyDescent="0.3">
      <c r="B84" s="9" t="s">
        <v>96</v>
      </c>
      <c r="C84" s="11">
        <v>12000</v>
      </c>
    </row>
    <row r="85" spans="2:4" x14ac:dyDescent="0.3">
      <c r="B85" s="9" t="s">
        <v>97</v>
      </c>
      <c r="C85" s="11">
        <v>900</v>
      </c>
    </row>
    <row r="86" spans="2:4" x14ac:dyDescent="0.3">
      <c r="B86" s="9" t="s">
        <v>98</v>
      </c>
      <c r="C86" s="11">
        <v>300</v>
      </c>
    </row>
    <row r="87" spans="2:4" x14ac:dyDescent="0.3">
      <c r="B87" s="9" t="s">
        <v>99</v>
      </c>
      <c r="C87" s="18">
        <v>3.75</v>
      </c>
    </row>
    <row r="88" spans="2:4" x14ac:dyDescent="0.3">
      <c r="B88" s="9" t="s">
        <v>100</v>
      </c>
      <c r="C88" s="12">
        <v>0.06</v>
      </c>
    </row>
    <row r="89" spans="2:4" x14ac:dyDescent="0.3">
      <c r="B89" s="9" t="s">
        <v>101</v>
      </c>
      <c r="C89" s="11">
        <v>1800</v>
      </c>
    </row>
    <row r="90" spans="2:4" x14ac:dyDescent="0.3">
      <c r="B90" s="9" t="s">
        <v>102</v>
      </c>
      <c r="C90" s="11">
        <v>2200</v>
      </c>
    </row>
    <row r="91" spans="2:4" x14ac:dyDescent="0.3">
      <c r="B91" s="9" t="s">
        <v>103</v>
      </c>
      <c r="C91" s="12">
        <v>0.18</v>
      </c>
      <c r="D91" s="13" t="s">
        <v>37</v>
      </c>
    </row>
    <row r="93" spans="2:4" x14ac:dyDescent="0.3">
      <c r="B93" s="7" t="s">
        <v>38</v>
      </c>
      <c r="C93" s="8" t="s">
        <v>31</v>
      </c>
    </row>
    <row r="94" spans="2:4" x14ac:dyDescent="0.3">
      <c r="B94" s="9" t="s">
        <v>104</v>
      </c>
      <c r="C94" s="14">
        <f>C84+C85+C86</f>
        <v>13200</v>
      </c>
    </row>
    <row r="95" spans="2:4" x14ac:dyDescent="0.3">
      <c r="B95" s="9" t="s">
        <v>105</v>
      </c>
      <c r="C95" s="14">
        <f>C94*C87</f>
        <v>49500</v>
      </c>
    </row>
    <row r="96" spans="2:4" x14ac:dyDescent="0.3">
      <c r="B96" s="9" t="s">
        <v>106</v>
      </c>
      <c r="C96" s="14">
        <f>C95*C88</f>
        <v>2970</v>
      </c>
    </row>
    <row r="97" spans="2:6" x14ac:dyDescent="0.3">
      <c r="B97" s="9" t="s">
        <v>57</v>
      </c>
      <c r="C97" s="14">
        <f>C95+C96+C89+C90</f>
        <v>56470</v>
      </c>
    </row>
    <row r="98" spans="2:6" x14ac:dyDescent="0.3">
      <c r="B98" s="9" t="s">
        <v>107</v>
      </c>
      <c r="C98" s="14">
        <f>C97/C83</f>
        <v>56.47</v>
      </c>
    </row>
    <row r="99" spans="2:6" x14ac:dyDescent="0.3">
      <c r="B99" s="9" t="s">
        <v>108</v>
      </c>
      <c r="C99" s="14">
        <f>(C95+C96)*C91</f>
        <v>9444.6</v>
      </c>
    </row>
    <row r="102" spans="2:6" ht="19.5" customHeight="1" x14ac:dyDescent="0.3">
      <c r="B102" s="3" t="s">
        <v>109</v>
      </c>
      <c r="C102" s="3"/>
      <c r="D102" s="3"/>
      <c r="E102" s="3"/>
      <c r="F102" s="3"/>
    </row>
    <row r="103" spans="2:6" ht="33.75" customHeight="1" x14ac:dyDescent="0.3">
      <c r="B103" s="2" t="s">
        <v>110</v>
      </c>
      <c r="C103" s="2"/>
      <c r="D103" s="2"/>
      <c r="E103" s="2"/>
      <c r="F103" s="2"/>
    </row>
    <row r="105" spans="2:6" x14ac:dyDescent="0.3">
      <c r="B105" s="7" t="s">
        <v>30</v>
      </c>
      <c r="C105" s="8" t="s">
        <v>31</v>
      </c>
      <c r="D105" s="8" t="s">
        <v>32</v>
      </c>
    </row>
    <row r="106" spans="2:6" x14ac:dyDescent="0.3">
      <c r="B106" s="9" t="s">
        <v>111</v>
      </c>
      <c r="C106" s="11">
        <f>C98</f>
        <v>56.47</v>
      </c>
      <c r="D106" s="13" t="s">
        <v>112</v>
      </c>
    </row>
    <row r="107" spans="2:6" x14ac:dyDescent="0.3">
      <c r="B107" s="9" t="s">
        <v>113</v>
      </c>
      <c r="C107" s="11">
        <v>4.5</v>
      </c>
    </row>
    <row r="108" spans="2:6" x14ac:dyDescent="0.3">
      <c r="B108" s="9" t="s">
        <v>114</v>
      </c>
      <c r="C108" s="12">
        <v>0.35</v>
      </c>
    </row>
    <row r="109" spans="2:6" x14ac:dyDescent="0.3">
      <c r="B109" s="9" t="s">
        <v>36</v>
      </c>
      <c r="C109" s="12">
        <v>0.18</v>
      </c>
    </row>
    <row r="111" spans="2:6" x14ac:dyDescent="0.3">
      <c r="B111" s="7" t="s">
        <v>38</v>
      </c>
      <c r="C111" s="8" t="s">
        <v>31</v>
      </c>
    </row>
    <row r="112" spans="2:6" x14ac:dyDescent="0.3">
      <c r="B112" s="9" t="s">
        <v>115</v>
      </c>
      <c r="C112" s="14">
        <f>C106+C107</f>
        <v>60.97</v>
      </c>
    </row>
    <row r="113" spans="2:6" x14ac:dyDescent="0.3">
      <c r="B113" s="9" t="s">
        <v>116</v>
      </c>
      <c r="C113" s="14">
        <f>C112*C108</f>
        <v>21.339499999999997</v>
      </c>
    </row>
    <row r="114" spans="2:6" x14ac:dyDescent="0.3">
      <c r="B114" s="9" t="s">
        <v>117</v>
      </c>
      <c r="C114" s="14">
        <f>C112+C113</f>
        <v>82.3095</v>
      </c>
    </row>
    <row r="115" spans="2:6" x14ac:dyDescent="0.3">
      <c r="B115" s="9" t="s">
        <v>118</v>
      </c>
      <c r="C115" s="14">
        <f>C114*C109</f>
        <v>14.815709999999999</v>
      </c>
    </row>
    <row r="116" spans="2:6" x14ac:dyDescent="0.3">
      <c r="B116" s="9" t="s">
        <v>119</v>
      </c>
      <c r="C116" s="14">
        <f>C114+C115</f>
        <v>97.125209999999996</v>
      </c>
    </row>
    <row r="119" spans="2:6" ht="19.5" customHeight="1" x14ac:dyDescent="0.3">
      <c r="B119" s="3" t="s">
        <v>120</v>
      </c>
      <c r="C119" s="3"/>
      <c r="D119" s="3"/>
      <c r="E119" s="3"/>
      <c r="F119" s="3"/>
    </row>
    <row r="120" spans="2:6" ht="18.75" customHeight="1" x14ac:dyDescent="0.3">
      <c r="B120" s="2" t="s">
        <v>121</v>
      </c>
      <c r="C120" s="2"/>
      <c r="D120" s="2"/>
      <c r="E120" s="2"/>
      <c r="F120" s="2"/>
    </row>
    <row r="122" spans="2:6" x14ac:dyDescent="0.3">
      <c r="B122" s="7" t="s">
        <v>122</v>
      </c>
      <c r="C122" s="8" t="s">
        <v>123</v>
      </c>
      <c r="D122" s="8"/>
      <c r="E122" s="8"/>
      <c r="F122" s="8" t="s">
        <v>124</v>
      </c>
    </row>
    <row r="123" spans="2:6" x14ac:dyDescent="0.3">
      <c r="B123" s="9" t="s">
        <v>125</v>
      </c>
      <c r="C123" s="15" t="s">
        <v>126</v>
      </c>
      <c r="F123" s="16" t="s">
        <v>127</v>
      </c>
    </row>
    <row r="124" spans="2:6" x14ac:dyDescent="0.3">
      <c r="B124" s="9" t="s">
        <v>128</v>
      </c>
      <c r="C124" s="15" t="s">
        <v>129</v>
      </c>
      <c r="F124" s="16" t="s">
        <v>130</v>
      </c>
    </row>
    <row r="125" spans="2:6" x14ac:dyDescent="0.3">
      <c r="B125" s="9" t="s">
        <v>131</v>
      </c>
      <c r="C125" s="15" t="s">
        <v>126</v>
      </c>
      <c r="F125" s="16" t="s">
        <v>68</v>
      </c>
    </row>
    <row r="126" spans="2:6" x14ac:dyDescent="0.3">
      <c r="B126" s="9" t="s">
        <v>132</v>
      </c>
      <c r="C126" s="15" t="s">
        <v>126</v>
      </c>
      <c r="F126" s="16" t="s">
        <v>133</v>
      </c>
    </row>
    <row r="127" spans="2:6" x14ac:dyDescent="0.3">
      <c r="B127" s="9" t="s">
        <v>134</v>
      </c>
      <c r="C127" s="15" t="s">
        <v>126</v>
      </c>
      <c r="F127" s="16" t="s">
        <v>135</v>
      </c>
    </row>
    <row r="128" spans="2:6" x14ac:dyDescent="0.3">
      <c r="B128" s="9" t="s">
        <v>136</v>
      </c>
      <c r="C128" s="15" t="s">
        <v>126</v>
      </c>
      <c r="F128" s="16" t="s">
        <v>137</v>
      </c>
    </row>
    <row r="129" spans="2:6" x14ac:dyDescent="0.3">
      <c r="B129" s="9" t="s">
        <v>138</v>
      </c>
      <c r="C129" s="15" t="s">
        <v>129</v>
      </c>
      <c r="F129" s="16" t="s">
        <v>139</v>
      </c>
    </row>
    <row r="130" spans="2:6" x14ac:dyDescent="0.3">
      <c r="B130" s="9" t="s">
        <v>140</v>
      </c>
      <c r="C130" s="15" t="s">
        <v>129</v>
      </c>
      <c r="F130" s="16" t="s">
        <v>141</v>
      </c>
    </row>
    <row r="131" spans="2:6" x14ac:dyDescent="0.3">
      <c r="B131" s="9" t="s">
        <v>142</v>
      </c>
      <c r="C131" s="15" t="s">
        <v>126</v>
      </c>
      <c r="F131" s="16" t="s">
        <v>143</v>
      </c>
    </row>
    <row r="132" spans="2:6" x14ac:dyDescent="0.3">
      <c r="B132" s="9" t="s">
        <v>144</v>
      </c>
      <c r="C132" s="15" t="s">
        <v>129</v>
      </c>
      <c r="F132" s="16" t="s">
        <v>145</v>
      </c>
    </row>
    <row r="133" spans="2:6" x14ac:dyDescent="0.3">
      <c r="B133" s="9" t="s">
        <v>146</v>
      </c>
      <c r="C133" s="15" t="s">
        <v>126</v>
      </c>
      <c r="F133" s="16" t="s">
        <v>137</v>
      </c>
    </row>
    <row r="134" spans="2:6" x14ac:dyDescent="0.3">
      <c r="B134" s="9" t="s">
        <v>147</v>
      </c>
      <c r="C134" s="15" t="s">
        <v>129</v>
      </c>
      <c r="F134" s="16" t="s">
        <v>148</v>
      </c>
    </row>
    <row r="137" spans="2:6" x14ac:dyDescent="0.3">
      <c r="B137" s="1" t="s">
        <v>149</v>
      </c>
      <c r="C137" s="1"/>
      <c r="D137" s="1"/>
      <c r="E137" s="1"/>
      <c r="F137" s="1"/>
    </row>
  </sheetData>
  <mergeCells count="15">
    <mergeCell ref="B102:F102"/>
    <mergeCell ref="B103:F103"/>
    <mergeCell ref="B119:F119"/>
    <mergeCell ref="B120:F120"/>
    <mergeCell ref="B137:F137"/>
    <mergeCell ref="B42:F42"/>
    <mergeCell ref="B62:F62"/>
    <mergeCell ref="B63:F63"/>
    <mergeCell ref="B79:F79"/>
    <mergeCell ref="B80:F80"/>
    <mergeCell ref="B2:F2"/>
    <mergeCell ref="B3:F3"/>
    <mergeCell ref="B18:F18"/>
    <mergeCell ref="B19:F19"/>
    <mergeCell ref="B41:F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Indicaciones</vt:lpstr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2026-08-27T18:41:36Z</dcterms:created>
  <dcterms:modified xsi:type="dcterms:W3CDTF">2026-08-27T18:49:52Z</dcterms:modified>
  <dc:language>en-US</dc:language>
</cp:coreProperties>
</file>