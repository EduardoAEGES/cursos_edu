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8_{0584A70B-25BB-4543-B2E2-B5FE4CF05370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1. Revelado de Fotos" sheetId="2" r:id="rId1"/>
    <sheet name="2. Pijamas" sheetId="3" r:id="rId2"/>
    <sheet name="3. Curso de Guión" sheetId="4" state="hidden" r:id="rId3"/>
    <sheet name="5. Chocolate Blanco" sheetId="6" r:id="rId4"/>
    <sheet name="6. Queque de Manzana" sheetId="7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9" i="4" l="1"/>
  <c r="B43" i="4"/>
  <c r="B11" i="4" s="1"/>
  <c r="E28" i="4"/>
  <c r="F28" i="4" s="1"/>
  <c r="D23" i="4"/>
  <c r="F23" i="4" s="1"/>
  <c r="G23" i="4" s="1"/>
  <c r="F22" i="4"/>
  <c r="G22" i="4" s="1"/>
  <c r="D22" i="4"/>
  <c r="D21" i="4"/>
  <c r="F21" i="4" s="1"/>
  <c r="G21" i="4" s="1"/>
  <c r="D20" i="4"/>
  <c r="D24" i="4" s="1"/>
  <c r="B7" i="4" s="1"/>
  <c r="B12" i="4"/>
  <c r="B6" i="4"/>
  <c r="E31" i="2"/>
  <c r="F31" i="2" s="1"/>
  <c r="G31" i="2" s="1"/>
  <c r="F29" i="4" l="1"/>
  <c r="B9" i="4" s="1"/>
  <c r="G28" i="4"/>
  <c r="G29" i="4" s="1"/>
  <c r="G32" i="2"/>
  <c r="F32" i="2"/>
  <c r="F20" i="4"/>
  <c r="G20" i="4" l="1"/>
  <c r="G24" i="4" s="1"/>
  <c r="B8" i="4" s="1"/>
  <c r="F24" i="4"/>
  <c r="C36" i="4" s="1"/>
  <c r="C37" i="4" s="1"/>
  <c r="B10" i="4" s="1"/>
</calcChain>
</file>

<file path=xl/sharedStrings.xml><?xml version="1.0" encoding="utf-8"?>
<sst xmlns="http://schemas.openxmlformats.org/spreadsheetml/2006/main" count="523" uniqueCount="212">
  <si>
    <t>Servicio de revelado de fotos a color</t>
  </si>
  <si>
    <t>Unidad de costeo: Por foto impresa (10×15 cm)   |   Periodo: Mensual</t>
  </si>
  <si>
    <t>RESUMEN DE COSTOS Y PARÁMETROS  (base para el presupuesto maestro)</t>
  </si>
  <si>
    <t>Precio de venta referencial (S/)</t>
  </si>
  <si>
    <t>Costo de insumos por unidad (S/)</t>
  </si>
  <si>
    <t>Inversión total en activos fijos (S/)</t>
  </si>
  <si>
    <t>Depreciación mensual de activos (S/)</t>
  </si>
  <si>
    <t>Total gastos administrativos (S/)</t>
  </si>
  <si>
    <t>Total gastos de ventas (S/)</t>
  </si>
  <si>
    <t>1) INSUMOS – COMPRA COMERCIAL  (convertir el precio CON IGV a SIN IGV)</t>
  </si>
  <si>
    <t>Insumo</t>
  </si>
  <si>
    <t>Presentación de compra</t>
  </si>
  <si>
    <t>Contenido</t>
  </si>
  <si>
    <t>Unidad</t>
  </si>
  <si>
    <t>Precio CON IGV (S/)</t>
  </si>
  <si>
    <t>Precio SIN IGV (S/)</t>
  </si>
  <si>
    <t>Costo por unidad de medida SIN IGV (S/)</t>
  </si>
  <si>
    <t>Papel fotográfico 10×15 cm</t>
  </si>
  <si>
    <t>Caja</t>
  </si>
  <si>
    <t>hoja</t>
  </si>
  <si>
    <t>Referencial</t>
  </si>
  <si>
    <t>Tinta especial para impresora</t>
  </si>
  <si>
    <t>Cartucho</t>
  </si>
  <si>
    <t>foto</t>
  </si>
  <si>
    <t>Rinde ~1200 fotos</t>
  </si>
  <si>
    <t>Sobre / funda plástica</t>
  </si>
  <si>
    <t>Millar</t>
  </si>
  <si>
    <t>unidad</t>
  </si>
  <si>
    <t>1.b) CONSUMO Y COSTO POR UNIDAD DE PRODUCTO</t>
  </si>
  <si>
    <t>Consumo por unidad de producto</t>
  </si>
  <si>
    <t>Costo del insumo por unidad (S/)</t>
  </si>
  <si>
    <t>COSTO TOTAL DE INSUMOS POR UNIDAD</t>
  </si>
  <si>
    <t>Precio SIN IGV = Precio CON IGV ÷ (1 + IGV)</t>
  </si>
  <si>
    <t>Costo por unidad de medida = Precio SIN IGV ÷ Contenido</t>
  </si>
  <si>
    <t>Costo del insumo por unidad = Costo por unidad de medida × Consumo por unidad</t>
  </si>
  <si>
    <t>2) LISTA DE ACTIVOS FIJOS</t>
  </si>
  <si>
    <t>Activo</t>
  </si>
  <si>
    <t>Cantidad</t>
  </si>
  <si>
    <t>Costo unitario (S/)</t>
  </si>
  <si>
    <t>Inversión total (S/)</t>
  </si>
  <si>
    <t>Vida útil (años)</t>
  </si>
  <si>
    <t>Deprec. anual (S/)</t>
  </si>
  <si>
    <t>Deprec. mensual (S/)</t>
  </si>
  <si>
    <t>Nota</t>
  </si>
  <si>
    <t>Impresora fotográfica (Epson L8050/L8160)</t>
  </si>
  <si>
    <t>Rango S/1,399–2,099</t>
  </si>
  <si>
    <t>Computadora / laptop para edición</t>
  </si>
  <si>
    <t>Equipo de gama media</t>
  </si>
  <si>
    <t>Mesa de trabajo y mobiliario</t>
  </si>
  <si>
    <t>Estimado</t>
  </si>
  <si>
    <t>TOTAL activos fijos</t>
  </si>
  <si>
    <t>3) CANTIDAD Y CARACTERÍSTICAS DEL PERSONAL  (mensual)</t>
  </si>
  <si>
    <t>Cargo</t>
  </si>
  <si>
    <t>Sueldo (S/)</t>
  </si>
  <si>
    <t>Cargas soc. (%)</t>
  </si>
  <si>
    <t>Cargas soc. (S/)</t>
  </si>
  <si>
    <t>Costo laboral (S/)</t>
  </si>
  <si>
    <t>Costo anual (S/)</t>
  </si>
  <si>
    <t>Perfil</t>
  </si>
  <si>
    <t>Operador/a de laboratorio fotográfico</t>
  </si>
  <si>
    <t>Fotografía digital, manejo de PC e impresoras</t>
  </si>
  <si>
    <t>TOTAL personal</t>
  </si>
  <si>
    <t>Cargas sociales (%): supuesto editable = EsSalud 9% + gratificaciones + CTS. Ajustar según régimen (RUS / MYPE / General).</t>
  </si>
  <si>
    <t>4) DETALLE DE COSTOS INDIRECTOS  (mensual)</t>
  </si>
  <si>
    <t>Concepto</t>
  </si>
  <si>
    <t>Detalle / base</t>
  </si>
  <si>
    <t>Monto (S/)</t>
  </si>
  <si>
    <t>Alquiler del local de producción</t>
  </si>
  <si>
    <t>Local ~50 m²</t>
  </si>
  <si>
    <t>≈ S/30/m²</t>
  </si>
  <si>
    <t>Electricidad (impresora y PC)</t>
  </si>
  <si>
    <t>Mensual</t>
  </si>
  <si>
    <t>No es insumo directo</t>
  </si>
  <si>
    <t>Agua e internet</t>
  </si>
  <si>
    <t>Servicios básicos</t>
  </si>
  <si>
    <t>Mantenimiento de equipos</t>
  </si>
  <si>
    <t>S/200/año</t>
  </si>
  <si>
    <t>Limpieza impresora</t>
  </si>
  <si>
    <t>Transporte / flete de insumos</t>
  </si>
  <si>
    <t>Compra de papel y tinta</t>
  </si>
  <si>
    <t>Depreciación de activos fijos</t>
  </si>
  <si>
    <t>Enlace a tabla de activos</t>
  </si>
  <si>
    <t>TOTAL costos indirectos</t>
  </si>
  <si>
    <t>5) DETALLE DE GASTOS ADMINISTRATIVOS  (mensual)</t>
  </si>
  <si>
    <t>Asesoría contable y tributaria</t>
  </si>
  <si>
    <t>Completar</t>
  </si>
  <si>
    <t>TOTAL gastos administrativos</t>
  </si>
  <si>
    <t>6) DETALLE DE GASTOS DE VENTAS  (mensual)</t>
  </si>
  <si>
    <t>Publicidad / redes sociales</t>
  </si>
  <si>
    <t>TOTAL gastos de ventas</t>
  </si>
  <si>
    <t>Fabricación de pijamas</t>
  </si>
  <si>
    <t>Unidad de costeo: Por pijama   |   Periodo: Mensual</t>
  </si>
  <si>
    <t>Tela de algodón</t>
  </si>
  <si>
    <t>Rollo</t>
  </si>
  <si>
    <t>m</t>
  </si>
  <si>
    <t>Gamarra – referencial</t>
  </si>
  <si>
    <t>Elástico de cintura</t>
  </si>
  <si>
    <t>Hilo de coser</t>
  </si>
  <si>
    <t>Cono</t>
  </si>
  <si>
    <t>Botones</t>
  </si>
  <si>
    <t>Según diseño</t>
  </si>
  <si>
    <t>Etiqueta</t>
  </si>
  <si>
    <t>Empaque plástico</t>
  </si>
  <si>
    <t>Bolsa</t>
  </si>
  <si>
    <t>Máquina de coser (Singer M2505)</t>
  </si>
  <si>
    <t>Micro taller</t>
  </si>
  <si>
    <t>Remalladora / overlock</t>
  </si>
  <si>
    <t>Acabados</t>
  </si>
  <si>
    <t>Plancha de vapor</t>
  </si>
  <si>
    <t>Mesa de corte</t>
  </si>
  <si>
    <t>Maniquí</t>
  </si>
  <si>
    <t>Confeccionista / modista</t>
  </si>
  <si>
    <t>Costura, manejo de máquina industrial</t>
  </si>
  <si>
    <t>Asistente de costura</t>
  </si>
  <si>
    <t>Apoyo en corte y acabados</t>
  </si>
  <si>
    <t>Alquiler del taller</t>
  </si>
  <si>
    <t>Taller ~30 m²</t>
  </si>
  <si>
    <t>Electricidad (máquinas)</t>
  </si>
  <si>
    <t>~3 kWh/día</t>
  </si>
  <si>
    <t>Agua y otros servicios</t>
  </si>
  <si>
    <t>Mantenimiento de máquinas</t>
  </si>
  <si>
    <t>Aceite, agujas</t>
  </si>
  <si>
    <t>Transporte / flete de compras</t>
  </si>
  <si>
    <t>Telas</t>
  </si>
  <si>
    <t>Curso de creación de guión (6 sesiones de 1.5 h)</t>
  </si>
  <si>
    <t>Unidad de costeo: Por curso (supuesto: 10 alumnos)   |   Periodo: Por curso</t>
  </si>
  <si>
    <t>Costo total de personal (por curso) (S/)</t>
  </si>
  <si>
    <t>Total costos indirectos (por curso) (S/)</t>
  </si>
  <si>
    <t>1) INSUMOS / MATERIALES DIRECTOS</t>
  </si>
  <si>
    <t>No aplica: el servicio no consume materiales directos (no se imprime; se entrega en digital).</t>
  </si>
  <si>
    <t>TOTAL insumos por unidad</t>
  </si>
  <si>
    <t>Proyector multimedia</t>
  </si>
  <si>
    <t>Laptop / equipo de cómputo</t>
  </si>
  <si>
    <t>Pizarra blanca</t>
  </si>
  <si>
    <t>Mesas y sillas (set)</t>
  </si>
  <si>
    <t>3) CANTIDAD Y CARACTERÍSTICAS DEL PERSONAL  (por curso)</t>
  </si>
  <si>
    <t>Instructor de guión</t>
  </si>
  <si>
    <t>Experiencia en cine/TV o literatura; didáctica</t>
  </si>
  <si>
    <t>4) DETALLE DE COSTOS INDIRECTOS  (por curso)</t>
  </si>
  <si>
    <t>Alquiler de aula</t>
  </si>
  <si>
    <t>9 h × S/20</t>
  </si>
  <si>
    <t>Coworking / centro cultural</t>
  </si>
  <si>
    <t>Mantenimiento de proyector</t>
  </si>
  <si>
    <t>Por curso</t>
  </si>
  <si>
    <t>Prorrateo por curso</t>
  </si>
  <si>
    <t>Plataforma / inscripciones</t>
  </si>
  <si>
    <t>Promoción por curso</t>
  </si>
  <si>
    <t>Diseño de material promocional</t>
  </si>
  <si>
    <t>Repostería</t>
  </si>
  <si>
    <t>Agua</t>
  </si>
  <si>
    <t>Fabricación de chocolate blanco con inclusiones</t>
  </si>
  <si>
    <t>Unidad de costeo: Por barra de 100 g   |   Periodo: Mensual</t>
  </si>
  <si>
    <t>Manteca de cacao</t>
  </si>
  <si>
    <t>kg</t>
  </si>
  <si>
    <t>Leche en polvo entera</t>
  </si>
  <si>
    <t>Saco</t>
  </si>
  <si>
    <t>Ejemplo: saco 20 kg S/250 c/IGV</t>
  </si>
  <si>
    <t>Azúcar granulada</t>
  </si>
  <si>
    <t>Lecitina y vainilla</t>
  </si>
  <si>
    <t>Crisps (barquillo / arroz inflado)</t>
  </si>
  <si>
    <t>Empaque (aluminio + papel)</t>
  </si>
  <si>
    <t>Temperadora de chocolate (5 kg)</t>
  </si>
  <si>
    <t>Semi-automática</t>
  </si>
  <si>
    <t>Moldes de silicona / aluminio (set)</t>
  </si>
  <si>
    <t>Mesón de trabajo e instalación de enfriamiento</t>
  </si>
  <si>
    <t>Termómetro digital</t>
  </si>
  <si>
    <t>Chocolatero/a</t>
  </si>
  <si>
    <t>Formación en chocolatería / pastelería</t>
  </si>
  <si>
    <t>Alquiler del local / cocina</t>
  </si>
  <si>
    <t>Cocina industrial</t>
  </si>
  <si>
    <t>Electricidad (fusión / temperado)</t>
  </si>
  <si>
    <t>≈ S/3.45 / batch</t>
  </si>
  <si>
    <t>Agua (proceso)</t>
  </si>
  <si>
    <t>Cajas de envío</t>
  </si>
  <si>
    <t>Preparación de postres – Queque de manzana</t>
  </si>
  <si>
    <t>Unidad de costeo: Por queque (rinde ~10 porciones)   |   Periodo: Mensual</t>
  </si>
  <si>
    <t>Harina sin preparar</t>
  </si>
  <si>
    <t>Manzana</t>
  </si>
  <si>
    <t>Jaba</t>
  </si>
  <si>
    <t>Azúcar rubia</t>
  </si>
  <si>
    <t>Huevos</t>
  </si>
  <si>
    <t>Cubeta</t>
  </si>
  <si>
    <t>≈ S/0.60 c/u</t>
  </si>
  <si>
    <t>Mantequilla</t>
  </si>
  <si>
    <t>Leche</t>
  </si>
  <si>
    <t>litro</t>
  </si>
  <si>
    <t>Polvo de hornear</t>
  </si>
  <si>
    <t>Esencia de vainilla y canela</t>
  </si>
  <si>
    <t>Frasco</t>
  </si>
  <si>
    <t>Empaque / molde descartable</t>
  </si>
  <si>
    <t>Paquete</t>
  </si>
  <si>
    <t>Presentación</t>
  </si>
  <si>
    <t>Horno de repostería (semi-industrial)</t>
  </si>
  <si>
    <t>Cocción</t>
  </si>
  <si>
    <t>Batidora de pie / industrial</t>
  </si>
  <si>
    <t>Mezcla de masa</t>
  </si>
  <si>
    <t>Refrigeradora para insumos</t>
  </si>
  <si>
    <t>Conservación</t>
  </si>
  <si>
    <t>Balanza digital de cocina</t>
  </si>
  <si>
    <t>Pesado de insumos</t>
  </si>
  <si>
    <t>Moldes para queque (set)</t>
  </si>
  <si>
    <t>Moldeo</t>
  </si>
  <si>
    <t>Mesa de trabajo de acero inoxidable</t>
  </si>
  <si>
    <t>Área de preparación</t>
  </si>
  <si>
    <t>Utensilios (bowls, espátulas, rejillas)</t>
  </si>
  <si>
    <t>Menaje</t>
  </si>
  <si>
    <t>Repostero/a</t>
  </si>
  <si>
    <t>Repostería / pastelería; elaboración de queques</t>
  </si>
  <si>
    <t>Alquiler del área de cocina</t>
  </si>
  <si>
    <t>Electricidad (horno, batidora, refrig.)</t>
  </si>
  <si>
    <t>Gas (horno)</t>
  </si>
  <si>
    <t>Fórmulas a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</si>
</sst>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 &quot;#,##0.00"/>
    <numFmt numFmtId="165" formatCode="&quot;S/ &quot;#,##0"/>
    <numFmt numFmtId="166" formatCode="0.0%"/>
    <numFmt numFmtId="167" formatCode="#,##0.000"/>
  </numFmts>
  <fonts count="13" x14ac:knownFonts="1">
    <font>
      <sz val="11"/>
      <color theme="1"/>
      <name val="Calibri"/>
      <family val="2"/>
      <charset val="1"/>
    </font>
    <font>
      <b/>
      <sz val="15"/>
      <color rgb="FF8B0000"/>
      <name val="Arial"/>
      <family val="2"/>
    </font>
    <font>
      <sz val="10"/>
      <color rgb="FF000000"/>
      <name val="Arial"/>
      <family val="2"/>
    </font>
    <font>
      <b/>
      <sz val="12"/>
      <color rgb="FF8B000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9"/>
      <color rgb="FF666666"/>
      <name val="Arial"/>
      <family val="2"/>
    </font>
    <font>
      <sz val="10"/>
      <color rgb="FF0000FF"/>
      <name val="Arial"/>
      <family val="2"/>
    </font>
    <font>
      <b/>
      <sz val="9"/>
      <color rgb="FF000000"/>
      <name val="Arial"/>
      <family val="2"/>
    </font>
    <font>
      <b/>
      <sz val="9"/>
      <color rgb="FF8B0000"/>
      <name val="Arial"/>
      <family val="2"/>
    </font>
    <font>
      <sz val="8"/>
      <color rgb="FF666666"/>
      <name val="Arial"/>
      <family val="2"/>
    </font>
    <font>
      <sz val="10"/>
      <color rgb="FF008000"/>
      <name val="Arial"/>
      <family val="2"/>
    </font>
    <font>
      <sz val="10"/>
      <color rgb="FF6666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BE9E7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7F9FC"/>
        <bgColor rgb="FFFFFFFF"/>
      </patternFill>
    </fill>
  </fills>
  <borders count="2">
    <border>
      <left/>
      <right/>
      <top/>
      <bottom/>
      <diagonal/>
    </border>
    <border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6" fontId="7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164" fontId="11" fillId="6" borderId="1" xfId="0" applyNumberFormat="1" applyFont="1" applyFill="1" applyBorder="1" applyAlignment="1">
      <alignment horizontal="right" vertical="center"/>
    </xf>
    <xf numFmtId="166" fontId="7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showGridLines="0" topLeftCell="A15" zoomScaleNormal="100" workbookViewId="0">
      <selection activeCell="C37" sqref="C37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8" ht="25.5" customHeight="1" x14ac:dyDescent="0.3">
      <c r="A1" s="1" t="s">
        <v>0</v>
      </c>
    </row>
    <row r="2" spans="1:8" ht="15.75" customHeight="1" x14ac:dyDescent="0.3">
      <c r="A2" s="3" t="s">
        <v>1</v>
      </c>
    </row>
    <row r="4" spans="1:8" ht="19.5" customHeight="1" x14ac:dyDescent="0.3">
      <c r="A4" s="2" t="s">
        <v>9</v>
      </c>
    </row>
    <row r="5" spans="1:8" ht="43.5" customHeight="1" x14ac:dyDescent="0.3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</row>
    <row r="6" spans="1:8" x14ac:dyDescent="0.3">
      <c r="A6" s="10" t="s">
        <v>17</v>
      </c>
      <c r="B6" s="11" t="s">
        <v>18</v>
      </c>
      <c r="C6" s="12">
        <v>500</v>
      </c>
      <c r="D6" s="11" t="s">
        <v>19</v>
      </c>
      <c r="E6" s="13">
        <v>90</v>
      </c>
      <c r="F6" s="14"/>
      <c r="G6" s="14"/>
      <c r="H6" s="3" t="s">
        <v>20</v>
      </c>
    </row>
    <row r="7" spans="1:8" x14ac:dyDescent="0.3">
      <c r="A7" s="15" t="s">
        <v>21</v>
      </c>
      <c r="B7" s="16" t="s">
        <v>22</v>
      </c>
      <c r="C7" s="17">
        <v>1200</v>
      </c>
      <c r="D7" s="16" t="s">
        <v>23</v>
      </c>
      <c r="E7" s="18">
        <v>120</v>
      </c>
      <c r="F7" s="14"/>
      <c r="G7" s="14"/>
      <c r="H7" s="3" t="s">
        <v>24</v>
      </c>
    </row>
    <row r="8" spans="1:8" x14ac:dyDescent="0.3">
      <c r="A8" s="10" t="s">
        <v>25</v>
      </c>
      <c r="B8" s="11" t="s">
        <v>26</v>
      </c>
      <c r="C8" s="12">
        <v>1000</v>
      </c>
      <c r="D8" s="11" t="s">
        <v>27</v>
      </c>
      <c r="E8" s="13">
        <v>120</v>
      </c>
      <c r="F8" s="14"/>
      <c r="G8" s="14"/>
      <c r="H8" s="3" t="s">
        <v>20</v>
      </c>
    </row>
    <row r="10" spans="1:8" ht="19.5" customHeight="1" x14ac:dyDescent="0.3">
      <c r="A10" s="2" t="s">
        <v>28</v>
      </c>
    </row>
    <row r="11" spans="1:8" ht="31.5" customHeight="1" x14ac:dyDescent="0.3">
      <c r="A11" s="9" t="s">
        <v>10</v>
      </c>
      <c r="B11" s="9" t="s">
        <v>29</v>
      </c>
      <c r="C11" s="9" t="s">
        <v>13</v>
      </c>
      <c r="D11" s="9" t="s">
        <v>30</v>
      </c>
    </row>
    <row r="12" spans="1:8" x14ac:dyDescent="0.3">
      <c r="A12" s="10" t="s">
        <v>17</v>
      </c>
      <c r="B12" s="12">
        <v>1</v>
      </c>
      <c r="C12" s="11" t="s">
        <v>19</v>
      </c>
      <c r="D12" s="14"/>
    </row>
    <row r="13" spans="1:8" x14ac:dyDescent="0.3">
      <c r="A13" s="15" t="s">
        <v>21</v>
      </c>
      <c r="B13" s="17">
        <v>1</v>
      </c>
      <c r="C13" s="16" t="s">
        <v>23</v>
      </c>
      <c r="D13" s="14"/>
    </row>
    <row r="14" spans="1:8" x14ac:dyDescent="0.3">
      <c r="A14" s="10" t="s">
        <v>25</v>
      </c>
      <c r="B14" s="12">
        <v>1</v>
      </c>
      <c r="C14" s="11" t="s">
        <v>27</v>
      </c>
      <c r="D14" s="14"/>
    </row>
    <row r="15" spans="1:8" x14ac:dyDescent="0.3">
      <c r="A15" s="19" t="s">
        <v>31</v>
      </c>
      <c r="B15" s="20"/>
      <c r="C15" s="20"/>
      <c r="D15" s="21"/>
    </row>
    <row r="17" spans="1:8" x14ac:dyDescent="0.3">
      <c r="A17" s="22" t="s">
        <v>211</v>
      </c>
    </row>
    <row r="18" spans="1:8" x14ac:dyDescent="0.3">
      <c r="A18" s="3" t="s">
        <v>32</v>
      </c>
    </row>
    <row r="19" spans="1:8" x14ac:dyDescent="0.3">
      <c r="A19" s="3" t="s">
        <v>33</v>
      </c>
    </row>
    <row r="20" spans="1:8" x14ac:dyDescent="0.3">
      <c r="A20" s="3" t="s">
        <v>34</v>
      </c>
    </row>
    <row r="22" spans="1:8" ht="19.5" customHeight="1" x14ac:dyDescent="0.3">
      <c r="A22" s="2" t="s">
        <v>35</v>
      </c>
    </row>
    <row r="23" spans="1:8" ht="30" customHeight="1" x14ac:dyDescent="0.3">
      <c r="A23" s="9" t="s">
        <v>36</v>
      </c>
      <c r="B23" s="9" t="s">
        <v>37</v>
      </c>
      <c r="C23" s="9" t="s">
        <v>38</v>
      </c>
      <c r="D23" s="9" t="s">
        <v>39</v>
      </c>
      <c r="E23" s="9" t="s">
        <v>40</v>
      </c>
      <c r="F23" s="9" t="s">
        <v>41</v>
      </c>
      <c r="G23" s="9" t="s">
        <v>42</v>
      </c>
      <c r="H23" s="23" t="s">
        <v>43</v>
      </c>
    </row>
    <row r="24" spans="1:8" x14ac:dyDescent="0.3">
      <c r="A24" s="10" t="s">
        <v>44</v>
      </c>
      <c r="B24" s="24">
        <v>1</v>
      </c>
      <c r="C24" s="25">
        <v>1399</v>
      </c>
      <c r="D24" s="14"/>
      <c r="E24" s="24">
        <v>5</v>
      </c>
      <c r="F24" s="14"/>
      <c r="G24" s="14"/>
      <c r="H24" s="3" t="s">
        <v>45</v>
      </c>
    </row>
    <row r="25" spans="1:8" x14ac:dyDescent="0.3">
      <c r="A25" s="15" t="s">
        <v>46</v>
      </c>
      <c r="B25" s="28">
        <v>1</v>
      </c>
      <c r="C25" s="29">
        <v>2099</v>
      </c>
      <c r="D25" s="14"/>
      <c r="E25" s="28">
        <v>4</v>
      </c>
      <c r="F25" s="14"/>
      <c r="G25" s="14"/>
      <c r="H25" s="3" t="s">
        <v>47</v>
      </c>
    </row>
    <row r="26" spans="1:8" x14ac:dyDescent="0.3">
      <c r="A26" s="10" t="s">
        <v>48</v>
      </c>
      <c r="B26" s="24">
        <v>1</v>
      </c>
      <c r="C26" s="25">
        <v>300</v>
      </c>
      <c r="D26" s="14"/>
      <c r="E26" s="24">
        <v>10</v>
      </c>
      <c r="F26" s="14"/>
      <c r="G26" s="14"/>
      <c r="H26" s="3" t="s">
        <v>49</v>
      </c>
    </row>
    <row r="27" spans="1:8" x14ac:dyDescent="0.3">
      <c r="A27" s="19" t="s">
        <v>50</v>
      </c>
      <c r="B27" s="20"/>
      <c r="C27" s="20"/>
      <c r="D27" s="32"/>
      <c r="E27" s="20"/>
      <c r="F27" s="32"/>
      <c r="G27" s="33"/>
    </row>
    <row r="29" spans="1:8" ht="19.5" customHeight="1" x14ac:dyDescent="0.3">
      <c r="A29" s="2" t="s">
        <v>51</v>
      </c>
    </row>
    <row r="30" spans="1:8" ht="30" customHeight="1" x14ac:dyDescent="0.3">
      <c r="A30" s="9" t="s">
        <v>52</v>
      </c>
      <c r="B30" s="9" t="s">
        <v>37</v>
      </c>
      <c r="C30" s="9" t="s">
        <v>53</v>
      </c>
      <c r="D30" s="9" t="s">
        <v>54</v>
      </c>
      <c r="E30" s="9" t="s">
        <v>55</v>
      </c>
      <c r="F30" s="9" t="s">
        <v>56</v>
      </c>
      <c r="G30" s="9" t="s">
        <v>57</v>
      </c>
      <c r="H30" s="23" t="s">
        <v>58</v>
      </c>
    </row>
    <row r="31" spans="1:8" ht="22.8" x14ac:dyDescent="0.3">
      <c r="A31" s="10" t="s">
        <v>59</v>
      </c>
      <c r="B31" s="24">
        <v>1</v>
      </c>
      <c r="C31" s="25">
        <v>1300</v>
      </c>
      <c r="D31" s="41">
        <v>0.3</v>
      </c>
      <c r="E31" s="26">
        <f>C31*D31</f>
        <v>390</v>
      </c>
      <c r="F31" s="14">
        <f>+E31+C31</f>
        <v>1690</v>
      </c>
      <c r="G31" s="14">
        <f>+F31+D31</f>
        <v>1690.3</v>
      </c>
      <c r="H31" s="34" t="s">
        <v>60</v>
      </c>
    </row>
    <row r="32" spans="1:8" x14ac:dyDescent="0.3">
      <c r="A32" s="19" t="s">
        <v>61</v>
      </c>
      <c r="B32" s="20"/>
      <c r="C32" s="20"/>
      <c r="D32" s="20"/>
      <c r="E32" s="20"/>
      <c r="F32" s="32">
        <f>SUM(F31:F31)</f>
        <v>1690</v>
      </c>
      <c r="G32" s="32">
        <f>SUM(G31:G31)</f>
        <v>1690.3</v>
      </c>
    </row>
    <row r="33" spans="1:4" x14ac:dyDescent="0.3">
      <c r="A33" s="35" t="s">
        <v>62</v>
      </c>
    </row>
    <row r="35" spans="1:4" ht="19.5" customHeight="1" x14ac:dyDescent="0.3">
      <c r="A35" s="2" t="s">
        <v>63</v>
      </c>
    </row>
    <row r="36" spans="1:4" x14ac:dyDescent="0.3">
      <c r="A36" s="9" t="s">
        <v>64</v>
      </c>
      <c r="B36" s="9" t="s">
        <v>65</v>
      </c>
      <c r="C36" s="9" t="s">
        <v>66</v>
      </c>
      <c r="D36" s="23" t="s">
        <v>43</v>
      </c>
    </row>
    <row r="37" spans="1:4" x14ac:dyDescent="0.3">
      <c r="A37" s="10" t="s">
        <v>67</v>
      </c>
      <c r="B37" s="36" t="s">
        <v>68</v>
      </c>
      <c r="C37" s="13">
        <v>1500</v>
      </c>
      <c r="D37" s="3" t="s">
        <v>69</v>
      </c>
    </row>
    <row r="38" spans="1:4" x14ac:dyDescent="0.3">
      <c r="A38" s="15" t="s">
        <v>70</v>
      </c>
      <c r="B38" s="37" t="s">
        <v>71</v>
      </c>
      <c r="C38" s="18">
        <v>20</v>
      </c>
      <c r="D38" s="3" t="s">
        <v>72</v>
      </c>
    </row>
    <row r="39" spans="1:4" x14ac:dyDescent="0.3">
      <c r="A39" s="10" t="s">
        <v>73</v>
      </c>
      <c r="B39" s="36" t="s">
        <v>71</v>
      </c>
      <c r="C39" s="13">
        <v>50</v>
      </c>
      <c r="D39" s="3" t="s">
        <v>74</v>
      </c>
    </row>
    <row r="40" spans="1:4" x14ac:dyDescent="0.3">
      <c r="A40" s="15" t="s">
        <v>75</v>
      </c>
      <c r="B40" s="37" t="s">
        <v>76</v>
      </c>
      <c r="C40" s="18">
        <v>16</v>
      </c>
      <c r="D40" s="3" t="s">
        <v>77</v>
      </c>
    </row>
    <row r="41" spans="1:4" x14ac:dyDescent="0.3">
      <c r="A41" s="10" t="s">
        <v>78</v>
      </c>
      <c r="B41" s="36" t="s">
        <v>71</v>
      </c>
      <c r="C41" s="13">
        <v>50</v>
      </c>
      <c r="D41" s="3" t="s">
        <v>79</v>
      </c>
    </row>
    <row r="42" spans="1:4" x14ac:dyDescent="0.3">
      <c r="A42" s="15" t="s">
        <v>80</v>
      </c>
      <c r="B42" s="37" t="s">
        <v>71</v>
      </c>
      <c r="C42" s="14"/>
      <c r="D42" s="3" t="s">
        <v>81</v>
      </c>
    </row>
    <row r="43" spans="1:4" x14ac:dyDescent="0.3">
      <c r="A43" s="19" t="s">
        <v>82</v>
      </c>
      <c r="B43" s="20"/>
      <c r="C43" s="3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showGridLines="0" topLeftCell="A40" zoomScaleNormal="100" workbookViewId="0">
      <selection activeCell="B54" sqref="B54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8" ht="25.5" customHeight="1" x14ac:dyDescent="0.3">
      <c r="A1" s="1" t="s">
        <v>90</v>
      </c>
    </row>
    <row r="2" spans="1:8" ht="15.75" customHeight="1" x14ac:dyDescent="0.3">
      <c r="A2" s="3" t="s">
        <v>91</v>
      </c>
    </row>
    <row r="4" spans="1:8" ht="19.5" customHeight="1" x14ac:dyDescent="0.3">
      <c r="A4" s="2" t="s">
        <v>9</v>
      </c>
    </row>
    <row r="5" spans="1:8" ht="43.5" customHeight="1" x14ac:dyDescent="0.3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</row>
    <row r="6" spans="1:8" x14ac:dyDescent="0.3">
      <c r="A6" s="10" t="s">
        <v>92</v>
      </c>
      <c r="B6" s="11" t="s">
        <v>93</v>
      </c>
      <c r="C6" s="12">
        <v>50</v>
      </c>
      <c r="D6" s="11" t="s">
        <v>94</v>
      </c>
      <c r="E6" s="13">
        <v>600</v>
      </c>
      <c r="F6" s="14"/>
      <c r="G6" s="14"/>
      <c r="H6" s="3" t="s">
        <v>95</v>
      </c>
    </row>
    <row r="7" spans="1:8" x14ac:dyDescent="0.3">
      <c r="A7" s="15" t="s">
        <v>96</v>
      </c>
      <c r="B7" s="16" t="s">
        <v>93</v>
      </c>
      <c r="C7" s="17">
        <v>100</v>
      </c>
      <c r="D7" s="16" t="s">
        <v>94</v>
      </c>
      <c r="E7" s="18">
        <v>150</v>
      </c>
      <c r="F7" s="14"/>
      <c r="G7" s="14"/>
      <c r="H7" s="3" t="s">
        <v>20</v>
      </c>
    </row>
    <row r="8" spans="1:8" x14ac:dyDescent="0.3">
      <c r="A8" s="10" t="s">
        <v>97</v>
      </c>
      <c r="B8" s="11" t="s">
        <v>98</v>
      </c>
      <c r="C8" s="12">
        <v>5000</v>
      </c>
      <c r="D8" s="11" t="s">
        <v>94</v>
      </c>
      <c r="E8" s="13">
        <v>12</v>
      </c>
      <c r="F8" s="14"/>
      <c r="G8" s="14"/>
      <c r="H8" s="3" t="s">
        <v>20</v>
      </c>
    </row>
    <row r="9" spans="1:8" x14ac:dyDescent="0.3">
      <c r="A9" s="15" t="s">
        <v>99</v>
      </c>
      <c r="B9" s="16" t="s">
        <v>18</v>
      </c>
      <c r="C9" s="17">
        <v>144</v>
      </c>
      <c r="D9" s="16" t="s">
        <v>27</v>
      </c>
      <c r="E9" s="18">
        <v>36</v>
      </c>
      <c r="F9" s="14"/>
      <c r="G9" s="14"/>
      <c r="H9" s="3" t="s">
        <v>100</v>
      </c>
    </row>
    <row r="10" spans="1:8" x14ac:dyDescent="0.3">
      <c r="A10" s="10" t="s">
        <v>101</v>
      </c>
      <c r="B10" s="11" t="s">
        <v>26</v>
      </c>
      <c r="C10" s="12">
        <v>1000</v>
      </c>
      <c r="D10" s="11" t="s">
        <v>27</v>
      </c>
      <c r="E10" s="13">
        <v>300</v>
      </c>
      <c r="F10" s="14"/>
      <c r="G10" s="14"/>
      <c r="H10" s="3" t="s">
        <v>20</v>
      </c>
    </row>
    <row r="11" spans="1:8" x14ac:dyDescent="0.3">
      <c r="A11" s="15" t="s">
        <v>102</v>
      </c>
      <c r="B11" s="16" t="s">
        <v>26</v>
      </c>
      <c r="C11" s="17">
        <v>1000</v>
      </c>
      <c r="D11" s="16" t="s">
        <v>27</v>
      </c>
      <c r="E11" s="18">
        <v>120</v>
      </c>
      <c r="F11" s="14"/>
      <c r="G11" s="14"/>
      <c r="H11" s="3" t="s">
        <v>103</v>
      </c>
    </row>
    <row r="13" spans="1:8" ht="19.5" customHeight="1" x14ac:dyDescent="0.3">
      <c r="A13" s="2" t="s">
        <v>28</v>
      </c>
    </row>
    <row r="14" spans="1:8" ht="31.5" customHeight="1" x14ac:dyDescent="0.3">
      <c r="A14" s="9" t="s">
        <v>10</v>
      </c>
      <c r="B14" s="9" t="s">
        <v>29</v>
      </c>
      <c r="C14" s="9" t="s">
        <v>13</v>
      </c>
      <c r="D14" s="9" t="s">
        <v>30</v>
      </c>
    </row>
    <row r="15" spans="1:8" x14ac:dyDescent="0.3">
      <c r="A15" s="10" t="s">
        <v>92</v>
      </c>
      <c r="B15" s="12">
        <v>2.5</v>
      </c>
      <c r="C15" s="11" t="s">
        <v>94</v>
      </c>
      <c r="D15" s="14"/>
    </row>
    <row r="16" spans="1:8" x14ac:dyDescent="0.3">
      <c r="A16" s="15" t="s">
        <v>96</v>
      </c>
      <c r="B16" s="17">
        <v>1</v>
      </c>
      <c r="C16" s="16" t="s">
        <v>94</v>
      </c>
      <c r="D16" s="14"/>
    </row>
    <row r="17" spans="1:8" x14ac:dyDescent="0.3">
      <c r="A17" s="10" t="s">
        <v>97</v>
      </c>
      <c r="B17" s="12">
        <v>10</v>
      </c>
      <c r="C17" s="11" t="s">
        <v>94</v>
      </c>
      <c r="D17" s="14"/>
    </row>
    <row r="18" spans="1:8" x14ac:dyDescent="0.3">
      <c r="A18" s="15" t="s">
        <v>99</v>
      </c>
      <c r="B18" s="17">
        <v>4</v>
      </c>
      <c r="C18" s="16" t="s">
        <v>27</v>
      </c>
      <c r="D18" s="14"/>
    </row>
    <row r="19" spans="1:8" x14ac:dyDescent="0.3">
      <c r="A19" s="10" t="s">
        <v>101</v>
      </c>
      <c r="B19" s="12">
        <v>1</v>
      </c>
      <c r="C19" s="11" t="s">
        <v>27</v>
      </c>
      <c r="D19" s="14"/>
    </row>
    <row r="20" spans="1:8" x14ac:dyDescent="0.3">
      <c r="A20" s="15" t="s">
        <v>102</v>
      </c>
      <c r="B20" s="17">
        <v>1</v>
      </c>
      <c r="C20" s="16" t="s">
        <v>27</v>
      </c>
      <c r="D20" s="14"/>
    </row>
    <row r="21" spans="1:8" x14ac:dyDescent="0.3">
      <c r="A21" s="19" t="s">
        <v>31</v>
      </c>
      <c r="B21" s="20"/>
      <c r="C21" s="20"/>
      <c r="D21" s="21"/>
    </row>
    <row r="23" spans="1:8" x14ac:dyDescent="0.3">
      <c r="A23" s="22" t="s">
        <v>211</v>
      </c>
    </row>
    <row r="24" spans="1:8" x14ac:dyDescent="0.3">
      <c r="A24" s="3" t="s">
        <v>32</v>
      </c>
    </row>
    <row r="25" spans="1:8" x14ac:dyDescent="0.3">
      <c r="A25" s="3" t="s">
        <v>33</v>
      </c>
    </row>
    <row r="26" spans="1:8" x14ac:dyDescent="0.3">
      <c r="A26" s="3" t="s">
        <v>34</v>
      </c>
    </row>
    <row r="28" spans="1:8" ht="19.5" customHeight="1" x14ac:dyDescent="0.3">
      <c r="A28" s="2" t="s">
        <v>35</v>
      </c>
    </row>
    <row r="29" spans="1:8" ht="30" customHeight="1" x14ac:dyDescent="0.3">
      <c r="A29" s="9" t="s">
        <v>36</v>
      </c>
      <c r="B29" s="9" t="s">
        <v>37</v>
      </c>
      <c r="C29" s="9" t="s">
        <v>38</v>
      </c>
      <c r="D29" s="9" t="s">
        <v>39</v>
      </c>
      <c r="E29" s="9" t="s">
        <v>40</v>
      </c>
      <c r="F29" s="9" t="s">
        <v>41</v>
      </c>
      <c r="G29" s="9" t="s">
        <v>42</v>
      </c>
      <c r="H29" s="23" t="s">
        <v>43</v>
      </c>
    </row>
    <row r="30" spans="1:8" x14ac:dyDescent="0.3">
      <c r="A30" s="10" t="s">
        <v>104</v>
      </c>
      <c r="B30" s="24">
        <v>1</v>
      </c>
      <c r="C30" s="25">
        <v>789</v>
      </c>
      <c r="D30" s="14"/>
      <c r="E30" s="24">
        <v>5</v>
      </c>
      <c r="F30" s="14"/>
      <c r="G30" s="14"/>
      <c r="H30" s="3" t="s">
        <v>105</v>
      </c>
    </row>
    <row r="31" spans="1:8" x14ac:dyDescent="0.3">
      <c r="A31" s="15" t="s">
        <v>106</v>
      </c>
      <c r="B31" s="28">
        <v>1</v>
      </c>
      <c r="C31" s="29">
        <v>1000</v>
      </c>
      <c r="D31" s="14"/>
      <c r="E31" s="28">
        <v>5</v>
      </c>
      <c r="F31" s="14"/>
      <c r="G31" s="14"/>
      <c r="H31" s="3" t="s">
        <v>107</v>
      </c>
    </row>
    <row r="32" spans="1:8" x14ac:dyDescent="0.3">
      <c r="A32" s="10" t="s">
        <v>108</v>
      </c>
      <c r="B32" s="24">
        <v>1</v>
      </c>
      <c r="C32" s="25">
        <v>200</v>
      </c>
      <c r="D32" s="14"/>
      <c r="E32" s="24">
        <v>10</v>
      </c>
      <c r="F32" s="14"/>
      <c r="G32" s="14"/>
      <c r="H32" s="3" t="s">
        <v>49</v>
      </c>
    </row>
    <row r="33" spans="1:8" x14ac:dyDescent="0.3">
      <c r="A33" s="15" t="s">
        <v>109</v>
      </c>
      <c r="B33" s="28">
        <v>1</v>
      </c>
      <c r="C33" s="29">
        <v>200</v>
      </c>
      <c r="D33" s="14"/>
      <c r="E33" s="28">
        <v>10</v>
      </c>
      <c r="F33" s="14"/>
      <c r="G33" s="14"/>
      <c r="H33" s="3" t="s">
        <v>49</v>
      </c>
    </row>
    <row r="34" spans="1:8" x14ac:dyDescent="0.3">
      <c r="A34" s="10" t="s">
        <v>110</v>
      </c>
      <c r="B34" s="24">
        <v>1</v>
      </c>
      <c r="C34" s="25">
        <v>100</v>
      </c>
      <c r="D34" s="14"/>
      <c r="E34" s="24">
        <v>10</v>
      </c>
      <c r="F34" s="14"/>
      <c r="G34" s="14"/>
      <c r="H34" s="3" t="s">
        <v>49</v>
      </c>
    </row>
    <row r="35" spans="1:8" x14ac:dyDescent="0.3">
      <c r="A35" s="19" t="s">
        <v>50</v>
      </c>
      <c r="B35" s="20"/>
      <c r="C35" s="20"/>
      <c r="D35" s="32"/>
      <c r="E35" s="20"/>
      <c r="F35" s="32"/>
      <c r="G35" s="33"/>
    </row>
    <row r="37" spans="1:8" ht="19.5" customHeight="1" x14ac:dyDescent="0.3">
      <c r="A37" s="2" t="s">
        <v>51</v>
      </c>
    </row>
    <row r="38" spans="1:8" ht="30" customHeight="1" x14ac:dyDescent="0.3">
      <c r="A38" s="9" t="s">
        <v>52</v>
      </c>
      <c r="B38" s="9" t="s">
        <v>37</v>
      </c>
      <c r="C38" s="9" t="s">
        <v>53</v>
      </c>
      <c r="D38" s="9" t="s">
        <v>54</v>
      </c>
      <c r="E38" s="9" t="s">
        <v>55</v>
      </c>
      <c r="F38" s="9" t="s">
        <v>56</v>
      </c>
      <c r="G38" s="9" t="s">
        <v>57</v>
      </c>
      <c r="H38" s="23" t="s">
        <v>58</v>
      </c>
    </row>
    <row r="39" spans="1:8" ht="22.8" x14ac:dyDescent="0.3">
      <c r="A39" s="10" t="s">
        <v>111</v>
      </c>
      <c r="B39" s="24">
        <v>1</v>
      </c>
      <c r="C39" s="25">
        <v>1300</v>
      </c>
      <c r="D39" s="41">
        <v>0.3</v>
      </c>
      <c r="E39" s="14"/>
      <c r="F39" s="14"/>
      <c r="G39" s="14"/>
      <c r="H39" s="34" t="s">
        <v>112</v>
      </c>
    </row>
    <row r="40" spans="1:8" x14ac:dyDescent="0.3">
      <c r="A40" s="15" t="s">
        <v>113</v>
      </c>
      <c r="B40" s="28">
        <v>1</v>
      </c>
      <c r="C40" s="29">
        <v>1300</v>
      </c>
      <c r="D40" s="41">
        <v>0.3</v>
      </c>
      <c r="E40" s="14"/>
      <c r="F40" s="14"/>
      <c r="G40" s="14"/>
      <c r="H40" s="34" t="s">
        <v>114</v>
      </c>
    </row>
    <row r="41" spans="1:8" x14ac:dyDescent="0.3">
      <c r="A41" s="19" t="s">
        <v>61</v>
      </c>
      <c r="B41" s="20"/>
      <c r="C41" s="20"/>
      <c r="D41" s="20"/>
      <c r="E41" s="20"/>
      <c r="F41" s="32"/>
      <c r="G41" s="32"/>
    </row>
    <row r="42" spans="1:8" x14ac:dyDescent="0.3">
      <c r="A42" s="35" t="s">
        <v>62</v>
      </c>
    </row>
    <row r="44" spans="1:8" ht="19.5" customHeight="1" x14ac:dyDescent="0.3">
      <c r="A44" s="2" t="s">
        <v>63</v>
      </c>
    </row>
    <row r="45" spans="1:8" x14ac:dyDescent="0.3">
      <c r="A45" s="9" t="s">
        <v>64</v>
      </c>
      <c r="B45" s="9" t="s">
        <v>65</v>
      </c>
      <c r="C45" s="9" t="s">
        <v>66</v>
      </c>
      <c r="D45" s="23" t="s">
        <v>43</v>
      </c>
    </row>
    <row r="46" spans="1:8" x14ac:dyDescent="0.3">
      <c r="A46" s="10" t="s">
        <v>115</v>
      </c>
      <c r="B46" s="36" t="s">
        <v>116</v>
      </c>
      <c r="C46" s="13">
        <v>900</v>
      </c>
      <c r="D46" s="3" t="s">
        <v>69</v>
      </c>
    </row>
    <row r="47" spans="1:8" x14ac:dyDescent="0.3">
      <c r="A47" s="15" t="s">
        <v>117</v>
      </c>
      <c r="B47" s="37" t="s">
        <v>71</v>
      </c>
      <c r="C47" s="18">
        <v>45</v>
      </c>
      <c r="D47" s="3" t="s">
        <v>118</v>
      </c>
    </row>
    <row r="48" spans="1:8" x14ac:dyDescent="0.3">
      <c r="A48" s="10" t="s">
        <v>119</v>
      </c>
      <c r="B48" s="36" t="s">
        <v>71</v>
      </c>
      <c r="C48" s="13">
        <v>30</v>
      </c>
      <c r="D48" s="3" t="s">
        <v>49</v>
      </c>
    </row>
    <row r="49" spans="1:4" x14ac:dyDescent="0.3">
      <c r="A49" s="15" t="s">
        <v>120</v>
      </c>
      <c r="B49" s="37" t="s">
        <v>71</v>
      </c>
      <c r="C49" s="18">
        <v>100</v>
      </c>
      <c r="D49" s="3" t="s">
        <v>121</v>
      </c>
    </row>
    <row r="50" spans="1:4" x14ac:dyDescent="0.3">
      <c r="A50" s="10" t="s">
        <v>122</v>
      </c>
      <c r="B50" s="36" t="s">
        <v>71</v>
      </c>
      <c r="C50" s="13">
        <v>50</v>
      </c>
      <c r="D50" s="3" t="s">
        <v>123</v>
      </c>
    </row>
    <row r="51" spans="1:4" x14ac:dyDescent="0.3">
      <c r="A51" s="15" t="s">
        <v>80</v>
      </c>
      <c r="B51" s="37"/>
      <c r="C51" s="14"/>
      <c r="D51" s="3" t="s">
        <v>81</v>
      </c>
    </row>
    <row r="52" spans="1:4" x14ac:dyDescent="0.3">
      <c r="A52" s="19" t="s">
        <v>82</v>
      </c>
      <c r="B52" s="20"/>
      <c r="C52" s="3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showGridLines="0" topLeftCell="A17" zoomScaleNormal="100" workbookViewId="0">
      <selection activeCell="A39" sqref="A39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2" ht="25.5" customHeight="1" x14ac:dyDescent="0.3">
      <c r="A1" s="1" t="s">
        <v>124</v>
      </c>
    </row>
    <row r="2" spans="1:2" ht="15.75" customHeight="1" x14ac:dyDescent="0.3">
      <c r="A2" s="3" t="s">
        <v>125</v>
      </c>
    </row>
    <row r="4" spans="1:2" ht="19.5" customHeight="1" x14ac:dyDescent="0.3">
      <c r="A4" s="2" t="s">
        <v>2</v>
      </c>
    </row>
    <row r="5" spans="1:2" x14ac:dyDescent="0.3">
      <c r="A5" s="4" t="s">
        <v>3</v>
      </c>
      <c r="B5" s="5">
        <v>300</v>
      </c>
    </row>
    <row r="6" spans="1:2" x14ac:dyDescent="0.3">
      <c r="A6" s="4" t="s">
        <v>4</v>
      </c>
      <c r="B6" s="7">
        <f>B16</f>
        <v>0</v>
      </c>
    </row>
    <row r="7" spans="1:2" x14ac:dyDescent="0.3">
      <c r="A7" s="4" t="s">
        <v>5</v>
      </c>
      <c r="B7" s="6">
        <f>D24</f>
        <v>8200</v>
      </c>
    </row>
    <row r="8" spans="1:2" x14ac:dyDescent="0.3">
      <c r="A8" s="4" t="s">
        <v>6</v>
      </c>
      <c r="B8" s="7">
        <f>G24</f>
        <v>101.66666666666666</v>
      </c>
    </row>
    <row r="9" spans="1:2" x14ac:dyDescent="0.3">
      <c r="A9" s="4" t="s">
        <v>126</v>
      </c>
      <c r="B9" s="6">
        <f>F29</f>
        <v>400</v>
      </c>
    </row>
    <row r="10" spans="1:2" x14ac:dyDescent="0.3">
      <c r="A10" s="4" t="s">
        <v>127</v>
      </c>
      <c r="B10" s="7">
        <f>C37</f>
        <v>291.66666666666669</v>
      </c>
    </row>
    <row r="11" spans="1:2" x14ac:dyDescent="0.3">
      <c r="A11" s="4" t="s">
        <v>7</v>
      </c>
      <c r="B11" s="7">
        <f>B43</f>
        <v>0</v>
      </c>
    </row>
    <row r="12" spans="1:2" x14ac:dyDescent="0.3">
      <c r="A12" s="4" t="s">
        <v>8</v>
      </c>
      <c r="B12" s="7">
        <f>B49</f>
        <v>100</v>
      </c>
    </row>
    <row r="14" spans="1:2" ht="19.5" customHeight="1" x14ac:dyDescent="0.3">
      <c r="A14" s="2" t="s">
        <v>128</v>
      </c>
    </row>
    <row r="15" spans="1:2" x14ac:dyDescent="0.3">
      <c r="A15" s="39" t="s">
        <v>129</v>
      </c>
    </row>
    <row r="16" spans="1:2" x14ac:dyDescent="0.3">
      <c r="A16" s="19" t="s">
        <v>130</v>
      </c>
      <c r="B16" s="33">
        <v>0</v>
      </c>
    </row>
    <row r="18" spans="1:8" ht="19.5" customHeight="1" x14ac:dyDescent="0.3">
      <c r="A18" s="2" t="s">
        <v>35</v>
      </c>
    </row>
    <row r="19" spans="1:8" ht="30" customHeight="1" x14ac:dyDescent="0.3">
      <c r="A19" s="9" t="s">
        <v>36</v>
      </c>
      <c r="B19" s="9" t="s">
        <v>37</v>
      </c>
      <c r="C19" s="9" t="s">
        <v>38</v>
      </c>
      <c r="D19" s="9" t="s">
        <v>39</v>
      </c>
      <c r="E19" s="9" t="s">
        <v>40</v>
      </c>
      <c r="F19" s="9" t="s">
        <v>41</v>
      </c>
      <c r="G19" s="9" t="s">
        <v>42</v>
      </c>
      <c r="H19" s="23" t="s">
        <v>43</v>
      </c>
    </row>
    <row r="20" spans="1:8" x14ac:dyDescent="0.3">
      <c r="A20" s="10" t="s">
        <v>131</v>
      </c>
      <c r="B20" s="24">
        <v>1</v>
      </c>
      <c r="C20" s="25">
        <v>1000</v>
      </c>
      <c r="D20" s="26">
        <f>B20*C20</f>
        <v>1000</v>
      </c>
      <c r="E20" s="24">
        <v>5</v>
      </c>
      <c r="F20" s="26">
        <f>IFERROR(D20/E20,0)</f>
        <v>200</v>
      </c>
      <c r="G20" s="27">
        <f>F20/12</f>
        <v>16.666666666666668</v>
      </c>
      <c r="H20" s="3" t="s">
        <v>49</v>
      </c>
    </row>
    <row r="21" spans="1:8" x14ac:dyDescent="0.3">
      <c r="A21" s="15" t="s">
        <v>132</v>
      </c>
      <c r="B21" s="28">
        <v>1</v>
      </c>
      <c r="C21" s="29">
        <v>2000</v>
      </c>
      <c r="D21" s="30">
        <f>B21*C21</f>
        <v>2000</v>
      </c>
      <c r="E21" s="28">
        <v>4</v>
      </c>
      <c r="F21" s="30">
        <f>IFERROR(D21/E21,0)</f>
        <v>500</v>
      </c>
      <c r="G21" s="31">
        <f>F21/12</f>
        <v>41.666666666666664</v>
      </c>
      <c r="H21" s="3" t="s">
        <v>49</v>
      </c>
    </row>
    <row r="22" spans="1:8" x14ac:dyDescent="0.3">
      <c r="A22" s="10" t="s">
        <v>133</v>
      </c>
      <c r="B22" s="24">
        <v>1</v>
      </c>
      <c r="C22" s="25">
        <v>200</v>
      </c>
      <c r="D22" s="26">
        <f>B22*C22</f>
        <v>200</v>
      </c>
      <c r="E22" s="24">
        <v>10</v>
      </c>
      <c r="F22" s="26">
        <f>IFERROR(D22/E22,0)</f>
        <v>20</v>
      </c>
      <c r="G22" s="27">
        <f>F22/12</f>
        <v>1.6666666666666667</v>
      </c>
      <c r="H22" s="3" t="s">
        <v>49</v>
      </c>
    </row>
    <row r="23" spans="1:8" x14ac:dyDescent="0.3">
      <c r="A23" s="15" t="s">
        <v>134</v>
      </c>
      <c r="B23" s="28">
        <v>1</v>
      </c>
      <c r="C23" s="29">
        <v>5000</v>
      </c>
      <c r="D23" s="30">
        <f>B23*C23</f>
        <v>5000</v>
      </c>
      <c r="E23" s="28">
        <v>10</v>
      </c>
      <c r="F23" s="30">
        <f>IFERROR(D23/E23,0)</f>
        <v>500</v>
      </c>
      <c r="G23" s="31">
        <f>F23/12</f>
        <v>41.666666666666664</v>
      </c>
      <c r="H23" s="3" t="s">
        <v>49</v>
      </c>
    </row>
    <row r="24" spans="1:8" x14ac:dyDescent="0.3">
      <c r="A24" s="19" t="s">
        <v>50</v>
      </c>
      <c r="B24" s="20"/>
      <c r="C24" s="20"/>
      <c r="D24" s="32">
        <f>SUM(D20:D23)</f>
        <v>8200</v>
      </c>
      <c r="E24" s="20"/>
      <c r="F24" s="32">
        <f>SUM(F20:F23)</f>
        <v>1220</v>
      </c>
      <c r="G24" s="33">
        <f>SUM(G20:G23)</f>
        <v>101.66666666666666</v>
      </c>
    </row>
    <row r="26" spans="1:8" ht="19.5" customHeight="1" x14ac:dyDescent="0.3">
      <c r="A26" s="2" t="s">
        <v>135</v>
      </c>
    </row>
    <row r="27" spans="1:8" ht="30" customHeight="1" x14ac:dyDescent="0.3">
      <c r="A27" s="9" t="s">
        <v>52</v>
      </c>
      <c r="B27" s="9" t="s">
        <v>37</v>
      </c>
      <c r="C27" s="9" t="s">
        <v>53</v>
      </c>
      <c r="D27" s="9" t="s">
        <v>54</v>
      </c>
      <c r="E27" s="9" t="s">
        <v>55</v>
      </c>
      <c r="F27" s="9" t="s">
        <v>56</v>
      </c>
      <c r="G27" s="9" t="s">
        <v>57</v>
      </c>
      <c r="H27" s="23" t="s">
        <v>58</v>
      </c>
    </row>
    <row r="28" spans="1:8" ht="22.8" x14ac:dyDescent="0.3">
      <c r="A28" s="10" t="s">
        <v>136</v>
      </c>
      <c r="B28" s="24">
        <v>1</v>
      </c>
      <c r="C28" s="25">
        <v>400</v>
      </c>
      <c r="D28" s="8">
        <v>0</v>
      </c>
      <c r="E28" s="26">
        <f>C28*D28</f>
        <v>0</v>
      </c>
      <c r="F28" s="26">
        <f>(C28+E28)*B28</f>
        <v>400</v>
      </c>
      <c r="G28" s="26">
        <f>F28*12</f>
        <v>4800</v>
      </c>
      <c r="H28" s="34" t="s">
        <v>137</v>
      </c>
    </row>
    <row r="29" spans="1:8" x14ac:dyDescent="0.3">
      <c r="A29" s="19" t="s">
        <v>61</v>
      </c>
      <c r="B29" s="20"/>
      <c r="C29" s="20"/>
      <c r="D29" s="20"/>
      <c r="E29" s="20"/>
      <c r="F29" s="32">
        <f>SUM(F28:F28)</f>
        <v>400</v>
      </c>
      <c r="G29" s="32">
        <f>SUM(G28:G28)</f>
        <v>4800</v>
      </c>
    </row>
    <row r="30" spans="1:8" x14ac:dyDescent="0.3">
      <c r="A30" s="35" t="s">
        <v>62</v>
      </c>
    </row>
    <row r="32" spans="1:8" ht="19.5" customHeight="1" x14ac:dyDescent="0.3">
      <c r="A32" s="2" t="s">
        <v>138</v>
      </c>
    </row>
    <row r="33" spans="1:4" x14ac:dyDescent="0.3">
      <c r="A33" s="9" t="s">
        <v>64</v>
      </c>
      <c r="B33" s="9" t="s">
        <v>65</v>
      </c>
      <c r="C33" s="9" t="s">
        <v>66</v>
      </c>
      <c r="D33" s="23" t="s">
        <v>43</v>
      </c>
    </row>
    <row r="34" spans="1:4" x14ac:dyDescent="0.3">
      <c r="A34" s="10" t="s">
        <v>139</v>
      </c>
      <c r="B34" s="36" t="s">
        <v>140</v>
      </c>
      <c r="C34" s="13">
        <v>180</v>
      </c>
      <c r="D34" s="3" t="s">
        <v>141</v>
      </c>
    </row>
    <row r="35" spans="1:4" x14ac:dyDescent="0.3">
      <c r="A35" s="15" t="s">
        <v>142</v>
      </c>
      <c r="B35" s="37" t="s">
        <v>143</v>
      </c>
      <c r="C35" s="18">
        <v>10</v>
      </c>
      <c r="D35" s="3" t="s">
        <v>49</v>
      </c>
    </row>
    <row r="36" spans="1:4" x14ac:dyDescent="0.3">
      <c r="A36" s="10" t="s">
        <v>80</v>
      </c>
      <c r="B36" s="36"/>
      <c r="C36" s="40">
        <f>F24/12</f>
        <v>101.66666666666667</v>
      </c>
      <c r="D36" s="3" t="s">
        <v>144</v>
      </c>
    </row>
    <row r="37" spans="1:4" x14ac:dyDescent="0.3">
      <c r="A37" s="19" t="s">
        <v>82</v>
      </c>
      <c r="B37" s="20"/>
      <c r="C37" s="33">
        <f>SUM(C34:C36)</f>
        <v>291.66666666666669</v>
      </c>
    </row>
    <row r="39" spans="1:4" ht="19.5" customHeight="1" x14ac:dyDescent="0.3">
      <c r="A39" s="2" t="s">
        <v>83</v>
      </c>
    </row>
    <row r="40" spans="1:4" x14ac:dyDescent="0.3">
      <c r="A40" s="9" t="s">
        <v>64</v>
      </c>
      <c r="B40" s="9" t="s">
        <v>66</v>
      </c>
      <c r="C40" s="23" t="s">
        <v>43</v>
      </c>
    </row>
    <row r="41" spans="1:4" x14ac:dyDescent="0.3">
      <c r="A41" s="10" t="s">
        <v>84</v>
      </c>
      <c r="B41" s="38">
        <v>0</v>
      </c>
      <c r="C41" s="3" t="s">
        <v>85</v>
      </c>
    </row>
    <row r="42" spans="1:4" x14ac:dyDescent="0.3">
      <c r="A42" s="15" t="s">
        <v>145</v>
      </c>
      <c r="B42" s="38">
        <v>0</v>
      </c>
      <c r="C42" s="3" t="s">
        <v>85</v>
      </c>
    </row>
    <row r="43" spans="1:4" x14ac:dyDescent="0.3">
      <c r="A43" s="19" t="s">
        <v>86</v>
      </c>
      <c r="B43" s="33">
        <f>SUM(B41:B42)</f>
        <v>0</v>
      </c>
    </row>
    <row r="45" spans="1:4" ht="19.5" customHeight="1" x14ac:dyDescent="0.3">
      <c r="A45" s="2" t="s">
        <v>87</v>
      </c>
    </row>
    <row r="46" spans="1:4" x14ac:dyDescent="0.3">
      <c r="A46" s="9" t="s">
        <v>64</v>
      </c>
      <c r="B46" s="9" t="s">
        <v>66</v>
      </c>
      <c r="C46" s="23" t="s">
        <v>43</v>
      </c>
    </row>
    <row r="47" spans="1:4" x14ac:dyDescent="0.3">
      <c r="A47" s="10" t="s">
        <v>88</v>
      </c>
      <c r="B47" s="13">
        <v>100</v>
      </c>
      <c r="C47" s="3" t="s">
        <v>146</v>
      </c>
    </row>
    <row r="48" spans="1:4" x14ac:dyDescent="0.3">
      <c r="A48" s="15" t="s">
        <v>147</v>
      </c>
      <c r="B48" s="38">
        <v>0</v>
      </c>
      <c r="C48" s="3" t="s">
        <v>85</v>
      </c>
    </row>
    <row r="49" spans="1:2" x14ac:dyDescent="0.3">
      <c r="A49" s="19" t="s">
        <v>89</v>
      </c>
      <c r="B49" s="33">
        <f>SUM(B47:B48)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showGridLines="0" topLeftCell="A28" zoomScaleNormal="100" workbookViewId="0">
      <selection activeCell="E50" sqref="E50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8" ht="25.5" customHeight="1" x14ac:dyDescent="0.3">
      <c r="A1" s="1" t="s">
        <v>150</v>
      </c>
    </row>
    <row r="2" spans="1:8" ht="15.75" customHeight="1" x14ac:dyDescent="0.3">
      <c r="A2" s="3" t="s">
        <v>151</v>
      </c>
    </row>
    <row r="4" spans="1:8" ht="19.5" customHeight="1" x14ac:dyDescent="0.3">
      <c r="A4" s="2" t="s">
        <v>9</v>
      </c>
    </row>
    <row r="5" spans="1:8" ht="43.5" customHeight="1" x14ac:dyDescent="0.3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</row>
    <row r="6" spans="1:8" x14ac:dyDescent="0.3">
      <c r="A6" s="10" t="s">
        <v>152</v>
      </c>
      <c r="B6" s="11" t="s">
        <v>103</v>
      </c>
      <c r="C6" s="12">
        <v>25</v>
      </c>
      <c r="D6" s="11" t="s">
        <v>153</v>
      </c>
      <c r="E6" s="13">
        <v>2500</v>
      </c>
      <c r="F6" s="14"/>
      <c r="G6" s="14"/>
      <c r="H6" s="3" t="s">
        <v>20</v>
      </c>
    </row>
    <row r="7" spans="1:8" x14ac:dyDescent="0.3">
      <c r="A7" s="15" t="s">
        <v>154</v>
      </c>
      <c r="B7" s="16" t="s">
        <v>155</v>
      </c>
      <c r="C7" s="17">
        <v>20</v>
      </c>
      <c r="D7" s="16" t="s">
        <v>153</v>
      </c>
      <c r="E7" s="18">
        <v>250</v>
      </c>
      <c r="F7" s="14"/>
      <c r="G7" s="14"/>
      <c r="H7" s="3" t="s">
        <v>156</v>
      </c>
    </row>
    <row r="8" spans="1:8" x14ac:dyDescent="0.3">
      <c r="A8" s="10" t="s">
        <v>157</v>
      </c>
      <c r="B8" s="11" t="s">
        <v>155</v>
      </c>
      <c r="C8" s="12">
        <v>50</v>
      </c>
      <c r="D8" s="11" t="s">
        <v>153</v>
      </c>
      <c r="E8" s="13">
        <v>200</v>
      </c>
      <c r="F8" s="14"/>
      <c r="G8" s="14"/>
      <c r="H8" s="3" t="s">
        <v>20</v>
      </c>
    </row>
    <row r="9" spans="1:8" x14ac:dyDescent="0.3">
      <c r="A9" s="15" t="s">
        <v>158</v>
      </c>
      <c r="B9" s="16" t="s">
        <v>103</v>
      </c>
      <c r="C9" s="17">
        <v>1</v>
      </c>
      <c r="D9" s="16" t="s">
        <v>153</v>
      </c>
      <c r="E9" s="18">
        <v>40</v>
      </c>
      <c r="F9" s="14"/>
      <c r="G9" s="14"/>
      <c r="H9" s="3" t="s">
        <v>20</v>
      </c>
    </row>
    <row r="10" spans="1:8" x14ac:dyDescent="0.3">
      <c r="A10" s="10" t="s">
        <v>159</v>
      </c>
      <c r="B10" s="11" t="s">
        <v>103</v>
      </c>
      <c r="C10" s="12">
        <v>5</v>
      </c>
      <c r="D10" s="11" t="s">
        <v>153</v>
      </c>
      <c r="E10" s="13">
        <v>90</v>
      </c>
      <c r="F10" s="14"/>
      <c r="G10" s="14"/>
      <c r="H10" s="3" t="s">
        <v>20</v>
      </c>
    </row>
    <row r="11" spans="1:8" x14ac:dyDescent="0.3">
      <c r="A11" s="15" t="s">
        <v>160</v>
      </c>
      <c r="B11" s="16" t="s">
        <v>26</v>
      </c>
      <c r="C11" s="17">
        <v>1000</v>
      </c>
      <c r="D11" s="16" t="s">
        <v>27</v>
      </c>
      <c r="E11" s="18">
        <v>600</v>
      </c>
      <c r="F11" s="14"/>
      <c r="G11" s="14"/>
      <c r="H11" s="3" t="s">
        <v>20</v>
      </c>
    </row>
    <row r="13" spans="1:8" ht="19.5" customHeight="1" x14ac:dyDescent="0.3">
      <c r="A13" s="2" t="s">
        <v>28</v>
      </c>
    </row>
    <row r="14" spans="1:8" ht="31.5" customHeight="1" x14ac:dyDescent="0.3">
      <c r="A14" s="9" t="s">
        <v>10</v>
      </c>
      <c r="B14" s="9" t="s">
        <v>29</v>
      </c>
      <c r="C14" s="9" t="s">
        <v>13</v>
      </c>
      <c r="D14" s="9" t="s">
        <v>30</v>
      </c>
    </row>
    <row r="15" spans="1:8" x14ac:dyDescent="0.3">
      <c r="A15" s="10" t="s">
        <v>152</v>
      </c>
      <c r="B15" s="12">
        <v>0.05</v>
      </c>
      <c r="C15" s="11" t="s">
        <v>153</v>
      </c>
      <c r="D15" s="14"/>
    </row>
    <row r="16" spans="1:8" x14ac:dyDescent="0.3">
      <c r="A16" s="15" t="s">
        <v>154</v>
      </c>
      <c r="B16" s="17">
        <v>0.03</v>
      </c>
      <c r="C16" s="16" t="s">
        <v>153</v>
      </c>
      <c r="D16" s="14"/>
    </row>
    <row r="17" spans="1:8" x14ac:dyDescent="0.3">
      <c r="A17" s="10" t="s">
        <v>157</v>
      </c>
      <c r="B17" s="12">
        <v>0.06</v>
      </c>
      <c r="C17" s="11" t="s">
        <v>153</v>
      </c>
      <c r="D17" s="14"/>
    </row>
    <row r="18" spans="1:8" x14ac:dyDescent="0.3">
      <c r="A18" s="15" t="s">
        <v>158</v>
      </c>
      <c r="B18" s="17">
        <v>3.0000000000000001E-3</v>
      </c>
      <c r="C18" s="16" t="s">
        <v>153</v>
      </c>
      <c r="D18" s="14"/>
    </row>
    <row r="19" spans="1:8" x14ac:dyDescent="0.3">
      <c r="A19" s="10" t="s">
        <v>159</v>
      </c>
      <c r="B19" s="12">
        <v>0.01</v>
      </c>
      <c r="C19" s="11" t="s">
        <v>153</v>
      </c>
      <c r="D19" s="14"/>
    </row>
    <row r="20" spans="1:8" x14ac:dyDescent="0.3">
      <c r="A20" s="15" t="s">
        <v>160</v>
      </c>
      <c r="B20" s="17">
        <v>1</v>
      </c>
      <c r="C20" s="16" t="s">
        <v>27</v>
      </c>
      <c r="D20" s="14"/>
    </row>
    <row r="21" spans="1:8" x14ac:dyDescent="0.3">
      <c r="A21" s="19" t="s">
        <v>31</v>
      </c>
      <c r="B21" s="20"/>
      <c r="C21" s="20"/>
      <c r="D21" s="21"/>
    </row>
    <row r="23" spans="1:8" x14ac:dyDescent="0.3">
      <c r="A23" s="22" t="s">
        <v>211</v>
      </c>
    </row>
    <row r="24" spans="1:8" x14ac:dyDescent="0.3">
      <c r="A24" s="3" t="s">
        <v>32</v>
      </c>
    </row>
    <row r="25" spans="1:8" x14ac:dyDescent="0.3">
      <c r="A25" s="3" t="s">
        <v>33</v>
      </c>
    </row>
    <row r="26" spans="1:8" x14ac:dyDescent="0.3">
      <c r="A26" s="3" t="s">
        <v>34</v>
      </c>
    </row>
    <row r="28" spans="1:8" ht="19.5" customHeight="1" x14ac:dyDescent="0.3">
      <c r="A28" s="2" t="s">
        <v>35</v>
      </c>
    </row>
    <row r="29" spans="1:8" ht="30" customHeight="1" x14ac:dyDescent="0.3">
      <c r="A29" s="9" t="s">
        <v>36</v>
      </c>
      <c r="B29" s="9" t="s">
        <v>37</v>
      </c>
      <c r="C29" s="9" t="s">
        <v>38</v>
      </c>
      <c r="D29" s="9" t="s">
        <v>39</v>
      </c>
      <c r="E29" s="9" t="s">
        <v>40</v>
      </c>
      <c r="F29" s="9" t="s">
        <v>41</v>
      </c>
      <c r="G29" s="9" t="s">
        <v>42</v>
      </c>
      <c r="H29" s="23" t="s">
        <v>43</v>
      </c>
    </row>
    <row r="30" spans="1:8" x14ac:dyDescent="0.3">
      <c r="A30" s="10" t="s">
        <v>161</v>
      </c>
      <c r="B30" s="24">
        <v>1</v>
      </c>
      <c r="C30" s="25">
        <v>1600</v>
      </c>
      <c r="D30" s="14"/>
      <c r="E30" s="24">
        <v>5</v>
      </c>
      <c r="F30" s="14"/>
      <c r="G30" s="14"/>
      <c r="H30" s="3" t="s">
        <v>162</v>
      </c>
    </row>
    <row r="31" spans="1:8" x14ac:dyDescent="0.3">
      <c r="A31" s="15" t="s">
        <v>163</v>
      </c>
      <c r="B31" s="28">
        <v>1</v>
      </c>
      <c r="C31" s="29">
        <v>100</v>
      </c>
      <c r="D31" s="14"/>
      <c r="E31" s="28">
        <v>5</v>
      </c>
      <c r="F31" s="14"/>
      <c r="G31" s="14"/>
      <c r="H31" s="3" t="s">
        <v>49</v>
      </c>
    </row>
    <row r="32" spans="1:8" x14ac:dyDescent="0.3">
      <c r="A32" s="10" t="s">
        <v>164</v>
      </c>
      <c r="B32" s="24">
        <v>1</v>
      </c>
      <c r="C32" s="25">
        <v>300</v>
      </c>
      <c r="D32" s="14"/>
      <c r="E32" s="24">
        <v>10</v>
      </c>
      <c r="F32" s="14"/>
      <c r="G32" s="14"/>
      <c r="H32" s="3" t="s">
        <v>49</v>
      </c>
    </row>
    <row r="33" spans="1:8" x14ac:dyDescent="0.3">
      <c r="A33" s="15" t="s">
        <v>165</v>
      </c>
      <c r="B33" s="28">
        <v>1</v>
      </c>
      <c r="C33" s="29">
        <v>50</v>
      </c>
      <c r="D33" s="14"/>
      <c r="E33" s="28">
        <v>5</v>
      </c>
      <c r="F33" s="14"/>
      <c r="G33" s="14"/>
      <c r="H33" s="3" t="s">
        <v>49</v>
      </c>
    </row>
    <row r="34" spans="1:8" x14ac:dyDescent="0.3">
      <c r="A34" s="19" t="s">
        <v>50</v>
      </c>
      <c r="B34" s="20"/>
      <c r="C34" s="20"/>
      <c r="D34" s="32"/>
      <c r="E34" s="20"/>
      <c r="F34" s="32"/>
      <c r="G34" s="33"/>
    </row>
    <row r="36" spans="1:8" ht="19.5" customHeight="1" x14ac:dyDescent="0.3">
      <c r="A36" s="2" t="s">
        <v>51</v>
      </c>
    </row>
    <row r="37" spans="1:8" ht="30" customHeight="1" x14ac:dyDescent="0.3">
      <c r="A37" s="9" t="s">
        <v>52</v>
      </c>
      <c r="B37" s="9" t="s">
        <v>37</v>
      </c>
      <c r="C37" s="9" t="s">
        <v>53</v>
      </c>
      <c r="D37" s="9" t="s">
        <v>54</v>
      </c>
      <c r="E37" s="9" t="s">
        <v>55</v>
      </c>
      <c r="F37" s="9" t="s">
        <v>56</v>
      </c>
      <c r="G37" s="9" t="s">
        <v>57</v>
      </c>
      <c r="H37" s="23" t="s">
        <v>58</v>
      </c>
    </row>
    <row r="38" spans="1:8" ht="22.8" x14ac:dyDescent="0.3">
      <c r="A38" s="10" t="s">
        <v>166</v>
      </c>
      <c r="B38" s="24">
        <v>1</v>
      </c>
      <c r="C38" s="25">
        <v>1300</v>
      </c>
      <c r="D38" s="41">
        <v>0.3</v>
      </c>
      <c r="E38" s="14"/>
      <c r="F38" s="14"/>
      <c r="G38" s="14"/>
      <c r="H38" s="34" t="s">
        <v>167</v>
      </c>
    </row>
    <row r="39" spans="1:8" x14ac:dyDescent="0.3">
      <c r="A39" s="19" t="s">
        <v>61</v>
      </c>
      <c r="B39" s="20"/>
      <c r="C39" s="20"/>
      <c r="D39" s="20"/>
      <c r="E39" s="20"/>
      <c r="F39" s="32"/>
      <c r="G39" s="32"/>
    </row>
    <row r="40" spans="1:8" x14ac:dyDescent="0.3">
      <c r="A40" s="35" t="s">
        <v>62</v>
      </c>
    </row>
    <row r="42" spans="1:8" ht="19.5" customHeight="1" x14ac:dyDescent="0.3">
      <c r="A42" s="2" t="s">
        <v>63</v>
      </c>
    </row>
    <row r="43" spans="1:8" x14ac:dyDescent="0.3">
      <c r="A43" s="9" t="s">
        <v>64</v>
      </c>
      <c r="B43" s="9" t="s">
        <v>65</v>
      </c>
      <c r="C43" s="9" t="s">
        <v>66</v>
      </c>
      <c r="D43" s="23" t="s">
        <v>43</v>
      </c>
    </row>
    <row r="44" spans="1:8" x14ac:dyDescent="0.3">
      <c r="A44" s="10" t="s">
        <v>168</v>
      </c>
      <c r="B44" s="36" t="s">
        <v>169</v>
      </c>
      <c r="C44" s="13">
        <v>900</v>
      </c>
      <c r="D44" s="3" t="s">
        <v>49</v>
      </c>
    </row>
    <row r="45" spans="1:8" x14ac:dyDescent="0.3">
      <c r="A45" s="15" t="s">
        <v>170</v>
      </c>
      <c r="B45" s="37" t="s">
        <v>71</v>
      </c>
      <c r="C45" s="18">
        <v>70</v>
      </c>
      <c r="D45" s="3" t="s">
        <v>171</v>
      </c>
    </row>
    <row r="46" spans="1:8" x14ac:dyDescent="0.3">
      <c r="A46" s="10" t="s">
        <v>172</v>
      </c>
      <c r="B46" s="36" t="s">
        <v>71</v>
      </c>
      <c r="C46" s="13">
        <v>5</v>
      </c>
      <c r="D46" s="3" t="s">
        <v>49</v>
      </c>
    </row>
    <row r="47" spans="1:8" x14ac:dyDescent="0.3">
      <c r="A47" s="15" t="s">
        <v>173</v>
      </c>
      <c r="B47" s="37" t="s">
        <v>71</v>
      </c>
      <c r="C47" s="18">
        <v>30</v>
      </c>
      <c r="D47" s="3" t="s">
        <v>49</v>
      </c>
    </row>
    <row r="48" spans="1:8" x14ac:dyDescent="0.3">
      <c r="A48" s="10" t="s">
        <v>80</v>
      </c>
      <c r="B48" s="36"/>
      <c r="C48" s="14"/>
      <c r="D48" s="3" t="s">
        <v>81</v>
      </c>
    </row>
    <row r="49" spans="1:3" x14ac:dyDescent="0.3">
      <c r="A49" s="19" t="s">
        <v>82</v>
      </c>
      <c r="B49" s="20"/>
      <c r="C49" s="3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9"/>
  <sheetViews>
    <sheetView showGridLines="0" tabSelected="1" topLeftCell="A35" zoomScaleNormal="100" workbookViewId="0">
      <selection activeCell="C57" sqref="C57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8" ht="25.5" customHeight="1" x14ac:dyDescent="0.3">
      <c r="A1" s="1" t="s">
        <v>174</v>
      </c>
    </row>
    <row r="2" spans="1:8" ht="15.75" customHeight="1" x14ac:dyDescent="0.3">
      <c r="A2" s="3" t="s">
        <v>175</v>
      </c>
    </row>
    <row r="4" spans="1:8" ht="19.5" customHeight="1" x14ac:dyDescent="0.3">
      <c r="A4" s="2" t="s">
        <v>9</v>
      </c>
    </row>
    <row r="5" spans="1:8" ht="43.5" customHeight="1" x14ac:dyDescent="0.3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</row>
    <row r="6" spans="1:8" x14ac:dyDescent="0.3">
      <c r="A6" s="10" t="s">
        <v>176</v>
      </c>
      <c r="B6" s="11" t="s">
        <v>155</v>
      </c>
      <c r="C6" s="12">
        <v>50</v>
      </c>
      <c r="D6" s="11" t="s">
        <v>153</v>
      </c>
      <c r="E6" s="13">
        <v>180</v>
      </c>
      <c r="F6" s="14"/>
      <c r="G6" s="14"/>
      <c r="H6" s="3" t="s">
        <v>20</v>
      </c>
    </row>
    <row r="7" spans="1:8" x14ac:dyDescent="0.3">
      <c r="A7" s="15" t="s">
        <v>177</v>
      </c>
      <c r="B7" s="16" t="s">
        <v>178</v>
      </c>
      <c r="C7" s="17">
        <v>18</v>
      </c>
      <c r="D7" s="16" t="s">
        <v>153</v>
      </c>
      <c r="E7" s="18">
        <v>90</v>
      </c>
      <c r="F7" s="14"/>
      <c r="G7" s="14"/>
      <c r="H7" s="3" t="s">
        <v>20</v>
      </c>
    </row>
    <row r="8" spans="1:8" x14ac:dyDescent="0.3">
      <c r="A8" s="10" t="s">
        <v>179</v>
      </c>
      <c r="B8" s="11" t="s">
        <v>155</v>
      </c>
      <c r="C8" s="12">
        <v>50</v>
      </c>
      <c r="D8" s="11" t="s">
        <v>153</v>
      </c>
      <c r="E8" s="13">
        <v>200</v>
      </c>
      <c r="F8" s="14"/>
      <c r="G8" s="14"/>
      <c r="H8" s="3" t="s">
        <v>20</v>
      </c>
    </row>
    <row r="9" spans="1:8" x14ac:dyDescent="0.3">
      <c r="A9" s="15" t="s">
        <v>180</v>
      </c>
      <c r="B9" s="16" t="s">
        <v>181</v>
      </c>
      <c r="C9" s="17">
        <v>30</v>
      </c>
      <c r="D9" s="16" t="s">
        <v>27</v>
      </c>
      <c r="E9" s="18">
        <v>18</v>
      </c>
      <c r="F9" s="14"/>
      <c r="G9" s="14"/>
      <c r="H9" s="3" t="s">
        <v>182</v>
      </c>
    </row>
    <row r="10" spans="1:8" x14ac:dyDescent="0.3">
      <c r="A10" s="10" t="s">
        <v>183</v>
      </c>
      <c r="B10" s="11" t="s">
        <v>18</v>
      </c>
      <c r="C10" s="12">
        <v>10</v>
      </c>
      <c r="D10" s="11" t="s">
        <v>153</v>
      </c>
      <c r="E10" s="13">
        <v>300</v>
      </c>
      <c r="F10" s="14"/>
      <c r="G10" s="14"/>
      <c r="H10" s="3" t="s">
        <v>20</v>
      </c>
    </row>
    <row r="11" spans="1:8" x14ac:dyDescent="0.3">
      <c r="A11" s="15" t="s">
        <v>184</v>
      </c>
      <c r="B11" s="16" t="s">
        <v>18</v>
      </c>
      <c r="C11" s="17">
        <v>12</v>
      </c>
      <c r="D11" s="16" t="s">
        <v>185</v>
      </c>
      <c r="E11" s="18">
        <v>60</v>
      </c>
      <c r="F11" s="14"/>
      <c r="G11" s="14"/>
      <c r="H11" s="3" t="s">
        <v>20</v>
      </c>
    </row>
    <row r="12" spans="1:8" x14ac:dyDescent="0.3">
      <c r="A12" s="10" t="s">
        <v>186</v>
      </c>
      <c r="B12" s="11" t="s">
        <v>103</v>
      </c>
      <c r="C12" s="12">
        <v>1</v>
      </c>
      <c r="D12" s="11" t="s">
        <v>153</v>
      </c>
      <c r="E12" s="13">
        <v>15</v>
      </c>
      <c r="F12" s="14"/>
      <c r="G12" s="14"/>
      <c r="H12" s="3" t="s">
        <v>20</v>
      </c>
    </row>
    <row r="13" spans="1:8" x14ac:dyDescent="0.3">
      <c r="A13" s="15" t="s">
        <v>187</v>
      </c>
      <c r="B13" s="16" t="s">
        <v>188</v>
      </c>
      <c r="C13" s="17">
        <v>1</v>
      </c>
      <c r="D13" s="16" t="s">
        <v>153</v>
      </c>
      <c r="E13" s="18">
        <v>20</v>
      </c>
      <c r="F13" s="14"/>
      <c r="G13" s="14"/>
      <c r="H13" s="3" t="s">
        <v>20</v>
      </c>
    </row>
    <row r="14" spans="1:8" x14ac:dyDescent="0.3">
      <c r="A14" s="10" t="s">
        <v>189</v>
      </c>
      <c r="B14" s="11" t="s">
        <v>190</v>
      </c>
      <c r="C14" s="12">
        <v>100</v>
      </c>
      <c r="D14" s="11" t="s">
        <v>27</v>
      </c>
      <c r="E14" s="13">
        <v>60</v>
      </c>
      <c r="F14" s="14"/>
      <c r="G14" s="14"/>
      <c r="H14" s="3" t="s">
        <v>191</v>
      </c>
    </row>
    <row r="16" spans="1:8" ht="19.5" customHeight="1" x14ac:dyDescent="0.3">
      <c r="A16" s="2" t="s">
        <v>28</v>
      </c>
    </row>
    <row r="17" spans="1:4" ht="31.5" customHeight="1" x14ac:dyDescent="0.3">
      <c r="A17" s="9" t="s">
        <v>10</v>
      </c>
      <c r="B17" s="9" t="s">
        <v>29</v>
      </c>
      <c r="C17" s="9" t="s">
        <v>13</v>
      </c>
      <c r="D17" s="9" t="s">
        <v>30</v>
      </c>
    </row>
    <row r="18" spans="1:4" x14ac:dyDescent="0.3">
      <c r="A18" s="10" t="s">
        <v>176</v>
      </c>
      <c r="B18" s="12">
        <v>0.5</v>
      </c>
      <c r="C18" s="11" t="s">
        <v>153</v>
      </c>
      <c r="D18" s="14"/>
    </row>
    <row r="19" spans="1:4" x14ac:dyDescent="0.3">
      <c r="A19" s="15" t="s">
        <v>177</v>
      </c>
      <c r="B19" s="17">
        <v>0.6</v>
      </c>
      <c r="C19" s="16" t="s">
        <v>153</v>
      </c>
      <c r="D19" s="14"/>
    </row>
    <row r="20" spans="1:4" x14ac:dyDescent="0.3">
      <c r="A20" s="10" t="s">
        <v>179</v>
      </c>
      <c r="B20" s="12">
        <v>0.25</v>
      </c>
      <c r="C20" s="11" t="s">
        <v>153</v>
      </c>
      <c r="D20" s="14"/>
    </row>
    <row r="21" spans="1:4" x14ac:dyDescent="0.3">
      <c r="A21" s="15" t="s">
        <v>180</v>
      </c>
      <c r="B21" s="17">
        <v>4</v>
      </c>
      <c r="C21" s="16" t="s">
        <v>27</v>
      </c>
      <c r="D21" s="14"/>
    </row>
    <row r="22" spans="1:4" x14ac:dyDescent="0.3">
      <c r="A22" s="10" t="s">
        <v>183</v>
      </c>
      <c r="B22" s="12">
        <v>0.2</v>
      </c>
      <c r="C22" s="11" t="s">
        <v>153</v>
      </c>
      <c r="D22" s="14"/>
    </row>
    <row r="23" spans="1:4" x14ac:dyDescent="0.3">
      <c r="A23" s="15" t="s">
        <v>184</v>
      </c>
      <c r="B23" s="17">
        <v>0.1</v>
      </c>
      <c r="C23" s="16" t="s">
        <v>185</v>
      </c>
      <c r="D23" s="14"/>
    </row>
    <row r="24" spans="1:4" x14ac:dyDescent="0.3">
      <c r="A24" s="10" t="s">
        <v>186</v>
      </c>
      <c r="B24" s="12">
        <v>1.4999999999999999E-2</v>
      </c>
      <c r="C24" s="11" t="s">
        <v>153</v>
      </c>
      <c r="D24" s="14"/>
    </row>
    <row r="25" spans="1:4" x14ac:dyDescent="0.3">
      <c r="A25" s="15" t="s">
        <v>187</v>
      </c>
      <c r="B25" s="17">
        <v>5.0000000000000001E-3</v>
      </c>
      <c r="C25" s="16" t="s">
        <v>153</v>
      </c>
      <c r="D25" s="14"/>
    </row>
    <row r="26" spans="1:4" x14ac:dyDescent="0.3">
      <c r="A26" s="10" t="s">
        <v>189</v>
      </c>
      <c r="B26" s="12">
        <v>1</v>
      </c>
      <c r="C26" s="11" t="s">
        <v>27</v>
      </c>
      <c r="D26" s="14"/>
    </row>
    <row r="27" spans="1:4" x14ac:dyDescent="0.3">
      <c r="A27" s="19" t="s">
        <v>31</v>
      </c>
      <c r="B27" s="20"/>
      <c r="C27" s="20"/>
      <c r="D27" s="21"/>
    </row>
    <row r="29" spans="1:4" x14ac:dyDescent="0.3">
      <c r="A29" s="22" t="s">
        <v>211</v>
      </c>
    </row>
    <row r="30" spans="1:4" x14ac:dyDescent="0.3">
      <c r="A30" s="3" t="s">
        <v>32</v>
      </c>
    </row>
    <row r="31" spans="1:4" x14ac:dyDescent="0.3">
      <c r="A31" s="3" t="s">
        <v>33</v>
      </c>
    </row>
    <row r="32" spans="1:4" x14ac:dyDescent="0.3">
      <c r="A32" s="3" t="s">
        <v>34</v>
      </c>
    </row>
    <row r="34" spans="1:8" ht="19.5" customHeight="1" x14ac:dyDescent="0.3">
      <c r="A34" s="2" t="s">
        <v>35</v>
      </c>
    </row>
    <row r="35" spans="1:8" ht="30" customHeight="1" x14ac:dyDescent="0.3">
      <c r="A35" s="9" t="s">
        <v>36</v>
      </c>
      <c r="B35" s="9" t="s">
        <v>37</v>
      </c>
      <c r="C35" s="9" t="s">
        <v>38</v>
      </c>
      <c r="D35" s="9" t="s">
        <v>39</v>
      </c>
      <c r="E35" s="9" t="s">
        <v>40</v>
      </c>
      <c r="F35" s="9" t="s">
        <v>41</v>
      </c>
      <c r="G35" s="9" t="s">
        <v>42</v>
      </c>
      <c r="H35" s="23" t="s">
        <v>43</v>
      </c>
    </row>
    <row r="36" spans="1:8" x14ac:dyDescent="0.3">
      <c r="A36" s="10" t="s">
        <v>192</v>
      </c>
      <c r="B36" s="24">
        <v>1</v>
      </c>
      <c r="C36" s="25">
        <v>1200</v>
      </c>
      <c r="D36" s="14"/>
      <c r="E36" s="24">
        <v>10</v>
      </c>
      <c r="F36" s="14"/>
      <c r="G36" s="14"/>
      <c r="H36" s="3" t="s">
        <v>193</v>
      </c>
    </row>
    <row r="37" spans="1:8" x14ac:dyDescent="0.3">
      <c r="A37" s="15" t="s">
        <v>194</v>
      </c>
      <c r="B37" s="28">
        <v>1</v>
      </c>
      <c r="C37" s="29">
        <v>600</v>
      </c>
      <c r="D37" s="14"/>
      <c r="E37" s="28">
        <v>7</v>
      </c>
      <c r="F37" s="14"/>
      <c r="G37" s="14"/>
      <c r="H37" s="3" t="s">
        <v>195</v>
      </c>
    </row>
    <row r="38" spans="1:8" x14ac:dyDescent="0.3">
      <c r="A38" s="10" t="s">
        <v>196</v>
      </c>
      <c r="B38" s="24">
        <v>1</v>
      </c>
      <c r="C38" s="25">
        <v>1500</v>
      </c>
      <c r="D38" s="14"/>
      <c r="E38" s="24">
        <v>10</v>
      </c>
      <c r="F38" s="14"/>
      <c r="G38" s="14"/>
      <c r="H38" s="3" t="s">
        <v>197</v>
      </c>
    </row>
    <row r="39" spans="1:8" x14ac:dyDescent="0.3">
      <c r="A39" s="15" t="s">
        <v>198</v>
      </c>
      <c r="B39" s="28">
        <v>1</v>
      </c>
      <c r="C39" s="29">
        <v>120</v>
      </c>
      <c r="D39" s="14"/>
      <c r="E39" s="28">
        <v>5</v>
      </c>
      <c r="F39" s="14"/>
      <c r="G39" s="14"/>
      <c r="H39" s="3" t="s">
        <v>199</v>
      </c>
    </row>
    <row r="40" spans="1:8" x14ac:dyDescent="0.3">
      <c r="A40" s="10" t="s">
        <v>200</v>
      </c>
      <c r="B40" s="24">
        <v>1</v>
      </c>
      <c r="C40" s="25">
        <v>150</v>
      </c>
      <c r="D40" s="14"/>
      <c r="E40" s="24">
        <v>5</v>
      </c>
      <c r="F40" s="14"/>
      <c r="G40" s="14"/>
      <c r="H40" s="3" t="s">
        <v>201</v>
      </c>
    </row>
    <row r="41" spans="1:8" x14ac:dyDescent="0.3">
      <c r="A41" s="15" t="s">
        <v>202</v>
      </c>
      <c r="B41" s="28">
        <v>1</v>
      </c>
      <c r="C41" s="29">
        <v>500</v>
      </c>
      <c r="D41" s="14"/>
      <c r="E41" s="28">
        <v>10</v>
      </c>
      <c r="F41" s="14"/>
      <c r="G41" s="14"/>
      <c r="H41" s="3" t="s">
        <v>203</v>
      </c>
    </row>
    <row r="42" spans="1:8" x14ac:dyDescent="0.3">
      <c r="A42" s="10" t="s">
        <v>204</v>
      </c>
      <c r="B42" s="24">
        <v>1</v>
      </c>
      <c r="C42" s="25">
        <v>300</v>
      </c>
      <c r="D42" s="14"/>
      <c r="E42" s="24">
        <v>3</v>
      </c>
      <c r="F42" s="14"/>
      <c r="G42" s="14"/>
      <c r="H42" s="3" t="s">
        <v>205</v>
      </c>
    </row>
    <row r="43" spans="1:8" x14ac:dyDescent="0.3">
      <c r="A43" s="19" t="s">
        <v>50</v>
      </c>
      <c r="B43" s="20"/>
      <c r="C43" s="20"/>
      <c r="D43" s="32"/>
      <c r="E43" s="20"/>
      <c r="F43" s="32"/>
      <c r="G43" s="33"/>
    </row>
    <row r="45" spans="1:8" ht="19.5" customHeight="1" x14ac:dyDescent="0.3">
      <c r="A45" s="2" t="s">
        <v>51</v>
      </c>
    </row>
    <row r="46" spans="1:8" ht="30" customHeight="1" x14ac:dyDescent="0.3">
      <c r="A46" s="9" t="s">
        <v>52</v>
      </c>
      <c r="B46" s="9" t="s">
        <v>37</v>
      </c>
      <c r="C46" s="9" t="s">
        <v>53</v>
      </c>
      <c r="D46" s="9" t="s">
        <v>54</v>
      </c>
      <c r="E46" s="9" t="s">
        <v>55</v>
      </c>
      <c r="F46" s="9" t="s">
        <v>56</v>
      </c>
      <c r="G46" s="9" t="s">
        <v>57</v>
      </c>
      <c r="H46" s="23" t="s">
        <v>58</v>
      </c>
    </row>
    <row r="47" spans="1:8" ht="22.8" x14ac:dyDescent="0.3">
      <c r="A47" s="10" t="s">
        <v>206</v>
      </c>
      <c r="B47" s="24">
        <v>1</v>
      </c>
      <c r="C47" s="25">
        <v>1300</v>
      </c>
      <c r="D47" s="41">
        <v>0.3</v>
      </c>
      <c r="E47" s="14"/>
      <c r="F47" s="14"/>
      <c r="G47" s="14"/>
      <c r="H47" s="34" t="s">
        <v>207</v>
      </c>
    </row>
    <row r="48" spans="1:8" x14ac:dyDescent="0.3">
      <c r="A48" s="19" t="s">
        <v>61</v>
      </c>
      <c r="B48" s="20"/>
      <c r="C48" s="20"/>
      <c r="D48" s="20"/>
      <c r="E48" s="20"/>
      <c r="F48" s="32"/>
      <c r="G48" s="32"/>
    </row>
    <row r="49" spans="1:4" x14ac:dyDescent="0.3">
      <c r="A49" s="35" t="s">
        <v>62</v>
      </c>
    </row>
    <row r="51" spans="1:4" ht="19.5" customHeight="1" x14ac:dyDescent="0.3">
      <c r="A51" s="2" t="s">
        <v>63</v>
      </c>
    </row>
    <row r="52" spans="1:4" x14ac:dyDescent="0.3">
      <c r="A52" s="9" t="s">
        <v>64</v>
      </c>
      <c r="B52" s="9" t="s">
        <v>65</v>
      </c>
      <c r="C52" s="9" t="s">
        <v>66</v>
      </c>
      <c r="D52" s="23" t="s">
        <v>43</v>
      </c>
    </row>
    <row r="53" spans="1:4" x14ac:dyDescent="0.3">
      <c r="A53" s="10" t="s">
        <v>208</v>
      </c>
      <c r="B53" s="36" t="s">
        <v>148</v>
      </c>
      <c r="C53" s="13">
        <v>900</v>
      </c>
      <c r="D53" s="3" t="s">
        <v>49</v>
      </c>
    </row>
    <row r="54" spans="1:4" x14ac:dyDescent="0.3">
      <c r="A54" s="15" t="s">
        <v>209</v>
      </c>
      <c r="B54" s="37" t="s">
        <v>71</v>
      </c>
      <c r="C54" s="18">
        <v>150</v>
      </c>
      <c r="D54" s="3" t="s">
        <v>49</v>
      </c>
    </row>
    <row r="55" spans="1:4" x14ac:dyDescent="0.3">
      <c r="A55" s="10" t="s">
        <v>210</v>
      </c>
      <c r="B55" s="36" t="s">
        <v>71</v>
      </c>
      <c r="C55" s="13">
        <v>80</v>
      </c>
      <c r="D55" s="3" t="s">
        <v>49</v>
      </c>
    </row>
    <row r="56" spans="1:4" x14ac:dyDescent="0.3">
      <c r="A56" s="15" t="s">
        <v>149</v>
      </c>
      <c r="B56" s="37" t="s">
        <v>71</v>
      </c>
      <c r="C56" s="18">
        <v>30</v>
      </c>
      <c r="D56" s="3" t="s">
        <v>49</v>
      </c>
    </row>
    <row r="57" spans="1:4" x14ac:dyDescent="0.3">
      <c r="A57" s="10" t="s">
        <v>75</v>
      </c>
      <c r="B57" s="36" t="s">
        <v>71</v>
      </c>
      <c r="C57" s="13">
        <v>50</v>
      </c>
      <c r="D57" s="3" t="s">
        <v>49</v>
      </c>
    </row>
    <row r="58" spans="1:4" x14ac:dyDescent="0.3">
      <c r="A58" s="15" t="s">
        <v>80</v>
      </c>
      <c r="B58" s="37"/>
      <c r="C58" s="14"/>
      <c r="D58" s="3" t="s">
        <v>81</v>
      </c>
    </row>
    <row r="59" spans="1:4" x14ac:dyDescent="0.3">
      <c r="A59" s="19" t="s">
        <v>82</v>
      </c>
      <c r="B59" s="20"/>
      <c r="C59" s="33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Revelado de Fotos</vt:lpstr>
      <vt:lpstr>2. Pijamas</vt:lpstr>
      <vt:lpstr>3. Curso de Guión</vt:lpstr>
      <vt:lpstr>5. Chocolate Blanco</vt:lpstr>
      <vt:lpstr>6. Queque de Manzana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2026-09-17T10:54:32Z</dcterms:created>
  <dcterms:modified xsi:type="dcterms:W3CDTF">2026-09-17T19:12:43Z</dcterms:modified>
  <dc:language>en-US</dc:language>
</cp:coreProperties>
</file>