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esktop\CURSOS 2026 II\ANÁLISIS DE COSTOS Y PRESUPUESTOS\"/>
    </mc:Choice>
  </mc:AlternateContent>
  <xr:revisionPtr revIDLastSave="0" documentId="13_ncr:1_{34A2216B-1734-4E05-8B26-131D1463F12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Actividad" sheetId="2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67" i="2" l="1"/>
  <c r="E66" i="2"/>
  <c r="C47" i="2"/>
</calcChain>
</file>

<file path=xl/sharedStrings.xml><?xml version="1.0" encoding="utf-8"?>
<sst xmlns="http://schemas.openxmlformats.org/spreadsheetml/2006/main" count="79" uniqueCount="59">
  <si>
    <t>EJERCICIO 1. Compra local de mercadería</t>
  </si>
  <si>
    <t>Datos del enunciado</t>
  </si>
  <si>
    <t>Importe</t>
  </si>
  <si>
    <t>Observación</t>
  </si>
  <si>
    <t>Unidades adquiridas</t>
  </si>
  <si>
    <t>Valor de compra según factura</t>
  </si>
  <si>
    <t>Servicio de transporte hasta el almacén</t>
  </si>
  <si>
    <t>Tasa de IGV</t>
  </si>
  <si>
    <t>recuperable, no es costo</t>
  </si>
  <si>
    <t>Desarrollo</t>
  </si>
  <si>
    <t>Costo de adquisición de la mercadería</t>
  </si>
  <si>
    <t>Costo unitario por computadora</t>
  </si>
  <si>
    <t>Desembolso total de la operación</t>
  </si>
  <si>
    <t>EJERCICIO 2. Descuentos comerciales y rebajas</t>
  </si>
  <si>
    <t>Distribuidora Andina EIRL compra 500 cajas de conservas a un precio de lista de S/ 40.00 por caja. El proveedor concede un descuento comercial del 8 por ciento sobre el precio de lista y, por el volumen adquirido, una rebaja adicional del 2 por ciento sobre el valor ya descontado. La empresa paga un flete de S/ 1,200.00, estiba y desestiba por S/ 350.00 y un seguro de transporte de S/ 250.00. Determina el costo de adquisición y el costo unitario por caja.</t>
  </si>
  <si>
    <t>Cajas adquiridas</t>
  </si>
  <si>
    <t>Precio de lista por caja</t>
  </si>
  <si>
    <t>Descuento comercial</t>
  </si>
  <si>
    <t>Rebaja por volumen</t>
  </si>
  <si>
    <t>Flete</t>
  </si>
  <si>
    <t>Estiba y desestiba</t>
  </si>
  <si>
    <t>Seguro de transporte</t>
  </si>
  <si>
    <t>Valor bruto de la compra</t>
  </si>
  <si>
    <t>Descuento comercial obtenido</t>
  </si>
  <si>
    <t>Valor neto después del descuento</t>
  </si>
  <si>
    <t>Rebaja por volumen obtenida</t>
  </si>
  <si>
    <t>Precio de compra neto</t>
  </si>
  <si>
    <t>Costos adicionales atribuibles</t>
  </si>
  <si>
    <t>Costo de adquisición</t>
  </si>
  <si>
    <t>Costo unitario por caja</t>
  </si>
  <si>
    <t>EJERCICIO 3. Partidas que integran el costo y partidas que son gasto</t>
  </si>
  <si>
    <t>Comercial El Misti SAC compra 300 llantas a S/ 260.00 cada una más IGV. Durante el mes registra además los desembolsos que figuran en la tabla. Clasifica cada partida, calcula el costo de adquisición y el costo unitario. Escribe 1 en la columna Integra el costo cuando la partida forme parte del costo y 0 cuando sea gasto del periodo.</t>
  </si>
  <si>
    <t>Integra el costo</t>
  </si>
  <si>
    <t>Costo computable</t>
  </si>
  <si>
    <t>Motivo</t>
  </si>
  <si>
    <t>Llantas adquiridas</t>
  </si>
  <si>
    <t>Precio de compra por llanta</t>
  </si>
  <si>
    <t>Flete del proveedor al almacén</t>
  </si>
  <si>
    <t>Seguro de la carga en tránsito</t>
  </si>
  <si>
    <t>Servicio de descarga y estiba</t>
  </si>
  <si>
    <t>Intereses por financiar la compra a 60 días</t>
  </si>
  <si>
    <t>Sueldo del personal administrativo del mes</t>
  </si>
  <si>
    <t>Publicidad del producto</t>
  </si>
  <si>
    <t>Merma anormal por mal manipuleo</t>
  </si>
  <si>
    <t>Costo unitario por llanta</t>
  </si>
  <si>
    <t>Total registrado como gasto del periodo</t>
  </si>
  <si>
    <t>EJERCICIO 4. Prorrateo de costos comunes entre dos productos</t>
  </si>
  <si>
    <t>Importadora del Sur SAC recibe en una misma factura dos productos. El flete y el seguro son comunes a toda la compra y deben distribuirse en función del valor de compra de cada producto. Determina el costo de adquisición y el costo unitario de cada uno.</t>
  </si>
  <si>
    <t>Producto A</t>
  </si>
  <si>
    <t>Producto B</t>
  </si>
  <si>
    <t>Total</t>
  </si>
  <si>
    <t>Flete común de toda la compra</t>
  </si>
  <si>
    <t>Seguro común de toda la compra</t>
  </si>
  <si>
    <t>Participación sobre el valor de compra</t>
  </si>
  <si>
    <t>Flete asignado</t>
  </si>
  <si>
    <t>Seguro asignado</t>
  </si>
  <si>
    <t>Costo unitario</t>
  </si>
  <si>
    <t>La empresa Los Comerciantes SAC adquiere 160 computadoras a un valor de compra de S/ 90,000.00 más IGV. Además contrata un servicio de transporte que traslada la mercadería desde el local del vendedor hasta su almacén por S/ 10,000.00 más IGV. Determina el costo de adquisición, el costo unitario y el desembolso total.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</si>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</sst>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charset val="1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3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0" fontId="1" fillId="0" borderId="0" xfId="0" applyFont="1" applyAlignment="1">
      <alignment horizontal="left"/>
    </xf>
    <xf numFmtId="4" fontId="1" fillId="3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164" fontId="1" fillId="3" borderId="1" xfId="0" applyNumberFormat="1" applyFont="1" applyFill="1" applyBorder="1" applyAlignment="1">
      <alignment horizontal="right"/>
    </xf>
    <xf numFmtId="0" fontId="1" fillId="0" borderId="0" xfId="0" applyFont="1" applyBorder="1" applyAlignment="1">
      <alignment vertical="top" wrapText="1"/>
    </xf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76"/>
  <sheetViews>
    <sheetView showGridLines="0" tabSelected="1" zoomScaleNormal="100" workbookViewId="0">
      <pane ySplit="1" topLeftCell="A59" activePane="bottomLeft" state="frozen"/>
      <selection pane="bottomLeft" activeCell="C72" sqref="C72"/>
    </sheetView>
  </sheetViews>
  <sheetFormatPr baseColWidth="10" defaultColWidth="8.6640625" defaultRowHeight="14.4" x14ac:dyDescent="0.3"/>
  <cols>
    <col min="1" max="1" width="4" customWidth="1"/>
    <col min="2" max="2" width="58" customWidth="1"/>
    <col min="3" max="5" width="16" customWidth="1"/>
    <col min="6" max="6" width="46" customWidth="1"/>
  </cols>
  <sheetData>
    <row r="2" spans="2:6" ht="19.5" customHeight="1" x14ac:dyDescent="0.3">
      <c r="B2" s="13" t="s">
        <v>0</v>
      </c>
      <c r="C2" s="13"/>
      <c r="D2" s="13"/>
      <c r="E2" s="13"/>
      <c r="F2" s="13"/>
    </row>
    <row r="3" spans="2:6" ht="48.75" customHeight="1" x14ac:dyDescent="0.3">
      <c r="B3" s="12" t="s">
        <v>57</v>
      </c>
      <c r="C3" s="12"/>
      <c r="D3" s="12"/>
      <c r="E3" s="12"/>
      <c r="F3" s="12"/>
    </row>
    <row r="5" spans="2:6" x14ac:dyDescent="0.3">
      <c r="B5" s="1" t="s">
        <v>1</v>
      </c>
      <c r="C5" s="2" t="s">
        <v>2</v>
      </c>
      <c r="D5" s="2" t="s">
        <v>3</v>
      </c>
    </row>
    <row r="6" spans="2:6" x14ac:dyDescent="0.3">
      <c r="B6" s="3" t="s">
        <v>4</v>
      </c>
      <c r="C6" s="4">
        <v>160</v>
      </c>
    </row>
    <row r="7" spans="2:6" x14ac:dyDescent="0.3">
      <c r="B7" s="3" t="s">
        <v>5</v>
      </c>
      <c r="C7" s="5">
        <v>90000</v>
      </c>
    </row>
    <row r="8" spans="2:6" x14ac:dyDescent="0.3">
      <c r="B8" s="3" t="s">
        <v>6</v>
      </c>
      <c r="C8" s="5">
        <v>10000</v>
      </c>
    </row>
    <row r="9" spans="2:6" x14ac:dyDescent="0.3">
      <c r="B9" s="3" t="s">
        <v>7</v>
      </c>
      <c r="C9" s="6">
        <v>0.18</v>
      </c>
      <c r="D9" s="7" t="s">
        <v>8</v>
      </c>
    </row>
    <row r="11" spans="2:6" x14ac:dyDescent="0.3">
      <c r="B11" s="1" t="s">
        <v>9</v>
      </c>
      <c r="C11" s="2" t="s">
        <v>2</v>
      </c>
    </row>
    <row r="12" spans="2:6" x14ac:dyDescent="0.3">
      <c r="B12" s="3" t="s">
        <v>10</v>
      </c>
      <c r="C12" s="8"/>
    </row>
    <row r="13" spans="2:6" x14ac:dyDescent="0.3">
      <c r="B13" s="3" t="s">
        <v>11</v>
      </c>
      <c r="C13" s="8"/>
    </row>
    <row r="14" spans="2:6" x14ac:dyDescent="0.3">
      <c r="B14" s="3" t="s">
        <v>58</v>
      </c>
      <c r="C14" s="8"/>
    </row>
    <row r="15" spans="2:6" x14ac:dyDescent="0.3">
      <c r="B15" s="3" t="s">
        <v>12</v>
      </c>
      <c r="C15" s="8"/>
    </row>
    <row r="18" spans="2:6" ht="19.5" customHeight="1" x14ac:dyDescent="0.3">
      <c r="B18" s="13" t="s">
        <v>13</v>
      </c>
      <c r="C18" s="13"/>
      <c r="D18" s="13"/>
      <c r="E18" s="13"/>
      <c r="F18" s="13"/>
    </row>
    <row r="19" spans="2:6" ht="63.75" customHeight="1" x14ac:dyDescent="0.3">
      <c r="B19" s="12" t="s">
        <v>14</v>
      </c>
      <c r="C19" s="12"/>
      <c r="D19" s="12"/>
      <c r="E19" s="12"/>
      <c r="F19" s="12"/>
    </row>
    <row r="21" spans="2:6" x14ac:dyDescent="0.3">
      <c r="B21" s="1" t="s">
        <v>1</v>
      </c>
      <c r="C21" s="2" t="s">
        <v>2</v>
      </c>
      <c r="D21" s="2" t="s">
        <v>3</v>
      </c>
    </row>
    <row r="22" spans="2:6" x14ac:dyDescent="0.3">
      <c r="B22" s="3" t="s">
        <v>15</v>
      </c>
      <c r="C22" s="4">
        <v>500</v>
      </c>
    </row>
    <row r="23" spans="2:6" x14ac:dyDescent="0.3">
      <c r="B23" s="3" t="s">
        <v>16</v>
      </c>
      <c r="C23" s="5">
        <v>40</v>
      </c>
    </row>
    <row r="24" spans="2:6" x14ac:dyDescent="0.3">
      <c r="B24" s="3" t="s">
        <v>17</v>
      </c>
      <c r="C24" s="6">
        <v>0.08</v>
      </c>
    </row>
    <row r="25" spans="2:6" x14ac:dyDescent="0.3">
      <c r="B25" s="3" t="s">
        <v>18</v>
      </c>
      <c r="C25" s="6">
        <v>0.02</v>
      </c>
    </row>
    <row r="26" spans="2:6" x14ac:dyDescent="0.3">
      <c r="B26" s="3" t="s">
        <v>19</v>
      </c>
      <c r="C26" s="5">
        <v>1200</v>
      </c>
    </row>
    <row r="27" spans="2:6" x14ac:dyDescent="0.3">
      <c r="B27" s="3" t="s">
        <v>20</v>
      </c>
      <c r="C27" s="5">
        <v>350</v>
      </c>
    </row>
    <row r="28" spans="2:6" x14ac:dyDescent="0.3">
      <c r="B28" s="3" t="s">
        <v>21</v>
      </c>
      <c r="C28" s="5">
        <v>250</v>
      </c>
    </row>
    <row r="30" spans="2:6" x14ac:dyDescent="0.3">
      <c r="B30" s="1" t="s">
        <v>9</v>
      </c>
      <c r="C30" s="2" t="s">
        <v>2</v>
      </c>
    </row>
    <row r="31" spans="2:6" x14ac:dyDescent="0.3">
      <c r="B31" s="3" t="s">
        <v>22</v>
      </c>
      <c r="C31" s="8"/>
    </row>
    <row r="32" spans="2:6" x14ac:dyDescent="0.3">
      <c r="B32" s="3" t="s">
        <v>23</v>
      </c>
      <c r="C32" s="8"/>
    </row>
    <row r="33" spans="2:6" x14ac:dyDescent="0.3">
      <c r="B33" s="3" t="s">
        <v>24</v>
      </c>
      <c r="C33" s="8"/>
    </row>
    <row r="34" spans="2:6" x14ac:dyDescent="0.3">
      <c r="B34" s="3" t="s">
        <v>25</v>
      </c>
      <c r="C34" s="8"/>
    </row>
    <row r="35" spans="2:6" x14ac:dyDescent="0.3">
      <c r="B35" s="3" t="s">
        <v>26</v>
      </c>
      <c r="C35" s="8"/>
    </row>
    <row r="36" spans="2:6" x14ac:dyDescent="0.3">
      <c r="B36" s="3" t="s">
        <v>27</v>
      </c>
      <c r="C36" s="8"/>
    </row>
    <row r="37" spans="2:6" x14ac:dyDescent="0.3">
      <c r="B37" s="3" t="s">
        <v>28</v>
      </c>
      <c r="C37" s="8"/>
    </row>
    <row r="38" spans="2:6" x14ac:dyDescent="0.3">
      <c r="B38" s="3" t="s">
        <v>29</v>
      </c>
      <c r="C38" s="8"/>
    </row>
    <row r="41" spans="2:6" ht="19.5" customHeight="1" x14ac:dyDescent="0.3">
      <c r="B41" s="13" t="s">
        <v>30</v>
      </c>
      <c r="C41" s="13"/>
      <c r="D41" s="13"/>
      <c r="E41" s="13"/>
      <c r="F41" s="13"/>
    </row>
    <row r="42" spans="2:6" ht="48.75" customHeight="1" x14ac:dyDescent="0.3">
      <c r="B42" s="12" t="s">
        <v>31</v>
      </c>
      <c r="C42" s="12"/>
      <c r="D42" s="12"/>
      <c r="E42" s="12"/>
      <c r="F42" s="12"/>
    </row>
    <row r="44" spans="2:6" ht="27.6" x14ac:dyDescent="0.3">
      <c r="B44" s="1" t="s">
        <v>1</v>
      </c>
      <c r="C44" s="2" t="s">
        <v>2</v>
      </c>
      <c r="D44" s="2" t="s">
        <v>32</v>
      </c>
      <c r="E44" s="2" t="s">
        <v>33</v>
      </c>
      <c r="F44" s="2" t="s">
        <v>34</v>
      </c>
    </row>
    <row r="45" spans="2:6" x14ac:dyDescent="0.3">
      <c r="B45" s="3" t="s">
        <v>35</v>
      </c>
      <c r="C45" s="4">
        <v>300</v>
      </c>
    </row>
    <row r="46" spans="2:6" x14ac:dyDescent="0.3">
      <c r="B46" s="3" t="s">
        <v>36</v>
      </c>
      <c r="C46" s="5">
        <v>260</v>
      </c>
    </row>
    <row r="47" spans="2:6" x14ac:dyDescent="0.3">
      <c r="B47" s="3" t="s">
        <v>5</v>
      </c>
      <c r="C47" s="5">
        <f>C45*C46</f>
        <v>78000</v>
      </c>
      <c r="D47" s="9"/>
      <c r="E47" s="8"/>
      <c r="F47" s="10"/>
    </row>
    <row r="48" spans="2:6" x14ac:dyDescent="0.3">
      <c r="B48" s="3" t="s">
        <v>37</v>
      </c>
      <c r="C48" s="5">
        <v>2400</v>
      </c>
      <c r="D48" s="9"/>
      <c r="E48" s="8"/>
      <c r="F48" s="10"/>
    </row>
    <row r="49" spans="2:6" x14ac:dyDescent="0.3">
      <c r="B49" s="3" t="s">
        <v>38</v>
      </c>
      <c r="C49" s="5">
        <v>600</v>
      </c>
      <c r="D49" s="9"/>
      <c r="E49" s="8"/>
      <c r="F49" s="10"/>
    </row>
    <row r="50" spans="2:6" x14ac:dyDescent="0.3">
      <c r="B50" s="3" t="s">
        <v>39</v>
      </c>
      <c r="C50" s="5">
        <v>500</v>
      </c>
      <c r="D50" s="9"/>
      <c r="E50" s="8"/>
      <c r="F50" s="10"/>
    </row>
    <row r="51" spans="2:6" x14ac:dyDescent="0.3">
      <c r="B51" s="3" t="s">
        <v>40</v>
      </c>
      <c r="C51" s="5">
        <v>900</v>
      </c>
      <c r="D51" s="9"/>
      <c r="E51" s="8"/>
      <c r="F51" s="10"/>
    </row>
    <row r="52" spans="2:6" x14ac:dyDescent="0.3">
      <c r="B52" s="3" t="s">
        <v>41</v>
      </c>
      <c r="C52" s="5">
        <v>3000</v>
      </c>
      <c r="D52" s="9"/>
      <c r="E52" s="8"/>
      <c r="F52" s="10"/>
    </row>
    <row r="53" spans="2:6" x14ac:dyDescent="0.3">
      <c r="B53" s="3" t="s">
        <v>42</v>
      </c>
      <c r="C53" s="5">
        <v>1500</v>
      </c>
      <c r="D53" s="9"/>
      <c r="E53" s="8"/>
      <c r="F53" s="10"/>
    </row>
    <row r="54" spans="2:6" x14ac:dyDescent="0.3">
      <c r="B54" s="3" t="s">
        <v>43</v>
      </c>
      <c r="C54" s="5">
        <v>700</v>
      </c>
      <c r="D54" s="9"/>
      <c r="E54" s="8"/>
      <c r="F54" s="10"/>
    </row>
    <row r="56" spans="2:6" x14ac:dyDescent="0.3">
      <c r="B56" s="1" t="s">
        <v>9</v>
      </c>
      <c r="C56" s="2" t="s">
        <v>2</v>
      </c>
    </row>
    <row r="57" spans="2:6" x14ac:dyDescent="0.3">
      <c r="B57" s="3" t="s">
        <v>28</v>
      </c>
      <c r="C57" s="8"/>
    </row>
    <row r="58" spans="2:6" x14ac:dyDescent="0.3">
      <c r="B58" s="3" t="s">
        <v>44</v>
      </c>
      <c r="C58" s="8"/>
    </row>
    <row r="59" spans="2:6" x14ac:dyDescent="0.3">
      <c r="B59" s="3" t="s">
        <v>45</v>
      </c>
      <c r="C59" s="8"/>
    </row>
    <row r="62" spans="2:6" ht="19.5" customHeight="1" x14ac:dyDescent="0.3">
      <c r="B62" s="13" t="s">
        <v>46</v>
      </c>
      <c r="C62" s="13"/>
      <c r="D62" s="13"/>
      <c r="E62" s="13"/>
      <c r="F62" s="13"/>
    </row>
    <row r="63" spans="2:6" ht="33.75" customHeight="1" x14ac:dyDescent="0.3">
      <c r="B63" s="12" t="s">
        <v>47</v>
      </c>
      <c r="C63" s="12"/>
      <c r="D63" s="12"/>
      <c r="E63" s="12"/>
      <c r="F63" s="12"/>
    </row>
    <row r="65" spans="2:5" x14ac:dyDescent="0.3">
      <c r="B65" s="1" t="s">
        <v>1</v>
      </c>
      <c r="C65" s="2" t="s">
        <v>48</v>
      </c>
      <c r="D65" s="2" t="s">
        <v>49</v>
      </c>
      <c r="E65" s="2" t="s">
        <v>50</v>
      </c>
    </row>
    <row r="66" spans="2:5" x14ac:dyDescent="0.3">
      <c r="B66" s="3" t="s">
        <v>4</v>
      </c>
      <c r="C66" s="4">
        <v>200</v>
      </c>
      <c r="D66" s="4">
        <v>300</v>
      </c>
      <c r="E66" s="4">
        <f>C66+D66</f>
        <v>500</v>
      </c>
    </row>
    <row r="67" spans="2:5" x14ac:dyDescent="0.3">
      <c r="B67" s="3" t="s">
        <v>5</v>
      </c>
      <c r="C67" s="5">
        <v>24000</v>
      </c>
      <c r="D67" s="5">
        <v>36000</v>
      </c>
      <c r="E67" s="5">
        <f>C67+D67</f>
        <v>60000</v>
      </c>
    </row>
    <row r="68" spans="2:5" x14ac:dyDescent="0.3">
      <c r="B68" s="3" t="s">
        <v>51</v>
      </c>
      <c r="C68" s="5">
        <v>3000</v>
      </c>
    </row>
    <row r="69" spans="2:5" x14ac:dyDescent="0.3">
      <c r="B69" s="3" t="s">
        <v>52</v>
      </c>
      <c r="C69" s="5">
        <v>1200</v>
      </c>
    </row>
    <row r="71" spans="2:5" x14ac:dyDescent="0.3">
      <c r="B71" s="1" t="s">
        <v>9</v>
      </c>
      <c r="C71" s="2" t="s">
        <v>48</v>
      </c>
      <c r="D71" s="2" t="s">
        <v>49</v>
      </c>
      <c r="E71" s="2" t="s">
        <v>50</v>
      </c>
    </row>
    <row r="72" spans="2:5" x14ac:dyDescent="0.3">
      <c r="B72" s="3" t="s">
        <v>53</v>
      </c>
      <c r="C72" s="11"/>
      <c r="D72" s="11"/>
      <c r="E72" s="11"/>
    </row>
    <row r="73" spans="2:5" x14ac:dyDescent="0.3">
      <c r="B73" s="3" t="s">
        <v>54</v>
      </c>
      <c r="C73" s="8"/>
      <c r="D73" s="8"/>
      <c r="E73" s="8"/>
    </row>
    <row r="74" spans="2:5" x14ac:dyDescent="0.3">
      <c r="B74" s="3" t="s">
        <v>55</v>
      </c>
      <c r="C74" s="8"/>
      <c r="D74" s="8"/>
      <c r="E74" s="8"/>
    </row>
    <row r="75" spans="2:5" x14ac:dyDescent="0.3">
      <c r="B75" s="3" t="s">
        <v>28</v>
      </c>
      <c r="C75" s="8"/>
      <c r="D75" s="8"/>
      <c r="E75" s="8"/>
    </row>
    <row r="76" spans="2:5" x14ac:dyDescent="0.3">
      <c r="B76" s="3" t="s">
        <v>56</v>
      </c>
      <c r="C76" s="8"/>
      <c r="D76" s="8"/>
    </row>
  </sheetData>
  <mergeCells count="8">
    <mergeCell ref="B42:F42"/>
    <mergeCell ref="B62:F62"/>
    <mergeCell ref="B63:F63"/>
    <mergeCell ref="B2:F2"/>
    <mergeCell ref="B3:F3"/>
    <mergeCell ref="B18:F18"/>
    <mergeCell ref="B19:F19"/>
    <mergeCell ref="B41:F4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Actividad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Usuario</cp:lastModifiedBy>
  <cp:revision>0</cp:revision>
  <dcterms:created xsi:type="dcterms:W3CDTF">2026-08-27T18:41:36Z</dcterms:created>
  <dcterms:modified xsi:type="dcterms:W3CDTF">2026-08-27T18:50:18Z</dcterms:modified>
  <dc:language>en-US</dc:language>
</cp:coreProperties>
</file>