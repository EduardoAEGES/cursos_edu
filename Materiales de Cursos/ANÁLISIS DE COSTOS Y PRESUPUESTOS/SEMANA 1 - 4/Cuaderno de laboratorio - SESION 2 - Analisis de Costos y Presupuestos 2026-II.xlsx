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 DEL DOCENTE" sheetId="1" state="visible" r:id="rId3"/>
    <sheet name="LAB 2 · ENUNCIADO" sheetId="2" state="visible" r:id="rId4"/>
    <sheet name="LAB 2 · SOLUCIONARIO" sheetId="3" state="visible" r:id="rId5"/>
    <sheet name="LAB 3 · ENUNCIADO" sheetId="4" state="visible" r:id="rId6"/>
    <sheet name="LAB 3 · SOLUCIONARIO" sheetId="5" state="visible" r:id="rId7"/>
    <sheet name="PROYECTO · FICHA" sheetId="6" state="visible" r:id="rId8"/>
    <sheet name="EVALUACIÓ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<sst xmlns="http://schemas.openxmlformats.org/spreadsheetml/2006/main" count="623" uniqueCount="380">
  <si>
    <t xml:space="preserve">SESIÓN 2 · CUADERNO DE LABORATORIO · ANÁLISIS DE COSTOS Y PRESUPUESTOS</t>
  </si>
  <si>
    <t xml:space="preserve">Actividad 2: Estructura y clasificación del costo comercial   ·   Jueves 20/08/2026   ·   14:30 a 16:45</t>
  </si>
  <si>
    <t xml:space="preserve">DATOS DE LA SESIÓN</t>
  </si>
  <si>
    <t xml:space="preserve">Temas del sílabo</t>
  </si>
  <si>
    <t xml:space="preserve">2.1. Clasificación por comportamiento: costos fijos, variables y semivariables.   2.2. Clasificación por capacidad de identificación: costos directos e indirectos.   1.5. Avance del Proyecto Integrador: selección de la empresa real y levantamiento inicial.</t>
  </si>
  <si>
    <t xml:space="preserve">Punto del informe</t>
  </si>
  <si>
    <t xml:space="preserve">5.1 Clasificación de los costos de la propuesta (Proyecto Final MKT 3, capítulo 5)</t>
  </si>
  <si>
    <t xml:space="preserve">Instrumento de evaluación</t>
  </si>
  <si>
    <t xml:space="preserve">Ficha de levantamiento inicial y lista de cotejo de conformación de equipos</t>
  </si>
  <si>
    <t xml:space="preserve">Recursos</t>
  </si>
  <si>
    <t xml:space="preserve">Laboratorio de cómputo con MS Excel, proyector, este cuaderno de laboratorio impreso y en digital, información de la empresa que cada equipo eligió</t>
  </si>
  <si>
    <t xml:space="preserve">Idea que debe quedar</t>
  </si>
  <si>
    <t xml:space="preserve">Un costo no es fijo o variable por su naturaleza, sino por cómo se comporta frente al volumen. Y no es directo o indirecto en abstracto, sino respecto de un objeto de costo que hay que declarar primero.</t>
  </si>
  <si>
    <t xml:space="preserve">SECUENCIA DE LA SESIÓN Y USO DE ESTE CUADERNO</t>
  </si>
  <si>
    <t xml:space="preserve">Min</t>
  </si>
  <si>
    <t xml:space="preserve">Hora</t>
  </si>
  <si>
    <t xml:space="preserve">Bloque</t>
  </si>
  <si>
    <t xml:space="preserve">Qué hace el docente</t>
  </si>
  <si>
    <t xml:space="preserve">Qué hace el estudiante</t>
  </si>
  <si>
    <t xml:space="preserve">Hoja de este cuaderno</t>
  </si>
  <si>
    <t xml:space="preserve">14:30</t>
  </si>
  <si>
    <t xml:space="preserve">Reto de apertura</t>
  </si>
  <si>
    <t xml:space="preserve">Proyecta el recibo de servicios y lanza la pregunta: si mañana no vende nada, ¿cuánto de esto igual se paga? No corrige ninguna respuesta.</t>
  </si>
  <si>
    <t xml:space="preserve">Escribe su respuesta en una línea y la guarda para el cierre.</t>
  </si>
  <si>
    <t xml:space="preserve">—</t>
  </si>
  <si>
    <t xml:space="preserve">14:35</t>
  </si>
  <si>
    <t xml:space="preserve">2.1 Microclase de comportamiento</t>
  </si>
  <si>
    <t xml:space="preserve">Explica fijo, variable y semivariable con el criterio de comportamiento frente al volumen. Grafica los tres en pizarra. Advierte que fijo no es invariable.</t>
  </si>
  <si>
    <t xml:space="preserve">Copia el gráfico de los tres comportamientos.</t>
  </si>
  <si>
    <t xml:space="preserve">14:45</t>
  </si>
  <si>
    <t xml:space="preserve">LABORATORIO 2</t>
  </si>
  <si>
    <t xml:space="preserve">Recorre el aula. A los 10 minutos corrige en proyector los ítems 1 al 5 para que todos partan igual.</t>
  </si>
  <si>
    <t xml:space="preserve">Resuelve el laboratorio 2 en sus tres niveles, del básico al avanzado.</t>
  </si>
  <si>
    <t xml:space="preserve">LAB 2 · ENUNCIADO</t>
  </si>
  <si>
    <t xml:space="preserve">15:15</t>
  </si>
  <si>
    <t xml:space="preserve">2.2 Microclase de identificación</t>
  </si>
  <si>
    <t xml:space="preserve">Explica directo e indirecto con el caso de la tienda de dos líneas: el mismo sueldo cambia de categoría según el objeto de costo.</t>
  </si>
  <si>
    <t xml:space="preserve">Completa la columna de identificación del laboratorio 2.</t>
  </si>
  <si>
    <t xml:space="preserve">15:25</t>
  </si>
  <si>
    <t xml:space="preserve">LABORATORIO 3</t>
  </si>
  <si>
    <t xml:space="preserve">Modela en proyector los dos primeros pasos del método de puntos altos y bajos y deja que el aula termine.</t>
  </si>
  <si>
    <t xml:space="preserve">Resuelve el laboratorio 3 en sus tres niveles.</t>
  </si>
  <si>
    <t xml:space="preserve">LAB 3 · ENUNCIADO</t>
  </si>
  <si>
    <t xml:space="preserve">15:50</t>
  </si>
  <si>
    <t xml:space="preserve">Holgura</t>
  </si>
  <si>
    <t xml:space="preserve">Resuelve consultas y verifica que nadie quede atrás antes del taller del proyecto.</t>
  </si>
  <si>
    <t xml:space="preserve">Termina lo pendiente.</t>
  </si>
  <si>
    <t xml:space="preserve">15:55</t>
  </si>
  <si>
    <t xml:space="preserve">PROYECTO INTEGRADOR</t>
  </si>
  <si>
    <t xml:space="preserve">Asesora equipo por equipo. Aprueba o rechaza la empresa elegida con los cuatro filtros.</t>
  </si>
  <si>
    <t xml:space="preserve">Completa la matriz de decisión, elige la empresa y llena la ficha de levantamiento.</t>
  </si>
  <si>
    <t xml:space="preserve">PROYECTO · FICHA</t>
  </si>
  <si>
    <t xml:space="preserve">16:35</t>
  </si>
  <si>
    <t xml:space="preserve">Compromisos de campo</t>
  </si>
  <si>
    <t xml:space="preserve">Anota en pizarra el compromiso de cada equipo y verifica que la fecha de entrevista sea realista.</t>
  </si>
  <si>
    <t xml:space="preserve">Declara empresa, producto a costear y fecha de entrevista al propietario.</t>
  </si>
  <si>
    <t xml:space="preserve">ERRORES QUE VAN A APARECER Y CÓMO CORREGIRLOS EN EL MOMENTO</t>
  </si>
  <si>
    <t xml:space="preserve">N°</t>
  </si>
  <si>
    <t xml:space="preserve">Error esperado</t>
  </si>
  <si>
    <t xml:space="preserve">Por qué ocurre</t>
  </si>
  <si>
    <t xml:space="preserve">Cómo corregirlo en clase</t>
  </si>
  <si>
    <t xml:space="preserve">1</t>
  </si>
  <si>
    <t xml:space="preserve">Lab 2</t>
  </si>
  <si>
    <t xml:space="preserve">Clasificar el sueldo del vendedor como variable porque «depende de cuánto venda».</t>
  </si>
  <si>
    <t xml:space="preserve">Confunden el sueldo base con la comisión.</t>
  </si>
  <si>
    <t xml:space="preserve">Separar las dos líneas: el sueldo base es fijo y la comisión es variable. Están en filas distintas a propósito.</t>
  </si>
  <si>
    <t xml:space="preserve">2</t>
  </si>
  <si>
    <t xml:space="preserve">Clasificar la energía eléctrica como fija porque «llega todos los meses».</t>
  </si>
  <si>
    <t xml:space="preserve">Confunden periodicidad con comportamiento.</t>
  </si>
  <si>
    <t xml:space="preserve">Preguntar: ¿el recibo del mes de mayor venta fue igual al del mes de menor venta? El laboratorio 3 lo demuestra con datos.</t>
  </si>
  <si>
    <t xml:space="preserve">3</t>
  </si>
  <si>
    <t xml:space="preserve">Clasificar la compra de mercadería como indirecta.</t>
  </si>
  <si>
    <t xml:space="preserve">No tienen presente el objeto de costo declarado.</t>
  </si>
  <si>
    <t xml:space="preserve">Volver a la pregunta: ¿se puede saber cuánto de esta compra corresponde a una caja vendida? Si la respuesta es sí, es directo.</t>
  </si>
  <si>
    <t xml:space="preserve">4</t>
  </si>
  <si>
    <t xml:space="preserve">Concluir que el costo unitario baja siempre.</t>
  </si>
  <si>
    <t xml:space="preserve">Ven el resultado del nivel 3 sin leer la causa.</t>
  </si>
  <si>
    <t xml:space="preserve">Mostrar que lo que baja es el fijo unitario, no el variable unitario. El variable por unidad no se mueve.</t>
  </si>
  <si>
    <t xml:space="preserve">5</t>
  </si>
  <si>
    <t xml:space="preserve">Lab 3</t>
  </si>
  <si>
    <t xml:space="preserve">Elegir como punto alto el mes de mayor costo en lugar del de mayor volumen.</t>
  </si>
  <si>
    <t xml:space="preserve">Miran la columna equivocada.</t>
  </si>
  <si>
    <t xml:space="preserve">Regla en voz alta: los puntos se eligen por el nivel de actividad, nunca por el monto del costo.</t>
  </si>
  <si>
    <t xml:space="preserve">6</t>
  </si>
  <si>
    <t xml:space="preserve">Obtener un costo fijo negativo.</t>
  </si>
  <si>
    <t xml:space="preserve">Invirtieron el orden de la resta o usaron el mes equivocado.</t>
  </si>
  <si>
    <t xml:space="preserve">Verificar con el otro extremo: la ecuación debe dar el costo real en los dos puntos elegidos. Si no cuadra, está mal.</t>
  </si>
  <si>
    <t xml:space="preserve">Este cuaderno está diseñado para trabajarse en pantalla. Las celdas amarillas son las que el estudiante completa; las tablas grises se calculan solas a partir de lo que él clasifique. Si un estudiante no clasifica, sus tablas de resultado quedan en cero: eso es intencional y sirve para que note la dependencia.</t>
  </si>
  <si>
    <t xml:space="preserve">LABORATORIO 2 · CLASIFICACIÓN DE COSTOS Y EFECTO SOBRE EL COSTO UNITARIO</t>
  </si>
  <si>
    <t xml:space="preserve">CASO: Bodega y Distribuidora El Misti S.A.C.</t>
  </si>
  <si>
    <t xml:space="preserve">La empresa comercializa abarrotes en cajas a bodegas del cono norte de Arequipa. En un mes típico vende 4 000 cajas. A continuación se presentan los 25 desembolsos del mes. OBJETO DE COSTO DECLARADO: una caja de abarrotes vendida. Toda la clasificación de la columna «identificación» se hace respecto de ese objeto y no de otro.</t>
  </si>
  <si>
    <t xml:space="preserve">NIVEL 1 · BÁSICO: clasificar por comportamiento (ítems 1 al 12)</t>
  </si>
  <si>
    <t xml:space="preserve">Pregunta que hay que hacerse en cada fila: si el mes que viene la empresa vende el doble de cajas, ¿este monto sube, se queda igual o sube solo en parte? Sube = variable. Se queda igual = fijo. Sube en parte = semivariable.</t>
  </si>
  <si>
    <t xml:space="preserve">Concepto del desembolso</t>
  </si>
  <si>
    <t xml:space="preserve">Monto del mes (S/)</t>
  </si>
  <si>
    <t xml:space="preserve">Comportamiento</t>
  </si>
  <si>
    <t xml:space="preserve">Identificación</t>
  </si>
  <si>
    <t xml:space="preserve">Justificación</t>
  </si>
  <si>
    <t xml:space="preserve">Compra de mercadería para la venta (costo de adquisición)</t>
  </si>
  <si>
    <t xml:space="preserve">Alquiler del local comercial</t>
  </si>
  <si>
    <t xml:space="preserve">Sueldo base de los vendedores</t>
  </si>
  <si>
    <t xml:space="preserve">Comisión de vendedores (3 % sobre ventas)</t>
  </si>
  <si>
    <t xml:space="preserve">Sueldo del administrador</t>
  </si>
  <si>
    <t xml:space="preserve">Bolsas y material de embalaje por pedido</t>
  </si>
  <si>
    <t xml:space="preserve">Servicio de internet del local</t>
  </si>
  <si>
    <t xml:space="preserve">Energía eléctrica</t>
  </si>
  <si>
    <t xml:space="preserve">Combustible de la unidad de reparto</t>
  </si>
  <si>
    <t xml:space="preserve">Seguro anual del local (parte mensual)</t>
  </si>
  <si>
    <t xml:space="preserve">Depreciación de estanterías y mobiliario</t>
  </si>
  <si>
    <t xml:space="preserve">Publicidad en redes sociales (plan mensual)</t>
  </si>
  <si>
    <t xml:space="preserve">NIVEL 2 · INTERMEDIO: los ítems 13 al 25 incluyen cinco casos que se discuten (8, 14, 16, 20 y 22)</t>
  </si>
  <si>
    <t xml:space="preserve">Merma por productos vencidos</t>
  </si>
  <si>
    <t xml:space="preserve">Mantenimiento de la unidad de reparto</t>
  </si>
  <si>
    <t xml:space="preserve">Útiles de oficina</t>
  </si>
  <si>
    <t xml:space="preserve">Agua</t>
  </si>
  <si>
    <t xml:space="preserve">Servicio de delivery tercerizado por pedido</t>
  </si>
  <si>
    <t xml:space="preserve">Honorarios del contador externo</t>
  </si>
  <si>
    <t xml:space="preserve">Impuesto predial (parte mensual)</t>
  </si>
  <si>
    <t xml:space="preserve">Descuento por pronto pago otorgado a clientes</t>
  </si>
  <si>
    <t xml:space="preserve">Alquiler del almacén</t>
  </si>
  <si>
    <t xml:space="preserve">Telefonía móvil de la fuerza de ventas</t>
  </si>
  <si>
    <t xml:space="preserve">Capacitación anual del personal (parte mensual)</t>
  </si>
  <si>
    <t xml:space="preserve">Comisión de la pasarela de pago (2,5 % de lo cobrado)</t>
  </si>
  <si>
    <t xml:space="preserve">Servicio de vigilancia del local</t>
  </si>
  <si>
    <t xml:space="preserve">TOTAL DE DESEMBOLSOS DEL MES</t>
  </si>
  <si>
    <t xml:space="preserve">RESULTADO AUTOMÁTICO · el cuadro se llena solo con lo que se clasifique arriba</t>
  </si>
  <si>
    <t xml:space="preserve">Total del mes (S/)</t>
  </si>
  <si>
    <t xml:space="preserve">% del total</t>
  </si>
  <si>
    <t xml:space="preserve">Ítems clasificados</t>
  </si>
  <si>
    <t xml:space="preserve">Fijo</t>
  </si>
  <si>
    <t xml:space="preserve">Variable</t>
  </si>
  <si>
    <t xml:space="preserve">Semivariable</t>
  </si>
  <si>
    <t xml:space="preserve">Sin clasificar</t>
  </si>
  <si>
    <t xml:space="preserve">NIVEL 3 · AVANZADO: efecto del volumen sobre el costo total y sobre el costo unitario</t>
  </si>
  <si>
    <t xml:space="preserve">Se toma como base un mes de 4 000 cajas. Los costos variables se recalculan en proporción al volumen; los fijos se mantienen. Los semivariables NO entran todavía en este cuadro: no se pueden repartir hasta separarlos, y eso es exactamente lo que se hace en el laboratorio 3.</t>
  </si>
  <si>
    <t xml:space="preserve">Concepto</t>
  </si>
  <si>
    <t xml:space="preserve">3 000 cajas</t>
  </si>
  <si>
    <t xml:space="preserve">4 000 cajas (base)</t>
  </si>
  <si>
    <t xml:space="preserve">5 000 cajas</t>
  </si>
  <si>
    <t xml:space="preserve">Costo variable total</t>
  </si>
  <si>
    <t xml:space="preserve">Costo fijo total</t>
  </si>
  <si>
    <t xml:space="preserve">COSTO TOTAL</t>
  </si>
  <si>
    <t xml:space="preserve">Costo variable unitario</t>
  </si>
  <si>
    <t xml:space="preserve">Costo fijo unitario</t>
  </si>
  <si>
    <t xml:space="preserve">COSTO UNITARIO TOTAL</t>
  </si>
  <si>
    <t xml:space="preserve">PREGUNTAS DE CIERRE DEL LABORATORIO 2 (se responden en la misma hoja)</t>
  </si>
  <si>
    <t xml:space="preserve">Pregunta</t>
  </si>
  <si>
    <t xml:space="preserve">Respuesta del equipo</t>
  </si>
  <si>
    <t xml:space="preserve">a</t>
  </si>
  <si>
    <t xml:space="preserve">El costo unitario total baja cuando el volumen sube. ¿Qué componente es el que baja y cuál se mantiene igual? Explique por qué.</t>
  </si>
  <si>
    <t xml:space="preserve">b</t>
  </si>
  <si>
    <t xml:space="preserve">El ítem 3 es el sueldo base de los vendedores y el ítem 4 es su comisión. ¿Por qué están en filas separadas si son la misma persona?</t>
  </si>
  <si>
    <t xml:space="preserve">c</t>
  </si>
  <si>
    <t xml:space="preserve">¿Qué pasaría con la clasificación de la columna «identificación» si el objeto de costo fuera el canal de venta y no la caja?</t>
  </si>
  <si>
    <t xml:space="preserve">d</t>
  </si>
  <si>
    <t xml:space="preserve">¿Por qué los semivariables quedaron fuera del cuadro del nivel 3?</t>
  </si>
  <si>
    <t xml:space="preserve">LABORATORIO 2 · SOLUCIONARIO DEL DOCENTE</t>
  </si>
  <si>
    <t xml:space="preserve">Directo</t>
  </si>
  <si>
    <t xml:space="preserve">Cada caja comprada es una caja que se venderá; sube y baja con el volumen.</t>
  </si>
  <si>
    <t xml:space="preserve">Indirecto</t>
  </si>
  <si>
    <t xml:space="preserve">Se paga igual se venda mucho o poco; sirve a todo el negocio, no a una caja.</t>
  </si>
  <si>
    <t xml:space="preserve">El sueldo base no cambia con la venta, pero el vendedor sí se identifica con la línea que atiende.</t>
  </si>
  <si>
    <t xml:space="preserve">Nace de cada venta y se identifica con ella.</t>
  </si>
  <si>
    <t xml:space="preserve">No cambia con el volumen y su trabajo alcanza a todo el negocio.</t>
  </si>
  <si>
    <t xml:space="preserve">Se consume una por pedido despachado.</t>
  </si>
  <si>
    <t xml:space="preserve">Tarifa plana mensual, común a toda la operación.</t>
  </si>
  <si>
    <t xml:space="preserve">Tiene un cargo fijo y un componente que sube con la actividad. Se separa en el laboratorio 3.</t>
  </si>
  <si>
    <t xml:space="preserve">Depende de los pedidos repartidos.</t>
  </si>
  <si>
    <t xml:space="preserve">Prima anual prorrateada; no depende de la venta.</t>
  </si>
  <si>
    <t xml:space="preserve">Se calcula por tiempo, no por uso.</t>
  </si>
  <si>
    <t xml:space="preserve">Monto contratado por mes, independiente de lo que se venda.</t>
  </si>
  <si>
    <t xml:space="preserve">Crece con el volumen que se maneja en almacén.</t>
  </si>
  <si>
    <t xml:space="preserve">Tiene mantenimiento programado fijo y correctivo según kilómetros recorridos.</t>
  </si>
  <si>
    <t xml:space="preserve">Consumo estable del área administrativa.</t>
  </si>
  <si>
    <t xml:space="preserve">Cargo fijo más consumo; en este negocio el componente variable es pequeño pero existe.</t>
  </si>
  <si>
    <t xml:space="preserve">Se paga por pedido entregado.</t>
  </si>
  <si>
    <t xml:space="preserve">Monto mensual acordado, no depende del volumen.</t>
  </si>
  <si>
    <t xml:space="preserve">Tributo anual prorrateado sobre el local.</t>
  </si>
  <si>
    <t xml:space="preserve">Se otorga sobre cada venta cobrada anticipadamente.</t>
  </si>
  <si>
    <t xml:space="preserve">Contrato mensual independiente del movimiento.</t>
  </si>
  <si>
    <t xml:space="preserve">Plan base más consumo adicional en meses de mayor gestión.</t>
  </si>
  <si>
    <t xml:space="preserve">Programa anual prorrateado.</t>
  </si>
  <si>
    <t xml:space="preserve">Se cobra sobre cada transacción.</t>
  </si>
  <si>
    <t xml:space="preserve">Contrato mensual fijo.</t>
  </si>
  <si>
    <t xml:space="preserve">Respuesta esperada</t>
  </si>
  <si>
    <t xml:space="preserve">Baja el costo fijo unitario, porque el mismo monto fijo se reparte entre más cajas. El costo variable unitario no se mueve: cada caja adicional consume lo mismo.</t>
  </si>
  <si>
    <t xml:space="preserve">Porque tienen comportamientos distintos: el sueldo base es fijo y la comisión es variable. Registrarlos juntos haría imposible proyectar el costo a otro volumen.</t>
  </si>
  <si>
    <t xml:space="preserve">Varios costos hoy indirectos pasarían a directos, por ejemplo el combustible de reparto respecto del canal delivery. La clasificación depende del objeto declarado.</t>
  </si>
  <si>
    <t xml:space="preserve">Porque una parte de ellos se comporta como fijo y otra como variable, y hasta no separarlos no se puede proyectar el total a otro volumen. Eso se resuelve en el laboratorio 3.</t>
  </si>
  <si>
    <t xml:space="preserve">LABORATORIO 3 · SEPARACIÓN DE UN COSTO SEMIVARIABLE POR PUNTOS ALTOS Y BAJOS</t>
  </si>
  <si>
    <t xml:space="preserve">CASO: energía eléctrica de Bodega y Distribuidora El Misti S.A.C. (la misma empresa del laboratorio 2)</t>
  </si>
  <si>
    <t xml:space="preserve">En el laboratorio 2 la energía eléctrica quedó clasificada como semivariable y por eso no pudo entrar en el cuadro del nivel 3. Aquí se separa en sus dos componentes con los doce meses del año anterior. El método de puntos altos y bajos usa solo dos meses: el de mayor y el de menor NIVEL DE ACTIVIDAD, nunca el de mayor o menor costo.</t>
  </si>
  <si>
    <t xml:space="preserve">NIVEL 1 · BÁSICO: identificar el punto alto y el punto bajo</t>
  </si>
  <si>
    <t xml:space="preserve">Marque con la palabra ALTO el mes de mayor volumen de cajas vendidas y con BAJO el de menor volumen. Ojo: se decide mirando la columna de cajas, no la del costo.</t>
  </si>
  <si>
    <t xml:space="preserve">Mes</t>
  </si>
  <si>
    <t xml:space="preserve">Cajas vendidas</t>
  </si>
  <si>
    <t xml:space="preserve">Costo de energía (S/)</t>
  </si>
  <si>
    <t xml:space="preserve">Marca (ALTO / BAJO)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</si>
  <si>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</si>
  <si>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</si>
  <si>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</si>
  <si>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</si>
  <si>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</si>
  <si>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</si>
  <si>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</si>
  <si>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</si>
  <si>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Setiembre</t>
  </si>
  <si>
    <t xml:space="preserve">Octubre</t>
  </si>
  <si>
    <t xml:space="preserve">Noviembre</t>
  </si>
  <si>
    <t xml:space="preserve">Diciembre</t>
  </si>
  <si>
    <t xml:space="preserve">NIVEL 2 · INTERMEDIO: calcular la tasa variable y el componente fijo</t>
  </si>
  <si>
    <t xml:space="preserve">Paso</t>
  </si>
  <si>
    <t xml:space="preserve">Fórmula que se aplica</t>
  </si>
  <si>
    <t xml:space="preserve">Resultado</t>
  </si>
  <si>
    <t xml:space="preserve">Unidad</t>
  </si>
  <si>
    <t xml:space="preserve">Comentario</t>
  </si>
  <si>
    <t xml:space="preserve">Cajas del punto alto</t>
  </si>
  <si>
    <t xml:space="preserve">Máximo de la columna de cajas</t>
  </si>
  <si>
    <t xml:space="preserve">cajas</t>
  </si>
  <si>
    <t xml:space="preserve">Se toma el mes de agosto.</t>
  </si>
  <si>
    <t xml:space="preserve">Cajas del punto bajo</t>
  </si>
  <si>
    <t xml:space="preserve">Mínimo de la columna de cajas</t>
  </si>
  <si>
    <t xml:space="preserve">Se toma el mes de abril.</t>
  </si>
  <si>
    <t xml:space="preserve">Costo del punto alto</t>
  </si>
  <si>
    <t xml:space="preserve">Costo del mes de mayor volumen</t>
  </si>
  <si>
    <t xml:space="preserve">S/</t>
  </si>
  <si>
    <t xml:space="preserve">Se busca el costo que corresponde al volumen máximo.</t>
  </si>
  <si>
    <t xml:space="preserve">Costo del punto bajo</t>
  </si>
  <si>
    <t xml:space="preserve">Costo del mes de menor volumen</t>
  </si>
  <si>
    <t xml:space="preserve">Se busca el costo que corresponde al volumen mínimo.</t>
  </si>
  <si>
    <t xml:space="preserve">Diferencia de costo</t>
  </si>
  <si>
    <t xml:space="preserve">Costo alto menos costo bajo</t>
  </si>
  <si>
    <t xml:space="preserve">Todo lo que subió el recibo entre los dos meses.</t>
  </si>
  <si>
    <t xml:space="preserve">Diferencia de volumen</t>
  </si>
  <si>
    <t xml:space="preserve">Cajas alto menos cajas bajo</t>
  </si>
  <si>
    <t xml:space="preserve">Todo lo que subió la actividad entre los dos meses.</t>
  </si>
  <si>
    <t xml:space="preserve">TASA VARIABLE UNITARIA</t>
  </si>
  <si>
    <t xml:space="preserve">Diferencia de costo entre diferencia de volumen</t>
  </si>
  <si>
    <t xml:space="preserve">S/ por caja</t>
  </si>
  <si>
    <t xml:space="preserve">Lo que cuesta de energía cada caja adicional.</t>
  </si>
  <si>
    <t xml:space="preserve">COMPONENTE FIJO MENSUAL</t>
  </si>
  <si>
    <t xml:space="preserve">Costo del punto alto menos tasa variable por cajas del punto alto</t>
  </si>
  <si>
    <t xml:space="preserve">S/ al mes</t>
  </si>
  <si>
    <t xml:space="preserve">Lo que se paga aunque no se venda ninguna caja.</t>
  </si>
  <si>
    <t xml:space="preserve">Verificación con el punto bajo</t>
  </si>
  <si>
    <t xml:space="preserve">Fijo más tasa variable por cajas del punto bajo</t>
  </si>
  <si>
    <t xml:space="preserve">Debe dar exactamente el costo del punto bajo. Si no coincide, hay un error.</t>
  </si>
  <si>
    <t xml:space="preserve">NIVEL 3 · AVANZADO: escribir la ecuación del costo y proyectar</t>
  </si>
  <si>
    <t xml:space="preserve">ECUACIÓN DEL COSTO TOTAL DE ENERGÍA:      Costo = componente fijo + (tasa variable × número de cajas)</t>
  </si>
  <si>
    <t xml:space="preserve">Escenario</t>
  </si>
  <si>
    <t xml:space="preserve">Cajas proyectadas</t>
  </si>
  <si>
    <t xml:space="preserve">Costo de energía proyectado (S/)</t>
  </si>
  <si>
    <t xml:space="preserve">Fórmula aplicada</t>
  </si>
  <si>
    <t xml:space="preserve">Mes de campaña escolar</t>
  </si>
  <si>
    <t xml:space="preserve">Componente fijo (D30) más tasa variable (D29) por las cajas</t>
  </si>
  <si>
    <t xml:space="preserve">Mes promedio del próximo año</t>
  </si>
  <si>
    <t xml:space="preserve">Mes de temporada baja</t>
  </si>
  <si>
    <t xml:space="preserve">PREGUNTAS DE CIERRE DEL LABORATORIO 3</t>
  </si>
  <si>
    <t xml:space="preserve">¿Por qué el punto alto y el punto bajo se eligen por el número de cajas y no por el monto del recibo?</t>
  </si>
  <si>
    <t xml:space="preserve">El método usa solo 2 de los 12 meses. ¿Qué riesgo tiene eso y cómo se controla?</t>
  </si>
  <si>
    <t xml:space="preserve">Con la ecuación obtenida, ¿qué parte del recibo de energía es fija y qué parte variable en un mes de 4 000 cajas? ¿Coincide con los S/ 1 040 del laboratorio 2?</t>
  </si>
  <si>
    <t xml:space="preserve">¿Cómo cambia el cuadro del nivel 3 del laboratorio 2 ahora que la energía está separada?</t>
  </si>
  <si>
    <t xml:space="preserve">LABORATORIO 3 · SOLUCIONARIO DEL DOCENTE</t>
  </si>
  <si>
    <t xml:space="preserve">Observación</t>
  </si>
  <si>
    <t xml:space="preserve">BAJO</t>
  </si>
  <si>
    <t xml:space="preserve">Menor nivel de actividad del año. Es el punto bajo.</t>
  </si>
  <si>
    <t xml:space="preserve">ALTO</t>
  </si>
  <si>
    <t xml:space="preserve">Mayor nivel de actividad del año. Es el punto alto.</t>
  </si>
  <si>
    <t xml:space="preserve">Trampa frecuente: es el segundo costo más alto, pero no el mayor volumen.</t>
  </si>
  <si>
    <t xml:space="preserve">Porque lo que se busca medir es cómo reacciona el costo ante la actividad. Si se eligiera por el monto, se estaría usando el resultado para explicar la causa.</t>
  </si>
  <si>
    <t xml:space="preserve">Si uno de los dos meses fue atípico, la ecuación queda distorsionada. Se controla verificando que la ecuación reproduzca el costo real de los otros meses con una diferencia pequeña.</t>
  </si>
  <si>
    <t xml:space="preserve">Fijo 380 y variable 1 280, total 1 660. No coincide con los 1 040 del laboratorio 2 porque aquel era un mes de menor actividad: eso mismo confirma que el costo es semivariable.</t>
  </si>
  <si>
    <t xml:space="preserve">El componente fijo se suma a los costos fijos y el variable al costo variable unitario, con lo que la proyección a otros volúmenes queda completa y no aproximada.</t>
  </si>
  <si>
    <t xml:space="preserve">PROYECTO INTEGRADOR · BLOQUE DE 40 MINUTOS DE LA SESIÓN 2</t>
  </si>
  <si>
    <t xml:space="preserve">Selección de la empresa real y levantamiento inicial de operaciones  ·  Punto 5.1 del informe</t>
  </si>
  <si>
    <t xml:space="preserve">QUÉ SE ENTREGA AL FINAL DE ESTOS 40 MINUTOS</t>
  </si>
  <si>
    <t xml:space="preserve">Tres cosas: la matriz de decisión de las tres empresas candidatas con su puntaje, la ficha de levantamiento inicial de la empresa elegida con lo que ya se sabe y lo que falta averiguar, y el compromiso de campo firmado por el equipo. El docente aprueba o rechaza la empresa en la misma sesión: sin aprobación no se puede avanzar a la sesión 3.</t>
  </si>
  <si>
    <t xml:space="preserve">PASO 1 · MATRIZ DE DECISIÓN DE LAS TRES CANDIDATAS (12 minutos)</t>
  </si>
  <si>
    <t xml:space="preserve">Califique cada filtro de 1 a 5, donde 1 es que no cumple y 5 que cumple plenamente. El puntaje ponderado se calcula solo. Se elige la candidata de mayor puntaje, salvo que alguna tenga un 1 en acceso a información: ese filtro es eliminatorio.</t>
  </si>
  <si>
    <t xml:space="preserve">Filtro de elegibilidad</t>
  </si>
  <si>
    <t xml:space="preserve">Peso</t>
  </si>
  <si>
    <t xml:space="preserve">Candidata 1</t>
  </si>
  <si>
    <t xml:space="preserve">Candidata 2</t>
  </si>
  <si>
    <t xml:space="preserve">Candidata 3</t>
  </si>
  <si>
    <t xml:space="preserve">Nombre de la empresa candidata</t>
  </si>
  <si>
    <t xml:space="preserve">Acceso real a información de costos: ¿alguien del equipo puede conversar con el dueño y ver sus números? (ELIMINATORIO)</t>
  </si>
  <si>
    <t xml:space="preserve">Producto o servicio con costos identificables: ¿se puede saber cuánto cuesta producir o comprar una unidad?</t>
  </si>
  <si>
    <t xml:space="preserve">Disposición del propietario a colaborar durante diez semanas</t>
  </si>
  <si>
    <t xml:space="preserve">Cercanía geográfica y facilidad para visitarla más de una vez</t>
  </si>
  <si>
    <t xml:space="preserve">PUNTAJE PONDERADO</t>
  </si>
  <si>
    <t xml:space="preserve">Empresa elegida por el equipo</t>
  </si>
  <si>
    <t xml:space="preserve">Justificación de la elección en dos líneas</t>
  </si>
  <si>
    <t xml:space="preserve">PASO 2 · FICHA DE LEVANTAMIENTO INICIAL DE LA EMPRESA ELEGIDA (20 minutos)</t>
  </si>
  <si>
    <t xml:space="preserve">Complete lo que ya sabe. Lo que no sepa NO se inventa: se marca en la columna de estado como pendiente y se asigna un responsable y una fecha. Esa columna es la agenda de trabajo del equipo para la semana.</t>
  </si>
  <si>
    <t xml:space="preserve">Dato que se necesita</t>
  </si>
  <si>
    <t xml:space="preserve">Estado</t>
  </si>
  <si>
    <t xml:space="preserve">Responsable</t>
  </si>
  <si>
    <t xml:space="preserve">Fecha límite</t>
  </si>
  <si>
    <t xml:space="preserve">Respuesta o valor levantado</t>
  </si>
  <si>
    <t xml:space="preserve">Razón social o nombre comercial de la empresa</t>
  </si>
  <si>
    <t xml:space="preserve">Rubro y años de operación</t>
  </si>
  <si>
    <t xml:space="preserve">Dirección del local principal y del almacén, si lo tuviera</t>
  </si>
  <si>
    <t xml:space="preserve">Nombre y cargo de la persona que atenderá al equipo</t>
  </si>
  <si>
    <t xml:space="preserve">Portafolio: qué productos o servicios vende</t>
  </si>
  <si>
    <t xml:space="preserve">PRODUCTO O SERVICIO QUE SE VA A COSTEAR (uno solo)</t>
  </si>
  <si>
    <t xml:space="preserve">Objeto de costo declarado: unidad, línea, canal o cliente</t>
  </si>
  <si>
    <t xml:space="preserve">Precio de venta actual del producto elegido</t>
  </si>
  <si>
    <t xml:space="preserve">Unidades vendidas en un mes típico</t>
  </si>
  <si>
    <t xml:space="preserve">Principales proveedores y condiciones de pago</t>
  </si>
  <si>
    <t xml:space="preserve">Número de trabajadores y sus funciones</t>
  </si>
  <si>
    <t xml:space="preserve">Modalidad de contratación del personal</t>
  </si>
  <si>
    <t xml:space="preserve">Local propio o alquilado, y monto del alquiler</t>
  </si>
  <si>
    <t xml:space="preserve">¿Lleva registro de sus costos? ¿En qué formato?</t>
  </si>
  <si>
    <t xml:space="preserve">¿Tiene alguna propuesta de mejora o producto nuevo en mente?</t>
  </si>
  <si>
    <t xml:space="preserve">AVANCE DEL LEVANTAMIENTO</t>
  </si>
  <si>
    <t xml:space="preserve">PASO 3 · COMPROMISO DE CAMPO DEL EQUIPO (8 minutos)</t>
  </si>
  <si>
    <t xml:space="preserve">Compromiso</t>
  </si>
  <si>
    <t xml:space="preserve">Detalle</t>
  </si>
  <si>
    <t xml:space="preserve">Empresa elegida y aprobada por el docente</t>
  </si>
  <si>
    <t xml:space="preserve">Producto o servicio que se costeará</t>
  </si>
  <si>
    <t xml:space="preserve">Fecha y hora de la entrevista con el propietario</t>
  </si>
  <si>
    <t xml:space="preserve">Integrante que dirige la entrevista</t>
  </si>
  <si>
    <t xml:space="preserve">Documentos que se solicitarán: facturas, boletas, recibos de servicios, planilla</t>
  </si>
  <si>
    <t xml:space="preserve">Fecha de entrega del inventario completo de desembolsos (sesión 3, martes 25/08)</t>
  </si>
  <si>
    <t xml:space="preserve">Fecha de entrega del Avance 1, clasificación de costos (sesión 4, jueves 27/08)</t>
  </si>
  <si>
    <t xml:space="preserve">VISTO BUENO DEL DOCENTE</t>
  </si>
  <si>
    <t xml:space="preserve">Criterio de aprobación</t>
  </si>
  <si>
    <t xml:space="preserve">Cumple</t>
  </si>
  <si>
    <t xml:space="preserve">Observación del docente</t>
  </si>
  <si>
    <t xml:space="preserve">La empresa existe, opera actualmente y es verificable</t>
  </si>
  <si>
    <t xml:space="preserve">El equipo tiene acceso real a información de costos, no solo intención de conseguirla</t>
  </si>
  <si>
    <t xml:space="preserve">El producto o servicio elegido tiene costos identificables por unidad</t>
  </si>
  <si>
    <t xml:space="preserve">El objeto de costo está declarado y es uno solo</t>
  </si>
  <si>
    <t xml:space="preserve">La fecha de entrevista es realista y está dentro de la semana</t>
  </si>
  <si>
    <t xml:space="preserve">Regla del curso que se enuncia en esta sesión y rige hasta la semana 10: todo costo que entre al proyecto debe tener respaldo verificable, sea factura, boleta, cotización o registro fotográfico del precio. Un costo inventado invalida el capítulo 5 completo.</t>
  </si>
  <si>
    <t xml:space="preserve">INSTRUMENTOS DE EVALUACIÓN DE LA SESIÓN 2</t>
  </si>
  <si>
    <t xml:space="preserve">A. LISTA DE COTEJO DE LOS LABORATORIOS 2 Y 3 (observación durante la sesión)</t>
  </si>
  <si>
    <t xml:space="preserve">Indicador observable</t>
  </si>
  <si>
    <t xml:space="preserve">Se observa</t>
  </si>
  <si>
    <t xml:space="preserve">No se observa</t>
  </si>
  <si>
    <t xml:space="preserve">Puntos</t>
  </si>
  <si>
    <t xml:space="preserve">Clasifica correctamente por comportamiento los doce ítems del nivel 1</t>
  </si>
  <si>
    <t xml:space="preserve">Justifica por escrito los cinco casos discutidos del nivel 2</t>
  </si>
  <si>
    <t xml:space="preserve">Reconoce que la clasificación de directo o indirecto depende del objeto de costo declarado</t>
  </si>
  <si>
    <t xml:space="preserve">Construye el cuadro del nivel 3 y explica por qué baja el costo unitario</t>
  </si>
  <si>
    <t xml:space="preserve">Identifica el punto alto y el punto bajo por nivel de actividad y no por monto</t>
  </si>
  <si>
    <t xml:space="preserve">Calcula correctamente la tasa variable y el componente fijo</t>
  </si>
  <si>
    <t xml:space="preserve">Verifica su resultado con el punto bajo y detecta si hay error</t>
  </si>
  <si>
    <t xml:space="preserve">Escribe la ecuación del costo y proyecta a un volumen distinto</t>
  </si>
  <si>
    <t xml:space="preserve">Trabaja con fórmulas en Excel y no con valores digitados a mano</t>
  </si>
  <si>
    <t xml:space="preserve">PUNTAJE DE LA LISTA DE COTEJO</t>
  </si>
  <si>
    <t xml:space="preserve">Puntaje máximo posible</t>
  </si>
  <si>
    <t xml:space="preserve">B. RÚBRICA DE LA FICHA DE LEVANTAMIENTO INICIAL DEL PROYECTO (instrumento del sílabo)</t>
  </si>
  <si>
    <t xml:space="preserve">Criterio</t>
  </si>
  <si>
    <t xml:space="preserve">Logrado (4 puntos)</t>
  </si>
  <si>
    <t xml:space="preserve">En proceso (2 puntos)</t>
  </si>
  <si>
    <t xml:space="preserve">No logrado (1 punto)</t>
  </si>
  <si>
    <t xml:space="preserve">Puntaje</t>
  </si>
  <si>
    <t xml:space="preserve">Selección de la empresa</t>
  </si>
  <si>
    <t xml:space="preserve">La empresa se elige con la matriz de decisión completa y la justificación cita el puntaje obtenido y el filtro decisivo.</t>
  </si>
  <si>
    <t xml:space="preserve">La empresa se elige con la matriz completa pero la justificación es genérica.</t>
  </si>
  <si>
    <t xml:space="preserve">La empresa se elige sin matriz o sin justificación.</t>
  </si>
  <si>
    <t xml:space="preserve">Acceso a la información</t>
  </si>
  <si>
    <t xml:space="preserve">El equipo demuestra acceso real: nombre del contacto, medio y fecha de entrevista ya coordinada.</t>
  </si>
  <si>
    <t xml:space="preserve">Tiene el contacto identificado pero la coordinación aún no está cerrada.</t>
  </si>
  <si>
    <t xml:space="preserve">No tiene contacto ni ruta para conseguirlo.</t>
  </si>
  <si>
    <t xml:space="preserve">Definición del objeto de costo</t>
  </si>
  <si>
    <t xml:space="preserve">Declara un único objeto de costo y explica por qué eligió ese y no otro.</t>
  </si>
  <si>
    <t xml:space="preserve">Declara el objeto de costo sin justificarlo.</t>
  </si>
  <si>
    <t xml:space="preserve">No declara objeto de costo o declara más de uno.</t>
  </si>
  <si>
    <t xml:space="preserve">Ficha de levantamiento</t>
  </si>
  <si>
    <t xml:space="preserve">Al menos diez de los quince datos están levantados y los pendientes tienen responsable y fecha.</t>
  </si>
  <si>
    <t xml:space="preserve">Entre cinco y nueve datos levantados, con pendientes asignados.</t>
  </si>
  <si>
    <t xml:space="preserve">Menos de cinco datos levantados o pendientes sin responsable.</t>
  </si>
  <si>
    <t xml:space="preserve">Compromiso de campo</t>
  </si>
  <si>
    <t xml:space="preserve">Los siete compromisos están definidos con fechas realistas dentro de la semana.</t>
  </si>
  <si>
    <t xml:space="preserve">Los compromisos están definidos pero alguna fecha es inviable.</t>
  </si>
  <si>
    <t xml:space="preserve">Los compromisos están incompletos o sin fechas.</t>
  </si>
  <si>
    <t xml:space="preserve">NOTA DEL AVANCE (sobre 20)</t>
  </si>
  <si>
    <t xml:space="preserve">La lista de cotejo de los laboratorios es formativa: se usa para detectar quién necesita apoyo antes de la sesión 3, no para calificar. La rúbrica de la ficha de levantamiento sí es calificada y corresponde al instrumento que figura en el control de avance silábico para esta sesión.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</si>
</sst>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"/>
    <numFmt numFmtId="168" formatCode="#,##0.0000"/>
    <numFmt numFmtId="169" formatCode="0%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833C0C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E4DFEC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833C0C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34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</row>
    <row r="6" customFormat="false" ht="31.5" hidden="false" customHeight="true" outlineLevel="0" collapsed="false">
      <c r="A6" s="4" t="s">
        <v>5</v>
      </c>
      <c r="B6" s="4"/>
      <c r="C6" s="5" t="s">
        <v>6</v>
      </c>
      <c r="D6" s="5"/>
      <c r="E6" s="5"/>
      <c r="F6" s="5"/>
    </row>
    <row r="7" customFormat="false" ht="31.5" hidden="false" customHeight="true" outlineLevel="0" collapsed="false">
      <c r="A7" s="4" t="s">
        <v>7</v>
      </c>
      <c r="B7" s="4"/>
      <c r="C7" s="5" t="s">
        <v>8</v>
      </c>
      <c r="D7" s="5"/>
      <c r="E7" s="5"/>
      <c r="F7" s="5"/>
    </row>
    <row r="8" customFormat="false" ht="31.5" hidden="false" customHeight="true" outlineLevel="0" collapsed="false">
      <c r="A8" s="4" t="s">
        <v>9</v>
      </c>
      <c r="B8" s="4"/>
      <c r="C8" s="5" t="s">
        <v>10</v>
      </c>
      <c r="D8" s="5"/>
      <c r="E8" s="5"/>
      <c r="F8" s="5"/>
    </row>
    <row r="9" customFormat="false" ht="31.5" hidden="false" customHeight="true" outlineLevel="0" collapsed="false">
      <c r="A9" s="4" t="s">
        <v>11</v>
      </c>
      <c r="B9" s="4"/>
      <c r="C9" s="5" t="s">
        <v>12</v>
      </c>
      <c r="D9" s="5"/>
      <c r="E9" s="5"/>
      <c r="F9" s="5"/>
    </row>
    <row r="11" customFormat="false" ht="21.75" hidden="false" customHeight="true" outlineLevel="0" collapsed="false">
      <c r="A11" s="3" t="s">
        <v>13</v>
      </c>
      <c r="B11" s="3"/>
      <c r="C11" s="3"/>
      <c r="D11" s="3"/>
      <c r="E11" s="3"/>
      <c r="F11" s="3"/>
    </row>
    <row r="12" customFormat="false" ht="30" hidden="false" customHeight="true" outlineLevel="0" collapsed="false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</row>
    <row r="13" customFormat="false" ht="43.5" hidden="false" customHeight="true" outlineLevel="0" collapsed="false">
      <c r="A13" s="7" t="n">
        <v>5</v>
      </c>
      <c r="B13" s="7" t="s">
        <v>20</v>
      </c>
      <c r="C13" s="8" t="s">
        <v>21</v>
      </c>
      <c r="D13" s="8" t="s">
        <v>22</v>
      </c>
      <c r="E13" s="8" t="s">
        <v>23</v>
      </c>
      <c r="F13" s="7" t="s">
        <v>24</v>
      </c>
    </row>
    <row r="14" customFormat="false" ht="43.5" hidden="false" customHeight="true" outlineLevel="0" collapsed="false">
      <c r="A14" s="7" t="n">
        <v>10</v>
      </c>
      <c r="B14" s="7" t="s">
        <v>25</v>
      </c>
      <c r="C14" s="8" t="s">
        <v>26</v>
      </c>
      <c r="D14" s="8" t="s">
        <v>27</v>
      </c>
      <c r="E14" s="8" t="s">
        <v>28</v>
      </c>
      <c r="F14" s="7" t="s">
        <v>24</v>
      </c>
    </row>
    <row r="15" customFormat="false" ht="43.5" hidden="false" customHeight="true" outlineLevel="0" collapsed="false">
      <c r="A15" s="7" t="n">
        <v>30</v>
      </c>
      <c r="B15" s="7" t="s">
        <v>29</v>
      </c>
      <c r="C15" s="8" t="s">
        <v>30</v>
      </c>
      <c r="D15" s="8" t="s">
        <v>31</v>
      </c>
      <c r="E15" s="8" t="s">
        <v>32</v>
      </c>
      <c r="F15" s="7" t="s">
        <v>33</v>
      </c>
    </row>
    <row r="16" customFormat="false" ht="43.5" hidden="false" customHeight="true" outlineLevel="0" collapsed="false">
      <c r="A16" s="7" t="n">
        <v>10</v>
      </c>
      <c r="B16" s="7" t="s">
        <v>34</v>
      </c>
      <c r="C16" s="8" t="s">
        <v>35</v>
      </c>
      <c r="D16" s="8" t="s">
        <v>36</v>
      </c>
      <c r="E16" s="8" t="s">
        <v>37</v>
      </c>
      <c r="F16" s="7" t="s">
        <v>33</v>
      </c>
    </row>
    <row r="17" customFormat="false" ht="43.5" hidden="false" customHeight="true" outlineLevel="0" collapsed="false">
      <c r="A17" s="7" t="n">
        <v>25</v>
      </c>
      <c r="B17" s="7" t="s">
        <v>38</v>
      </c>
      <c r="C17" s="8" t="s">
        <v>39</v>
      </c>
      <c r="D17" s="8" t="s">
        <v>40</v>
      </c>
      <c r="E17" s="8" t="s">
        <v>41</v>
      </c>
      <c r="F17" s="7" t="s">
        <v>42</v>
      </c>
    </row>
    <row r="18" customFormat="false" ht="43.5" hidden="false" customHeight="true" outlineLevel="0" collapsed="false">
      <c r="A18" s="7" t="n">
        <v>5</v>
      </c>
      <c r="B18" s="7" t="s">
        <v>43</v>
      </c>
      <c r="C18" s="8" t="s">
        <v>44</v>
      </c>
      <c r="D18" s="8" t="s">
        <v>45</v>
      </c>
      <c r="E18" s="8" t="s">
        <v>46</v>
      </c>
      <c r="F18" s="7" t="s">
        <v>24</v>
      </c>
    </row>
    <row r="19" customFormat="false" ht="43.5" hidden="false" customHeight="true" outlineLevel="0" collapsed="false">
      <c r="A19" s="7" t="n">
        <v>40</v>
      </c>
      <c r="B19" s="7" t="s">
        <v>47</v>
      </c>
      <c r="C19" s="8" t="s">
        <v>48</v>
      </c>
      <c r="D19" s="8" t="s">
        <v>49</v>
      </c>
      <c r="E19" s="8" t="s">
        <v>50</v>
      </c>
      <c r="F19" s="7" t="s">
        <v>51</v>
      </c>
    </row>
    <row r="20" customFormat="false" ht="43.5" hidden="false" customHeight="true" outlineLevel="0" collapsed="false">
      <c r="A20" s="7" t="n">
        <v>10</v>
      </c>
      <c r="B20" s="7" t="s">
        <v>52</v>
      </c>
      <c r="C20" s="8" t="s">
        <v>53</v>
      </c>
      <c r="D20" s="8" t="s">
        <v>54</v>
      </c>
      <c r="E20" s="8" t="s">
        <v>55</v>
      </c>
      <c r="F20" s="7" t="s">
        <v>51</v>
      </c>
    </row>
    <row r="22" customFormat="false" ht="21.75" hidden="false" customHeight="true" outlineLevel="0" collapsed="false">
      <c r="A22" s="3" t="s">
        <v>56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6" t="s">
        <v>57</v>
      </c>
      <c r="B23" s="6" t="s">
        <v>16</v>
      </c>
      <c r="C23" s="6" t="s">
        <v>58</v>
      </c>
      <c r="D23" s="6" t="s">
        <v>59</v>
      </c>
      <c r="E23" s="6" t="s">
        <v>60</v>
      </c>
      <c r="F23" s="6"/>
    </row>
    <row r="24" customFormat="false" ht="39.75" hidden="false" customHeight="true" outlineLevel="0" collapsed="false">
      <c r="A24" s="7" t="s">
        <v>61</v>
      </c>
      <c r="B24" s="7" t="s">
        <v>62</v>
      </c>
      <c r="C24" s="8" t="s">
        <v>63</v>
      </c>
      <c r="D24" s="8" t="s">
        <v>64</v>
      </c>
      <c r="E24" s="8" t="s">
        <v>65</v>
      </c>
      <c r="F24" s="7"/>
    </row>
    <row r="25" customFormat="false" ht="39.75" hidden="false" customHeight="true" outlineLevel="0" collapsed="false">
      <c r="A25" s="7" t="s">
        <v>66</v>
      </c>
      <c r="B25" s="7" t="s">
        <v>62</v>
      </c>
      <c r="C25" s="8" t="s">
        <v>67</v>
      </c>
      <c r="D25" s="8" t="s">
        <v>68</v>
      </c>
      <c r="E25" s="8" t="s">
        <v>69</v>
      </c>
      <c r="F25" s="7"/>
    </row>
    <row r="26" customFormat="false" ht="39.75" hidden="false" customHeight="true" outlineLevel="0" collapsed="false">
      <c r="A26" s="7" t="s">
        <v>70</v>
      </c>
      <c r="B26" s="7" t="s">
        <v>62</v>
      </c>
      <c r="C26" s="8" t="s">
        <v>71</v>
      </c>
      <c r="D26" s="8" t="s">
        <v>72</v>
      </c>
      <c r="E26" s="8" t="s">
        <v>73</v>
      </c>
      <c r="F26" s="7"/>
    </row>
    <row r="27" customFormat="false" ht="39.75" hidden="false" customHeight="true" outlineLevel="0" collapsed="false">
      <c r="A27" s="7" t="s">
        <v>74</v>
      </c>
      <c r="B27" s="7" t="s">
        <v>62</v>
      </c>
      <c r="C27" s="8" t="s">
        <v>75</v>
      </c>
      <c r="D27" s="8" t="s">
        <v>76</v>
      </c>
      <c r="E27" s="8" t="s">
        <v>77</v>
      </c>
      <c r="F27" s="7"/>
    </row>
    <row r="28" customFormat="false" ht="39.75" hidden="false" customHeight="true" outlineLevel="0" collapsed="false">
      <c r="A28" s="7" t="s">
        <v>78</v>
      </c>
      <c r="B28" s="7" t="s">
        <v>79</v>
      </c>
      <c r="C28" s="8" t="s">
        <v>80</v>
      </c>
      <c r="D28" s="8" t="s">
        <v>81</v>
      </c>
      <c r="E28" s="8" t="s">
        <v>82</v>
      </c>
      <c r="F28" s="7"/>
    </row>
    <row r="29" customFormat="false" ht="39.75" hidden="false" customHeight="true" outlineLevel="0" collapsed="false">
      <c r="A29" s="7" t="s">
        <v>83</v>
      </c>
      <c r="B29" s="7" t="s">
        <v>79</v>
      </c>
      <c r="C29" s="8" t="s">
        <v>84</v>
      </c>
      <c r="D29" s="8" t="s">
        <v>85</v>
      </c>
      <c r="E29" s="8" t="s">
        <v>86</v>
      </c>
      <c r="F29" s="7"/>
    </row>
    <row r="31" customFormat="false" ht="31.5" hidden="false" customHeight="true" outlineLevel="0" collapsed="false">
      <c r="A31" s="9" t="s">
        <v>87</v>
      </c>
      <c r="B31" s="9"/>
      <c r="C31" s="9"/>
      <c r="D31" s="9"/>
      <c r="E31" s="9"/>
      <c r="F31" s="9"/>
    </row>
  </sheetData>
  <mergeCells count="16">
    <mergeCell ref="A1:F1"/>
    <mergeCell ref="A2:F2"/>
    <mergeCell ref="A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A22:F2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0" t="s">
        <v>88</v>
      </c>
      <c r="B1" s="10"/>
      <c r="C1" s="10"/>
      <c r="D1" s="10"/>
      <c r="E1" s="10"/>
      <c r="F1" s="10"/>
    </row>
    <row r="2" customFormat="false" ht="21.75" hidden="false" customHeight="true" outlineLevel="0" collapsed="false">
      <c r="A2" s="3" t="s">
        <v>89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9" t="s">
        <v>90</v>
      </c>
      <c r="B3" s="9"/>
      <c r="C3" s="9"/>
      <c r="D3" s="9"/>
      <c r="E3" s="9"/>
      <c r="F3" s="9"/>
    </row>
    <row r="5" customFormat="false" ht="21.75" hidden="false" customHeight="true" outlineLevel="0" collapsed="false">
      <c r="A5" s="11" t="s">
        <v>91</v>
      </c>
      <c r="B5" s="11"/>
      <c r="C5" s="11"/>
      <c r="D5" s="11"/>
      <c r="E5" s="11"/>
      <c r="F5" s="11"/>
    </row>
    <row r="6" customFormat="false" ht="27.75" hidden="false" customHeight="true" outlineLevel="0" collapsed="false">
      <c r="A6" s="12" t="s">
        <v>92</v>
      </c>
      <c r="B6" s="12"/>
      <c r="C6" s="12"/>
      <c r="D6" s="12"/>
      <c r="E6" s="12"/>
      <c r="F6" s="12"/>
    </row>
    <row r="7" customFormat="false" ht="30" hidden="false" customHeight="true" outlineLevel="0" collapsed="false">
      <c r="A7" s="6" t="s">
        <v>57</v>
      </c>
      <c r="B7" s="6" t="s">
        <v>93</v>
      </c>
      <c r="C7" s="6" t="s">
        <v>94</v>
      </c>
      <c r="D7" s="6" t="s">
        <v>95</v>
      </c>
      <c r="E7" s="6" t="s">
        <v>96</v>
      </c>
      <c r="F7" s="6" t="s">
        <v>97</v>
      </c>
    </row>
    <row r="8" customFormat="false" ht="21.75" hidden="false" customHeight="true" outlineLevel="0" collapsed="false">
      <c r="A8" s="7" t="n">
        <v>1</v>
      </c>
      <c r="B8" s="8" t="s">
        <v>98</v>
      </c>
      <c r="C8" s="13" t="n">
        <v>48000</v>
      </c>
      <c r="D8" s="14"/>
      <c r="E8" s="14"/>
      <c r="F8" s="15"/>
    </row>
    <row r="9" customFormat="false" ht="21.75" hidden="false" customHeight="true" outlineLevel="0" collapsed="false">
      <c r="A9" s="7" t="n">
        <v>2</v>
      </c>
      <c r="B9" s="8" t="s">
        <v>99</v>
      </c>
      <c r="C9" s="13" t="n">
        <v>2800</v>
      </c>
      <c r="D9" s="14"/>
      <c r="E9" s="14"/>
      <c r="F9" s="15"/>
    </row>
    <row r="10" customFormat="false" ht="21.75" hidden="false" customHeight="true" outlineLevel="0" collapsed="false">
      <c r="A10" s="7" t="n">
        <v>3</v>
      </c>
      <c r="B10" s="8" t="s">
        <v>100</v>
      </c>
      <c r="C10" s="13" t="n">
        <v>3000</v>
      </c>
      <c r="D10" s="14"/>
      <c r="E10" s="14"/>
      <c r="F10" s="15"/>
    </row>
    <row r="11" customFormat="false" ht="21.75" hidden="false" customHeight="true" outlineLevel="0" collapsed="false">
      <c r="A11" s="7" t="n">
        <v>4</v>
      </c>
      <c r="B11" s="8" t="s">
        <v>101</v>
      </c>
      <c r="C11" s="13" t="n">
        <v>2400</v>
      </c>
      <c r="D11" s="14"/>
      <c r="E11" s="14"/>
      <c r="F11" s="15"/>
    </row>
    <row r="12" customFormat="false" ht="21.75" hidden="false" customHeight="true" outlineLevel="0" collapsed="false">
      <c r="A12" s="7" t="n">
        <v>5</v>
      </c>
      <c r="B12" s="8" t="s">
        <v>102</v>
      </c>
      <c r="C12" s="13" t="n">
        <v>2500</v>
      </c>
      <c r="D12" s="14"/>
      <c r="E12" s="14"/>
      <c r="F12" s="15"/>
    </row>
    <row r="13" customFormat="false" ht="21.75" hidden="false" customHeight="true" outlineLevel="0" collapsed="false">
      <c r="A13" s="7" t="n">
        <v>6</v>
      </c>
      <c r="B13" s="8" t="s">
        <v>103</v>
      </c>
      <c r="C13" s="13" t="n">
        <v>640</v>
      </c>
      <c r="D13" s="14"/>
      <c r="E13" s="14"/>
      <c r="F13" s="15"/>
    </row>
    <row r="14" customFormat="false" ht="21.75" hidden="false" customHeight="true" outlineLevel="0" collapsed="false">
      <c r="A14" s="7" t="n">
        <v>7</v>
      </c>
      <c r="B14" s="8" t="s">
        <v>104</v>
      </c>
      <c r="C14" s="13" t="n">
        <v>180</v>
      </c>
      <c r="D14" s="14"/>
      <c r="E14" s="14"/>
      <c r="F14" s="15"/>
    </row>
    <row r="15" customFormat="false" ht="21.75" hidden="false" customHeight="true" outlineLevel="0" collapsed="false">
      <c r="A15" s="7" t="n">
        <v>8</v>
      </c>
      <c r="B15" s="8" t="s">
        <v>105</v>
      </c>
      <c r="C15" s="13" t="n">
        <v>1040</v>
      </c>
      <c r="D15" s="14"/>
      <c r="E15" s="14"/>
      <c r="F15" s="15"/>
    </row>
    <row r="16" customFormat="false" ht="21.75" hidden="false" customHeight="true" outlineLevel="0" collapsed="false">
      <c r="A16" s="7" t="n">
        <v>9</v>
      </c>
      <c r="B16" s="8" t="s">
        <v>106</v>
      </c>
      <c r="C16" s="13" t="n">
        <v>1350</v>
      </c>
      <c r="D16" s="14"/>
      <c r="E16" s="14"/>
      <c r="F16" s="15"/>
    </row>
    <row r="17" customFormat="false" ht="21.75" hidden="false" customHeight="true" outlineLevel="0" collapsed="false">
      <c r="A17" s="7" t="n">
        <v>10</v>
      </c>
      <c r="B17" s="8" t="s">
        <v>107</v>
      </c>
      <c r="C17" s="13" t="n">
        <v>320</v>
      </c>
      <c r="D17" s="14"/>
      <c r="E17" s="14"/>
      <c r="F17" s="15"/>
    </row>
    <row r="18" customFormat="false" ht="21.75" hidden="false" customHeight="true" outlineLevel="0" collapsed="false">
      <c r="A18" s="7" t="n">
        <v>11</v>
      </c>
      <c r="B18" s="8" t="s">
        <v>108</v>
      </c>
      <c r="C18" s="13" t="n">
        <v>210</v>
      </c>
      <c r="D18" s="14"/>
      <c r="E18" s="14"/>
      <c r="F18" s="15"/>
    </row>
    <row r="19" customFormat="false" ht="21.75" hidden="false" customHeight="true" outlineLevel="0" collapsed="false">
      <c r="A19" s="7" t="n">
        <v>12</v>
      </c>
      <c r="B19" s="8" t="s">
        <v>109</v>
      </c>
      <c r="C19" s="13" t="n">
        <v>900</v>
      </c>
      <c r="D19" s="14"/>
      <c r="E19" s="14"/>
      <c r="F19" s="15"/>
    </row>
    <row r="20" customFormat="false" ht="21.75" hidden="false" customHeight="true" outlineLevel="0" collapsed="false">
      <c r="A20" s="16" t="s">
        <v>110</v>
      </c>
      <c r="B20" s="16"/>
      <c r="C20" s="16"/>
      <c r="D20" s="16"/>
      <c r="E20" s="16"/>
      <c r="F20" s="16"/>
    </row>
    <row r="21" customFormat="false" ht="30" hidden="false" customHeight="true" outlineLevel="0" collapsed="false">
      <c r="A21" s="6" t="s">
        <v>57</v>
      </c>
      <c r="B21" s="6" t="s">
        <v>93</v>
      </c>
      <c r="C21" s="6" t="s">
        <v>94</v>
      </c>
      <c r="D21" s="6" t="s">
        <v>95</v>
      </c>
      <c r="E21" s="6" t="s">
        <v>96</v>
      </c>
      <c r="F21" s="6" t="s">
        <v>97</v>
      </c>
    </row>
    <row r="22" customFormat="false" ht="21.75" hidden="false" customHeight="true" outlineLevel="0" collapsed="false">
      <c r="A22" s="7" t="n">
        <v>13</v>
      </c>
      <c r="B22" s="8" t="s">
        <v>111</v>
      </c>
      <c r="C22" s="13" t="n">
        <v>780</v>
      </c>
      <c r="D22" s="14"/>
      <c r="E22" s="14"/>
      <c r="F22" s="15"/>
    </row>
    <row r="23" customFormat="false" ht="21.75" hidden="false" customHeight="true" outlineLevel="0" collapsed="false">
      <c r="A23" s="7" t="n">
        <v>14</v>
      </c>
      <c r="B23" s="8" t="s">
        <v>112</v>
      </c>
      <c r="C23" s="13" t="n">
        <v>450</v>
      </c>
      <c r="D23" s="14"/>
      <c r="E23" s="14"/>
      <c r="F23" s="15"/>
    </row>
    <row r="24" customFormat="false" ht="21.75" hidden="false" customHeight="true" outlineLevel="0" collapsed="false">
      <c r="A24" s="7" t="n">
        <v>15</v>
      </c>
      <c r="B24" s="8" t="s">
        <v>113</v>
      </c>
      <c r="C24" s="13" t="n">
        <v>130</v>
      </c>
      <c r="D24" s="14"/>
      <c r="E24" s="14"/>
      <c r="F24" s="15"/>
    </row>
    <row r="25" customFormat="false" ht="21.75" hidden="false" customHeight="true" outlineLevel="0" collapsed="false">
      <c r="A25" s="7" t="n">
        <v>16</v>
      </c>
      <c r="B25" s="8" t="s">
        <v>114</v>
      </c>
      <c r="C25" s="13" t="n">
        <v>190</v>
      </c>
      <c r="D25" s="14"/>
      <c r="E25" s="14"/>
      <c r="F25" s="15"/>
    </row>
    <row r="26" customFormat="false" ht="21.75" hidden="false" customHeight="true" outlineLevel="0" collapsed="false">
      <c r="A26" s="7" t="n">
        <v>17</v>
      </c>
      <c r="B26" s="8" t="s">
        <v>115</v>
      </c>
      <c r="C26" s="13" t="n">
        <v>1120</v>
      </c>
      <c r="D26" s="14"/>
      <c r="E26" s="14"/>
      <c r="F26" s="15"/>
    </row>
    <row r="27" customFormat="false" ht="21.75" hidden="false" customHeight="true" outlineLevel="0" collapsed="false">
      <c r="A27" s="7" t="n">
        <v>18</v>
      </c>
      <c r="B27" s="8" t="s">
        <v>116</v>
      </c>
      <c r="C27" s="13" t="n">
        <v>600</v>
      </c>
      <c r="D27" s="14"/>
      <c r="E27" s="14"/>
      <c r="F27" s="15"/>
    </row>
    <row r="28" customFormat="false" ht="21.75" hidden="false" customHeight="true" outlineLevel="0" collapsed="false">
      <c r="A28" s="7" t="n">
        <v>19</v>
      </c>
      <c r="B28" s="8" t="s">
        <v>117</v>
      </c>
      <c r="C28" s="13" t="n">
        <v>95</v>
      </c>
      <c r="D28" s="14"/>
      <c r="E28" s="14"/>
      <c r="F28" s="15"/>
    </row>
    <row r="29" customFormat="false" ht="21.75" hidden="false" customHeight="true" outlineLevel="0" collapsed="false">
      <c r="A29" s="7" t="n">
        <v>20</v>
      </c>
      <c r="B29" s="8" t="s">
        <v>118</v>
      </c>
      <c r="C29" s="13" t="n">
        <v>520</v>
      </c>
      <c r="D29" s="14"/>
      <c r="E29" s="14"/>
      <c r="F29" s="15"/>
    </row>
    <row r="30" customFormat="false" ht="21.75" hidden="false" customHeight="true" outlineLevel="0" collapsed="false">
      <c r="A30" s="7" t="n">
        <v>21</v>
      </c>
      <c r="B30" s="8" t="s">
        <v>119</v>
      </c>
      <c r="C30" s="13" t="n">
        <v>900</v>
      </c>
      <c r="D30" s="14"/>
      <c r="E30" s="14"/>
      <c r="F30" s="15"/>
    </row>
    <row r="31" customFormat="false" ht="21.75" hidden="false" customHeight="true" outlineLevel="0" collapsed="false">
      <c r="A31" s="7" t="n">
        <v>22</v>
      </c>
      <c r="B31" s="8" t="s">
        <v>120</v>
      </c>
      <c r="C31" s="13" t="n">
        <v>240</v>
      </c>
      <c r="D31" s="14"/>
      <c r="E31" s="14"/>
      <c r="F31" s="15"/>
    </row>
    <row r="32" customFormat="false" ht="21.75" hidden="false" customHeight="true" outlineLevel="0" collapsed="false">
      <c r="A32" s="7" t="n">
        <v>23</v>
      </c>
      <c r="B32" s="8" t="s">
        <v>121</v>
      </c>
      <c r="C32" s="13" t="n">
        <v>150</v>
      </c>
      <c r="D32" s="14"/>
      <c r="E32" s="14"/>
      <c r="F32" s="15"/>
    </row>
    <row r="33" customFormat="false" ht="21.75" hidden="false" customHeight="true" outlineLevel="0" collapsed="false">
      <c r="A33" s="7" t="n">
        <v>24</v>
      </c>
      <c r="B33" s="8" t="s">
        <v>122</v>
      </c>
      <c r="C33" s="13" t="n">
        <v>1500</v>
      </c>
      <c r="D33" s="14"/>
      <c r="E33" s="14"/>
      <c r="F33" s="15"/>
    </row>
    <row r="34" customFormat="false" ht="21.75" hidden="false" customHeight="true" outlineLevel="0" collapsed="false">
      <c r="A34" s="7" t="n">
        <v>25</v>
      </c>
      <c r="B34" s="8" t="s">
        <v>123</v>
      </c>
      <c r="C34" s="13" t="n">
        <v>700</v>
      </c>
      <c r="D34" s="14"/>
      <c r="E34" s="14"/>
      <c r="F34" s="15"/>
    </row>
    <row r="35" customFormat="false" ht="19.5" hidden="false" customHeight="true" outlineLevel="0" collapsed="false">
      <c r="A35" s="17"/>
      <c r="B35" s="18" t="s">
        <v>124</v>
      </c>
      <c r="C35" s="19" t="n">
        <f aca="false">SUM(C8:C34)</f>
        <v>70715</v>
      </c>
      <c r="D35" s="17"/>
      <c r="E35" s="17"/>
      <c r="F35" s="18"/>
    </row>
    <row r="37" customFormat="false" ht="21.75" hidden="false" customHeight="true" outlineLevel="0" collapsed="false">
      <c r="A37" s="3" t="s">
        <v>125</v>
      </c>
      <c r="B37" s="3"/>
      <c r="C37" s="3"/>
      <c r="D37" s="3"/>
      <c r="E37" s="3"/>
      <c r="F37" s="3"/>
    </row>
    <row r="38" customFormat="false" ht="30" hidden="false" customHeight="true" outlineLevel="0" collapsed="false">
      <c r="A38" s="6"/>
      <c r="B38" s="6" t="s">
        <v>95</v>
      </c>
      <c r="C38" s="6" t="s">
        <v>126</v>
      </c>
      <c r="D38" s="6" t="s">
        <v>127</v>
      </c>
      <c r="E38" s="6" t="s">
        <v>128</v>
      </c>
      <c r="F38" s="6"/>
    </row>
    <row r="39" customFormat="false" ht="19.5" hidden="false" customHeight="true" outlineLevel="0" collapsed="false">
      <c r="A39" s="20"/>
      <c r="B39" s="21" t="s">
        <v>129</v>
      </c>
      <c r="C39" s="22" t="n">
        <f aca="false">SUMIF($D$8:$D$34,B39,$C$8:$C$34)</f>
        <v>0</v>
      </c>
      <c r="D39" s="23" t="n">
        <f aca="false">IF($C$35=0,0,C39/$C$35)</f>
        <v>0</v>
      </c>
      <c r="E39" s="20" t="n">
        <f aca="false">COUNTIF($D$8:$D$34,B39)</f>
        <v>0</v>
      </c>
      <c r="F39" s="21"/>
    </row>
    <row r="40" customFormat="false" ht="19.5" hidden="false" customHeight="true" outlineLevel="0" collapsed="false">
      <c r="A40" s="20"/>
      <c r="B40" s="21" t="s">
        <v>130</v>
      </c>
      <c r="C40" s="22" t="n">
        <f aca="false">SUMIF($D$8:$D$34,B40,$C$8:$C$34)</f>
        <v>0</v>
      </c>
      <c r="D40" s="23" t="n">
        <f aca="false">IF($C$35=0,0,C40/$C$35)</f>
        <v>0</v>
      </c>
      <c r="E40" s="20" t="n">
        <f aca="false">COUNTIF($D$8:$D$34,B40)</f>
        <v>0</v>
      </c>
      <c r="F40" s="21"/>
    </row>
    <row r="41" customFormat="false" ht="19.5" hidden="false" customHeight="true" outlineLevel="0" collapsed="false">
      <c r="A41" s="20"/>
      <c r="B41" s="21" t="s">
        <v>131</v>
      </c>
      <c r="C41" s="22" t="n">
        <f aca="false">SUMIF($D$8:$D$34,B41,$C$8:$C$34)</f>
        <v>0</v>
      </c>
      <c r="D41" s="23" t="n">
        <f aca="false">IF($C$35=0,0,C41/$C$35)</f>
        <v>0</v>
      </c>
      <c r="E41" s="20" t="n">
        <f aca="false">COUNTIF($D$8:$D$34,B41)</f>
        <v>0</v>
      </c>
      <c r="F41" s="21"/>
    </row>
    <row r="42" customFormat="false" ht="19.5" hidden="false" customHeight="true" outlineLevel="0" collapsed="false">
      <c r="A42" s="24"/>
      <c r="B42" s="25" t="s">
        <v>132</v>
      </c>
      <c r="C42" s="26" t="n">
        <f aca="false">$C$35-SUM(C39:C41)</f>
        <v>70715</v>
      </c>
      <c r="D42" s="24"/>
      <c r="E42" s="24" t="n">
        <f aca="false">25-SUM(E39:E41)</f>
        <v>25</v>
      </c>
      <c r="F42" s="25"/>
    </row>
    <row r="44" customFormat="false" ht="21.75" hidden="false" customHeight="true" outlineLevel="0" collapsed="false">
      <c r="A44" s="27" t="s">
        <v>133</v>
      </c>
      <c r="B44" s="27"/>
      <c r="C44" s="27"/>
      <c r="D44" s="27"/>
      <c r="E44" s="27"/>
      <c r="F44" s="27"/>
    </row>
    <row r="45" customFormat="false" ht="30" hidden="false" customHeight="true" outlineLevel="0" collapsed="false">
      <c r="A45" s="28" t="s">
        <v>134</v>
      </c>
      <c r="B45" s="28"/>
      <c r="C45" s="28"/>
      <c r="D45" s="28"/>
      <c r="E45" s="28"/>
      <c r="F45" s="28"/>
    </row>
    <row r="46" customFormat="false" ht="30" hidden="false" customHeight="true" outlineLevel="0" collapsed="false">
      <c r="A46" s="6"/>
      <c r="B46" s="6" t="s">
        <v>135</v>
      </c>
      <c r="C46" s="6" t="s">
        <v>136</v>
      </c>
      <c r="D46" s="6" t="s">
        <v>137</v>
      </c>
      <c r="E46" s="6" t="s">
        <v>138</v>
      </c>
      <c r="F46" s="6"/>
    </row>
    <row r="47" customFormat="false" ht="19.5" hidden="false" customHeight="true" outlineLevel="0" collapsed="false">
      <c r="A47" s="20"/>
      <c r="B47" s="21" t="s">
        <v>139</v>
      </c>
      <c r="C47" s="22" t="n">
        <f aca="false">$C$40/4000*3000</f>
        <v>0</v>
      </c>
      <c r="D47" s="22" t="n">
        <f aca="false">$C$40/4000*4000</f>
        <v>0</v>
      </c>
      <c r="E47" s="22" t="n">
        <f aca="false">$C$40/4000*5000</f>
        <v>0</v>
      </c>
      <c r="F47" s="21"/>
    </row>
    <row r="48" customFormat="false" ht="19.5" hidden="false" customHeight="true" outlineLevel="0" collapsed="false">
      <c r="A48" s="20"/>
      <c r="B48" s="21" t="s">
        <v>140</v>
      </c>
      <c r="C48" s="22" t="n">
        <f aca="false">$C$39</f>
        <v>0</v>
      </c>
      <c r="D48" s="22" t="n">
        <f aca="false">$C$39</f>
        <v>0</v>
      </c>
      <c r="E48" s="22" t="n">
        <f aca="false">$C$39</f>
        <v>0</v>
      </c>
      <c r="F48" s="21"/>
    </row>
    <row r="49" customFormat="false" ht="19.5" hidden="false" customHeight="true" outlineLevel="0" collapsed="false">
      <c r="A49" s="17"/>
      <c r="B49" s="18" t="s">
        <v>141</v>
      </c>
      <c r="C49" s="19" t="n">
        <f aca="false">SUM(C47:C48)</f>
        <v>0</v>
      </c>
      <c r="D49" s="19" t="n">
        <f aca="false">SUM(D47:D48)</f>
        <v>0</v>
      </c>
      <c r="E49" s="19" t="n">
        <f aca="false">SUM(E47:E48)</f>
        <v>0</v>
      </c>
      <c r="F49" s="18"/>
    </row>
    <row r="50" customFormat="false" ht="19.5" hidden="false" customHeight="true" outlineLevel="0" collapsed="false">
      <c r="A50" s="20"/>
      <c r="B50" s="21" t="s">
        <v>142</v>
      </c>
      <c r="C50" s="22" t="n">
        <f aca="false">C47/3000</f>
        <v>0</v>
      </c>
      <c r="D50" s="22" t="n">
        <f aca="false">D47/4000</f>
        <v>0</v>
      </c>
      <c r="E50" s="22" t="n">
        <f aca="false">E47/5000</f>
        <v>0</v>
      </c>
      <c r="F50" s="21"/>
    </row>
    <row r="51" customFormat="false" ht="19.5" hidden="false" customHeight="true" outlineLevel="0" collapsed="false">
      <c r="A51" s="20"/>
      <c r="B51" s="21" t="s">
        <v>143</v>
      </c>
      <c r="C51" s="22" t="n">
        <f aca="false">C48/3000</f>
        <v>0</v>
      </c>
      <c r="D51" s="22" t="n">
        <f aca="false">D48/4000</f>
        <v>0</v>
      </c>
      <c r="E51" s="22" t="n">
        <f aca="false">E48/5000</f>
        <v>0</v>
      </c>
      <c r="F51" s="21"/>
    </row>
    <row r="52" customFormat="false" ht="19.5" hidden="false" customHeight="true" outlineLevel="0" collapsed="false">
      <c r="A52" s="17"/>
      <c r="B52" s="18" t="s">
        <v>144</v>
      </c>
      <c r="C52" s="19" t="n">
        <f aca="false">C49/3000</f>
        <v>0</v>
      </c>
      <c r="D52" s="19" t="n">
        <f aca="false">D49/4000</f>
        <v>0</v>
      </c>
      <c r="E52" s="19" t="n">
        <f aca="false">E49/5000</f>
        <v>0</v>
      </c>
      <c r="F52" s="18"/>
    </row>
    <row r="54" customFormat="false" ht="21.75" hidden="false" customHeight="true" outlineLevel="0" collapsed="false">
      <c r="A54" s="3" t="s">
        <v>145</v>
      </c>
      <c r="B54" s="3"/>
      <c r="C54" s="3"/>
      <c r="D54" s="3"/>
      <c r="E54" s="3"/>
      <c r="F54" s="3"/>
    </row>
    <row r="55" customFormat="false" ht="30" hidden="false" customHeight="true" outlineLevel="0" collapsed="false">
      <c r="A55" s="6"/>
      <c r="B55" s="6" t="s">
        <v>146</v>
      </c>
      <c r="C55" s="6" t="s">
        <v>147</v>
      </c>
      <c r="D55" s="6"/>
      <c r="E55" s="6"/>
      <c r="F55" s="6"/>
    </row>
    <row r="56" customFormat="false" ht="42" hidden="false" customHeight="true" outlineLevel="0" collapsed="false">
      <c r="A56" s="29" t="s">
        <v>148</v>
      </c>
      <c r="B56" s="5" t="s">
        <v>149</v>
      </c>
      <c r="C56" s="5"/>
      <c r="D56" s="30"/>
      <c r="E56" s="30"/>
      <c r="F56" s="30"/>
    </row>
    <row r="57" customFormat="false" ht="42" hidden="false" customHeight="true" outlineLevel="0" collapsed="false">
      <c r="A57" s="29" t="s">
        <v>150</v>
      </c>
      <c r="B57" s="5" t="s">
        <v>151</v>
      </c>
      <c r="C57" s="5"/>
      <c r="D57" s="30"/>
      <c r="E57" s="30"/>
      <c r="F57" s="30"/>
    </row>
    <row r="58" customFormat="false" ht="42" hidden="false" customHeight="true" outlineLevel="0" collapsed="false">
      <c r="A58" s="29" t="s">
        <v>152</v>
      </c>
      <c r="B58" s="5" t="s">
        <v>153</v>
      </c>
      <c r="C58" s="5"/>
      <c r="D58" s="30"/>
      <c r="E58" s="30"/>
      <c r="F58" s="30"/>
    </row>
    <row r="59" customFormat="false" ht="42" hidden="false" customHeight="true" outlineLevel="0" collapsed="false">
      <c r="A59" s="29" t="s">
        <v>154</v>
      </c>
      <c r="B59" s="5" t="s">
        <v>155</v>
      </c>
      <c r="C59" s="5"/>
      <c r="D59" s="30"/>
      <c r="E59" s="30"/>
      <c r="F59" s="30"/>
    </row>
  </sheetData>
  <mergeCells count="18">
    <mergeCell ref="A1:F1"/>
    <mergeCell ref="A2:F2"/>
    <mergeCell ref="A3:F3"/>
    <mergeCell ref="A5:F5"/>
    <mergeCell ref="A6:F6"/>
    <mergeCell ref="A20:F20"/>
    <mergeCell ref="A37:F37"/>
    <mergeCell ref="A44:F44"/>
    <mergeCell ref="A45:F45"/>
    <mergeCell ref="A54:F54"/>
    <mergeCell ref="B56:C56"/>
    <mergeCell ref="D56:F56"/>
    <mergeCell ref="B57:C57"/>
    <mergeCell ref="D57:F57"/>
    <mergeCell ref="B58:C58"/>
    <mergeCell ref="D58:F58"/>
    <mergeCell ref="B59:C59"/>
    <mergeCell ref="D59:F59"/>
  </mergeCells>
  <dataValidations count="2">
    <dataValidation allowBlank="true" errorStyle="stop" operator="between" showDropDown="false" showErrorMessage="false" showInputMessage="false" sqref="D8:D19 D22:D34" type="list">
      <formula1>"Fijo,Variable,Semivariable"</formula1>
      <formula2>0</formula2>
    </dataValidation>
    <dataValidation allowBlank="true" errorStyle="stop" operator="between" showDropDown="false" showErrorMessage="false" showInputMessage="false" sqref="E8:E19 E22:E34" type="list">
      <formula1>"Directo,Indirecto"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31" t="s">
        <v>156</v>
      </c>
      <c r="B1" s="31"/>
      <c r="C1" s="31"/>
      <c r="D1" s="31"/>
      <c r="E1" s="31"/>
      <c r="F1" s="31"/>
    </row>
    <row r="2" customFormat="false" ht="21.75" hidden="false" customHeight="true" outlineLevel="0" collapsed="false">
      <c r="A2" s="3" t="s">
        <v>89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9" t="s">
        <v>90</v>
      </c>
      <c r="B3" s="9"/>
      <c r="C3" s="9"/>
      <c r="D3" s="9"/>
      <c r="E3" s="9"/>
      <c r="F3" s="9"/>
    </row>
    <row r="5" customFormat="false" ht="21.75" hidden="false" customHeight="true" outlineLevel="0" collapsed="false">
      <c r="A5" s="11" t="s">
        <v>91</v>
      </c>
      <c r="B5" s="11"/>
      <c r="C5" s="11"/>
      <c r="D5" s="11"/>
      <c r="E5" s="11"/>
      <c r="F5" s="11"/>
    </row>
    <row r="6" customFormat="false" ht="27.75" hidden="false" customHeight="true" outlineLevel="0" collapsed="false">
      <c r="A6" s="12" t="s">
        <v>92</v>
      </c>
      <c r="B6" s="12"/>
      <c r="C6" s="12"/>
      <c r="D6" s="12"/>
      <c r="E6" s="12"/>
      <c r="F6" s="12"/>
    </row>
    <row r="7" customFormat="false" ht="30" hidden="false" customHeight="true" outlineLevel="0" collapsed="false">
      <c r="A7" s="6" t="s">
        <v>57</v>
      </c>
      <c r="B7" s="6" t="s">
        <v>93</v>
      </c>
      <c r="C7" s="6" t="s">
        <v>94</v>
      </c>
      <c r="D7" s="6" t="s">
        <v>95</v>
      </c>
      <c r="E7" s="6" t="s">
        <v>96</v>
      </c>
      <c r="F7" s="6" t="s">
        <v>97</v>
      </c>
    </row>
    <row r="8" customFormat="false" ht="30" hidden="false" customHeight="true" outlineLevel="0" collapsed="false">
      <c r="A8" s="7" t="n">
        <v>1</v>
      </c>
      <c r="B8" s="8" t="s">
        <v>98</v>
      </c>
      <c r="C8" s="13" t="n">
        <v>48000</v>
      </c>
      <c r="D8" s="32" t="s">
        <v>130</v>
      </c>
      <c r="E8" s="32" t="s">
        <v>157</v>
      </c>
      <c r="F8" s="33" t="s">
        <v>158</v>
      </c>
    </row>
    <row r="9" customFormat="false" ht="30" hidden="false" customHeight="true" outlineLevel="0" collapsed="false">
      <c r="A9" s="7" t="n">
        <v>2</v>
      </c>
      <c r="B9" s="8" t="s">
        <v>99</v>
      </c>
      <c r="C9" s="13" t="n">
        <v>2800</v>
      </c>
      <c r="D9" s="32" t="s">
        <v>129</v>
      </c>
      <c r="E9" s="32" t="s">
        <v>159</v>
      </c>
      <c r="F9" s="33" t="s">
        <v>160</v>
      </c>
    </row>
    <row r="10" customFormat="false" ht="30" hidden="false" customHeight="true" outlineLevel="0" collapsed="false">
      <c r="A10" s="7" t="n">
        <v>3</v>
      </c>
      <c r="B10" s="8" t="s">
        <v>100</v>
      </c>
      <c r="C10" s="13" t="n">
        <v>3000</v>
      </c>
      <c r="D10" s="32" t="s">
        <v>129</v>
      </c>
      <c r="E10" s="32" t="s">
        <v>157</v>
      </c>
      <c r="F10" s="33" t="s">
        <v>161</v>
      </c>
    </row>
    <row r="11" customFormat="false" ht="30" hidden="false" customHeight="true" outlineLevel="0" collapsed="false">
      <c r="A11" s="7" t="n">
        <v>4</v>
      </c>
      <c r="B11" s="8" t="s">
        <v>101</v>
      </c>
      <c r="C11" s="13" t="n">
        <v>2400</v>
      </c>
      <c r="D11" s="32" t="s">
        <v>130</v>
      </c>
      <c r="E11" s="32" t="s">
        <v>157</v>
      </c>
      <c r="F11" s="33" t="s">
        <v>162</v>
      </c>
    </row>
    <row r="12" customFormat="false" ht="30" hidden="false" customHeight="true" outlineLevel="0" collapsed="false">
      <c r="A12" s="7" t="n">
        <v>5</v>
      </c>
      <c r="B12" s="8" t="s">
        <v>102</v>
      </c>
      <c r="C12" s="13" t="n">
        <v>2500</v>
      </c>
      <c r="D12" s="32" t="s">
        <v>129</v>
      </c>
      <c r="E12" s="32" t="s">
        <v>159</v>
      </c>
      <c r="F12" s="33" t="s">
        <v>163</v>
      </c>
    </row>
    <row r="13" customFormat="false" ht="30" hidden="false" customHeight="true" outlineLevel="0" collapsed="false">
      <c r="A13" s="7" t="n">
        <v>6</v>
      </c>
      <c r="B13" s="8" t="s">
        <v>103</v>
      </c>
      <c r="C13" s="13" t="n">
        <v>640</v>
      </c>
      <c r="D13" s="32" t="s">
        <v>130</v>
      </c>
      <c r="E13" s="32" t="s">
        <v>157</v>
      </c>
      <c r="F13" s="33" t="s">
        <v>164</v>
      </c>
    </row>
    <row r="14" customFormat="false" ht="30" hidden="false" customHeight="true" outlineLevel="0" collapsed="false">
      <c r="A14" s="7" t="n">
        <v>7</v>
      </c>
      <c r="B14" s="8" t="s">
        <v>104</v>
      </c>
      <c r="C14" s="13" t="n">
        <v>180</v>
      </c>
      <c r="D14" s="32" t="s">
        <v>129</v>
      </c>
      <c r="E14" s="32" t="s">
        <v>159</v>
      </c>
      <c r="F14" s="33" t="s">
        <v>165</v>
      </c>
    </row>
    <row r="15" customFormat="false" ht="30" hidden="false" customHeight="true" outlineLevel="0" collapsed="false">
      <c r="A15" s="7" t="n">
        <v>8</v>
      </c>
      <c r="B15" s="8" t="s">
        <v>105</v>
      </c>
      <c r="C15" s="13" t="n">
        <v>1040</v>
      </c>
      <c r="D15" s="32" t="s">
        <v>131</v>
      </c>
      <c r="E15" s="32" t="s">
        <v>159</v>
      </c>
      <c r="F15" s="33" t="s">
        <v>166</v>
      </c>
    </row>
    <row r="16" customFormat="false" ht="30" hidden="false" customHeight="true" outlineLevel="0" collapsed="false">
      <c r="A16" s="7" t="n">
        <v>9</v>
      </c>
      <c r="B16" s="8" t="s">
        <v>106</v>
      </c>
      <c r="C16" s="13" t="n">
        <v>1350</v>
      </c>
      <c r="D16" s="32" t="s">
        <v>130</v>
      </c>
      <c r="E16" s="32" t="s">
        <v>157</v>
      </c>
      <c r="F16" s="33" t="s">
        <v>167</v>
      </c>
    </row>
    <row r="17" customFormat="false" ht="30" hidden="false" customHeight="true" outlineLevel="0" collapsed="false">
      <c r="A17" s="7" t="n">
        <v>10</v>
      </c>
      <c r="B17" s="8" t="s">
        <v>107</v>
      </c>
      <c r="C17" s="13" t="n">
        <v>320</v>
      </c>
      <c r="D17" s="32" t="s">
        <v>129</v>
      </c>
      <c r="E17" s="32" t="s">
        <v>159</v>
      </c>
      <c r="F17" s="33" t="s">
        <v>168</v>
      </c>
    </row>
    <row r="18" customFormat="false" ht="30" hidden="false" customHeight="true" outlineLevel="0" collapsed="false">
      <c r="A18" s="7" t="n">
        <v>11</v>
      </c>
      <c r="B18" s="8" t="s">
        <v>108</v>
      </c>
      <c r="C18" s="13" t="n">
        <v>210</v>
      </c>
      <c r="D18" s="32" t="s">
        <v>129</v>
      </c>
      <c r="E18" s="32" t="s">
        <v>159</v>
      </c>
      <c r="F18" s="33" t="s">
        <v>169</v>
      </c>
    </row>
    <row r="19" customFormat="false" ht="30" hidden="false" customHeight="true" outlineLevel="0" collapsed="false">
      <c r="A19" s="7" t="n">
        <v>12</v>
      </c>
      <c r="B19" s="8" t="s">
        <v>109</v>
      </c>
      <c r="C19" s="13" t="n">
        <v>900</v>
      </c>
      <c r="D19" s="32" t="s">
        <v>129</v>
      </c>
      <c r="E19" s="32" t="s">
        <v>159</v>
      </c>
      <c r="F19" s="33" t="s">
        <v>170</v>
      </c>
    </row>
    <row r="20" customFormat="false" ht="21.75" hidden="false" customHeight="true" outlineLevel="0" collapsed="false">
      <c r="A20" s="16" t="s">
        <v>110</v>
      </c>
      <c r="B20" s="16"/>
      <c r="C20" s="16"/>
      <c r="D20" s="16"/>
      <c r="E20" s="16"/>
      <c r="F20" s="16"/>
    </row>
    <row r="21" customFormat="false" ht="30" hidden="false" customHeight="true" outlineLevel="0" collapsed="false">
      <c r="A21" s="6" t="s">
        <v>57</v>
      </c>
      <c r="B21" s="6" t="s">
        <v>93</v>
      </c>
      <c r="C21" s="6" t="s">
        <v>94</v>
      </c>
      <c r="D21" s="6" t="s">
        <v>95</v>
      </c>
      <c r="E21" s="6" t="s">
        <v>96</v>
      </c>
      <c r="F21" s="6" t="s">
        <v>97</v>
      </c>
    </row>
    <row r="22" customFormat="false" ht="30" hidden="false" customHeight="true" outlineLevel="0" collapsed="false">
      <c r="A22" s="7" t="n">
        <v>13</v>
      </c>
      <c r="B22" s="8" t="s">
        <v>111</v>
      </c>
      <c r="C22" s="13" t="n">
        <v>780</v>
      </c>
      <c r="D22" s="32" t="s">
        <v>130</v>
      </c>
      <c r="E22" s="32" t="s">
        <v>157</v>
      </c>
      <c r="F22" s="33" t="s">
        <v>171</v>
      </c>
    </row>
    <row r="23" customFormat="false" ht="30" hidden="false" customHeight="true" outlineLevel="0" collapsed="false">
      <c r="A23" s="7" t="n">
        <v>14</v>
      </c>
      <c r="B23" s="8" t="s">
        <v>112</v>
      </c>
      <c r="C23" s="13" t="n">
        <v>450</v>
      </c>
      <c r="D23" s="32" t="s">
        <v>131</v>
      </c>
      <c r="E23" s="32" t="s">
        <v>159</v>
      </c>
      <c r="F23" s="33" t="s">
        <v>172</v>
      </c>
    </row>
    <row r="24" customFormat="false" ht="30" hidden="false" customHeight="true" outlineLevel="0" collapsed="false">
      <c r="A24" s="7" t="n">
        <v>15</v>
      </c>
      <c r="B24" s="8" t="s">
        <v>113</v>
      </c>
      <c r="C24" s="13" t="n">
        <v>130</v>
      </c>
      <c r="D24" s="32" t="s">
        <v>129</v>
      </c>
      <c r="E24" s="32" t="s">
        <v>159</v>
      </c>
      <c r="F24" s="33" t="s">
        <v>173</v>
      </c>
    </row>
    <row r="25" customFormat="false" ht="30" hidden="false" customHeight="true" outlineLevel="0" collapsed="false">
      <c r="A25" s="7" t="n">
        <v>16</v>
      </c>
      <c r="B25" s="8" t="s">
        <v>114</v>
      </c>
      <c r="C25" s="13" t="n">
        <v>190</v>
      </c>
      <c r="D25" s="32" t="s">
        <v>131</v>
      </c>
      <c r="E25" s="32" t="s">
        <v>159</v>
      </c>
      <c r="F25" s="33" t="s">
        <v>174</v>
      </c>
    </row>
    <row r="26" customFormat="false" ht="30" hidden="false" customHeight="true" outlineLevel="0" collapsed="false">
      <c r="A26" s="7" t="n">
        <v>17</v>
      </c>
      <c r="B26" s="8" t="s">
        <v>115</v>
      </c>
      <c r="C26" s="13" t="n">
        <v>1120</v>
      </c>
      <c r="D26" s="32" t="s">
        <v>130</v>
      </c>
      <c r="E26" s="32" t="s">
        <v>157</v>
      </c>
      <c r="F26" s="33" t="s">
        <v>175</v>
      </c>
    </row>
    <row r="27" customFormat="false" ht="30" hidden="false" customHeight="true" outlineLevel="0" collapsed="false">
      <c r="A27" s="7" t="n">
        <v>18</v>
      </c>
      <c r="B27" s="8" t="s">
        <v>116</v>
      </c>
      <c r="C27" s="13" t="n">
        <v>600</v>
      </c>
      <c r="D27" s="32" t="s">
        <v>129</v>
      </c>
      <c r="E27" s="32" t="s">
        <v>159</v>
      </c>
      <c r="F27" s="33" t="s">
        <v>176</v>
      </c>
    </row>
    <row r="28" customFormat="false" ht="30" hidden="false" customHeight="true" outlineLevel="0" collapsed="false">
      <c r="A28" s="7" t="n">
        <v>19</v>
      </c>
      <c r="B28" s="8" t="s">
        <v>117</v>
      </c>
      <c r="C28" s="13" t="n">
        <v>95</v>
      </c>
      <c r="D28" s="32" t="s">
        <v>129</v>
      </c>
      <c r="E28" s="32" t="s">
        <v>159</v>
      </c>
      <c r="F28" s="33" t="s">
        <v>177</v>
      </c>
    </row>
    <row r="29" customFormat="false" ht="30" hidden="false" customHeight="true" outlineLevel="0" collapsed="false">
      <c r="A29" s="7" t="n">
        <v>20</v>
      </c>
      <c r="B29" s="8" t="s">
        <v>118</v>
      </c>
      <c r="C29" s="13" t="n">
        <v>520</v>
      </c>
      <c r="D29" s="32" t="s">
        <v>130</v>
      </c>
      <c r="E29" s="32" t="s">
        <v>157</v>
      </c>
      <c r="F29" s="33" t="s">
        <v>178</v>
      </c>
    </row>
    <row r="30" customFormat="false" ht="30" hidden="false" customHeight="true" outlineLevel="0" collapsed="false">
      <c r="A30" s="7" t="n">
        <v>21</v>
      </c>
      <c r="B30" s="8" t="s">
        <v>119</v>
      </c>
      <c r="C30" s="13" t="n">
        <v>900</v>
      </c>
      <c r="D30" s="32" t="s">
        <v>129</v>
      </c>
      <c r="E30" s="32" t="s">
        <v>159</v>
      </c>
      <c r="F30" s="33" t="s">
        <v>179</v>
      </c>
    </row>
    <row r="31" customFormat="false" ht="30" hidden="false" customHeight="true" outlineLevel="0" collapsed="false">
      <c r="A31" s="7" t="n">
        <v>22</v>
      </c>
      <c r="B31" s="8" t="s">
        <v>120</v>
      </c>
      <c r="C31" s="13" t="n">
        <v>240</v>
      </c>
      <c r="D31" s="32" t="s">
        <v>131</v>
      </c>
      <c r="E31" s="32" t="s">
        <v>159</v>
      </c>
      <c r="F31" s="33" t="s">
        <v>180</v>
      </c>
    </row>
    <row r="32" customFormat="false" ht="30" hidden="false" customHeight="true" outlineLevel="0" collapsed="false">
      <c r="A32" s="7" t="n">
        <v>23</v>
      </c>
      <c r="B32" s="8" t="s">
        <v>121</v>
      </c>
      <c r="C32" s="13" t="n">
        <v>150</v>
      </c>
      <c r="D32" s="32" t="s">
        <v>129</v>
      </c>
      <c r="E32" s="32" t="s">
        <v>159</v>
      </c>
      <c r="F32" s="33" t="s">
        <v>181</v>
      </c>
    </row>
    <row r="33" customFormat="false" ht="30" hidden="false" customHeight="true" outlineLevel="0" collapsed="false">
      <c r="A33" s="7" t="n">
        <v>24</v>
      </c>
      <c r="B33" s="8" t="s">
        <v>122</v>
      </c>
      <c r="C33" s="13" t="n">
        <v>1500</v>
      </c>
      <c r="D33" s="32" t="s">
        <v>130</v>
      </c>
      <c r="E33" s="32" t="s">
        <v>157</v>
      </c>
      <c r="F33" s="33" t="s">
        <v>182</v>
      </c>
    </row>
    <row r="34" customFormat="false" ht="30" hidden="false" customHeight="true" outlineLevel="0" collapsed="false">
      <c r="A34" s="7" t="n">
        <v>25</v>
      </c>
      <c r="B34" s="8" t="s">
        <v>123</v>
      </c>
      <c r="C34" s="13" t="n">
        <v>700</v>
      </c>
      <c r="D34" s="32" t="s">
        <v>129</v>
      </c>
      <c r="E34" s="32" t="s">
        <v>159</v>
      </c>
      <c r="F34" s="33" t="s">
        <v>183</v>
      </c>
    </row>
    <row r="35" customFormat="false" ht="19.5" hidden="false" customHeight="true" outlineLevel="0" collapsed="false">
      <c r="A35" s="17"/>
      <c r="B35" s="18" t="s">
        <v>124</v>
      </c>
      <c r="C35" s="19" t="n">
        <f aca="false">SUM(C8:C34)</f>
        <v>70715</v>
      </c>
      <c r="D35" s="17"/>
      <c r="E35" s="17"/>
      <c r="F35" s="18"/>
    </row>
    <row r="37" customFormat="false" ht="21.75" hidden="false" customHeight="true" outlineLevel="0" collapsed="false">
      <c r="A37" s="3" t="s">
        <v>125</v>
      </c>
      <c r="B37" s="3"/>
      <c r="C37" s="3"/>
      <c r="D37" s="3"/>
      <c r="E37" s="3"/>
      <c r="F37" s="3"/>
    </row>
    <row r="38" customFormat="false" ht="30" hidden="false" customHeight="true" outlineLevel="0" collapsed="false">
      <c r="A38" s="6"/>
      <c r="B38" s="6" t="s">
        <v>95</v>
      </c>
      <c r="C38" s="6" t="s">
        <v>126</v>
      </c>
      <c r="D38" s="6" t="s">
        <v>127</v>
      </c>
      <c r="E38" s="6" t="s">
        <v>128</v>
      </c>
      <c r="F38" s="6"/>
    </row>
    <row r="39" customFormat="false" ht="19.5" hidden="false" customHeight="true" outlineLevel="0" collapsed="false">
      <c r="A39" s="20"/>
      <c r="B39" s="21" t="s">
        <v>129</v>
      </c>
      <c r="C39" s="22" t="n">
        <f aca="false">SUMIF($D$8:$D$34,B39,$C$8:$C$34)</f>
        <v>12485</v>
      </c>
      <c r="D39" s="23" t="n">
        <f aca="false">IF($C$35=0,0,C39/$C$35)</f>
        <v>0.176553772184119</v>
      </c>
      <c r="E39" s="20" t="n">
        <f aca="false">COUNTIF($D$8:$D$34,B39)</f>
        <v>13</v>
      </c>
      <c r="F39" s="21"/>
    </row>
    <row r="40" customFormat="false" ht="19.5" hidden="false" customHeight="true" outlineLevel="0" collapsed="false">
      <c r="A40" s="20"/>
      <c r="B40" s="21" t="s">
        <v>130</v>
      </c>
      <c r="C40" s="22" t="n">
        <f aca="false">SUMIF($D$8:$D$34,B40,$C$8:$C$34)</f>
        <v>56310</v>
      </c>
      <c r="D40" s="23" t="n">
        <f aca="false">IF($C$35=0,0,C40/$C$35)</f>
        <v>0.796294986919324</v>
      </c>
      <c r="E40" s="20" t="n">
        <f aca="false">COUNTIF($D$8:$D$34,B40)</f>
        <v>8</v>
      </c>
      <c r="F40" s="21"/>
    </row>
    <row r="41" customFormat="false" ht="19.5" hidden="false" customHeight="true" outlineLevel="0" collapsed="false">
      <c r="A41" s="20"/>
      <c r="B41" s="21" t="s">
        <v>131</v>
      </c>
      <c r="C41" s="22" t="n">
        <f aca="false">SUMIF($D$8:$D$34,B41,$C$8:$C$34)</f>
        <v>1920</v>
      </c>
      <c r="D41" s="23" t="n">
        <f aca="false">IF($C$35=0,0,C41/$C$35)</f>
        <v>0.0271512408965566</v>
      </c>
      <c r="E41" s="20" t="n">
        <f aca="false">COUNTIF($D$8:$D$34,B41)</f>
        <v>4</v>
      </c>
      <c r="F41" s="21"/>
    </row>
    <row r="42" customFormat="false" ht="19.5" hidden="false" customHeight="true" outlineLevel="0" collapsed="false">
      <c r="A42" s="24"/>
      <c r="B42" s="25" t="s">
        <v>132</v>
      </c>
      <c r="C42" s="26" t="n">
        <f aca="false">$C$35-SUM(C39:C41)</f>
        <v>0</v>
      </c>
      <c r="D42" s="24"/>
      <c r="E42" s="24" t="n">
        <f aca="false">25-SUM(E39:E41)</f>
        <v>0</v>
      </c>
      <c r="F42" s="25"/>
    </row>
    <row r="44" customFormat="false" ht="21.75" hidden="false" customHeight="true" outlineLevel="0" collapsed="false">
      <c r="A44" s="27" t="s">
        <v>133</v>
      </c>
      <c r="B44" s="27"/>
      <c r="C44" s="27"/>
      <c r="D44" s="27"/>
      <c r="E44" s="27"/>
      <c r="F44" s="27"/>
    </row>
    <row r="45" customFormat="false" ht="30" hidden="false" customHeight="true" outlineLevel="0" collapsed="false">
      <c r="A45" s="28" t="s">
        <v>134</v>
      </c>
      <c r="B45" s="28"/>
      <c r="C45" s="28"/>
      <c r="D45" s="28"/>
      <c r="E45" s="28"/>
      <c r="F45" s="28"/>
    </row>
    <row r="46" customFormat="false" ht="30" hidden="false" customHeight="true" outlineLevel="0" collapsed="false">
      <c r="A46" s="6"/>
      <c r="B46" s="6" t="s">
        <v>135</v>
      </c>
      <c r="C46" s="6" t="s">
        <v>136</v>
      </c>
      <c r="D46" s="6" t="s">
        <v>137</v>
      </c>
      <c r="E46" s="6" t="s">
        <v>138</v>
      </c>
      <c r="F46" s="6"/>
    </row>
    <row r="47" customFormat="false" ht="19.5" hidden="false" customHeight="true" outlineLevel="0" collapsed="false">
      <c r="A47" s="20"/>
      <c r="B47" s="21" t="s">
        <v>139</v>
      </c>
      <c r="C47" s="22" t="n">
        <f aca="false">$C$40/4000*3000</f>
        <v>42232.5</v>
      </c>
      <c r="D47" s="22" t="n">
        <f aca="false">$C$40/4000*4000</f>
        <v>56310</v>
      </c>
      <c r="E47" s="22" t="n">
        <f aca="false">$C$40/4000*5000</f>
        <v>70387.5</v>
      </c>
      <c r="F47" s="21"/>
    </row>
    <row r="48" customFormat="false" ht="19.5" hidden="false" customHeight="true" outlineLevel="0" collapsed="false">
      <c r="A48" s="20"/>
      <c r="B48" s="21" t="s">
        <v>140</v>
      </c>
      <c r="C48" s="22" t="n">
        <f aca="false">$C$39</f>
        <v>12485</v>
      </c>
      <c r="D48" s="22" t="n">
        <f aca="false">$C$39</f>
        <v>12485</v>
      </c>
      <c r="E48" s="22" t="n">
        <f aca="false">$C$39</f>
        <v>12485</v>
      </c>
      <c r="F48" s="21"/>
    </row>
    <row r="49" customFormat="false" ht="19.5" hidden="false" customHeight="true" outlineLevel="0" collapsed="false">
      <c r="A49" s="17"/>
      <c r="B49" s="18" t="s">
        <v>141</v>
      </c>
      <c r="C49" s="19" t="n">
        <f aca="false">SUM(C47:C48)</f>
        <v>54717.5</v>
      </c>
      <c r="D49" s="19" t="n">
        <f aca="false">SUM(D47:D48)</f>
        <v>68795</v>
      </c>
      <c r="E49" s="19" t="n">
        <f aca="false">SUM(E47:E48)</f>
        <v>82872.5</v>
      </c>
      <c r="F49" s="18"/>
    </row>
    <row r="50" customFormat="false" ht="19.5" hidden="false" customHeight="true" outlineLevel="0" collapsed="false">
      <c r="A50" s="20"/>
      <c r="B50" s="21" t="s">
        <v>142</v>
      </c>
      <c r="C50" s="22" t="n">
        <f aca="false">C47/3000</f>
        <v>14.0775</v>
      </c>
      <c r="D50" s="22" t="n">
        <f aca="false">D47/4000</f>
        <v>14.0775</v>
      </c>
      <c r="E50" s="22" t="n">
        <f aca="false">E47/5000</f>
        <v>14.0775</v>
      </c>
      <c r="F50" s="21"/>
    </row>
    <row r="51" customFormat="false" ht="19.5" hidden="false" customHeight="true" outlineLevel="0" collapsed="false">
      <c r="A51" s="20"/>
      <c r="B51" s="21" t="s">
        <v>143</v>
      </c>
      <c r="C51" s="22" t="n">
        <f aca="false">C48/3000</f>
        <v>4.16166666666667</v>
      </c>
      <c r="D51" s="22" t="n">
        <f aca="false">D48/4000</f>
        <v>3.12125</v>
      </c>
      <c r="E51" s="22" t="n">
        <f aca="false">E48/5000</f>
        <v>2.497</v>
      </c>
      <c r="F51" s="21"/>
    </row>
    <row r="52" customFormat="false" ht="19.5" hidden="false" customHeight="true" outlineLevel="0" collapsed="false">
      <c r="A52" s="17"/>
      <c r="B52" s="18" t="s">
        <v>144</v>
      </c>
      <c r="C52" s="19" t="n">
        <f aca="false">C49/3000</f>
        <v>18.2391666666667</v>
      </c>
      <c r="D52" s="19" t="n">
        <f aca="false">D49/4000</f>
        <v>17.19875</v>
      </c>
      <c r="E52" s="19" t="n">
        <f aca="false">E49/5000</f>
        <v>16.5745</v>
      </c>
      <c r="F52" s="18"/>
    </row>
    <row r="54" customFormat="false" ht="21.75" hidden="false" customHeight="true" outlineLevel="0" collapsed="false">
      <c r="A54" s="3" t="s">
        <v>145</v>
      </c>
      <c r="B54" s="3"/>
      <c r="C54" s="3"/>
      <c r="D54" s="3"/>
      <c r="E54" s="3"/>
      <c r="F54" s="3"/>
    </row>
    <row r="55" customFormat="false" ht="30" hidden="false" customHeight="true" outlineLevel="0" collapsed="false">
      <c r="A55" s="6"/>
      <c r="B55" s="6" t="s">
        <v>146</v>
      </c>
      <c r="C55" s="6" t="s">
        <v>184</v>
      </c>
      <c r="D55" s="6"/>
      <c r="E55" s="6"/>
      <c r="F55" s="6"/>
    </row>
    <row r="56" customFormat="false" ht="42" hidden="false" customHeight="true" outlineLevel="0" collapsed="false">
      <c r="A56" s="29" t="s">
        <v>148</v>
      </c>
      <c r="B56" s="5" t="s">
        <v>149</v>
      </c>
      <c r="C56" s="5"/>
      <c r="D56" s="34" t="s">
        <v>185</v>
      </c>
      <c r="E56" s="34"/>
      <c r="F56" s="34"/>
    </row>
    <row r="57" customFormat="false" ht="42" hidden="false" customHeight="true" outlineLevel="0" collapsed="false">
      <c r="A57" s="29" t="s">
        <v>150</v>
      </c>
      <c r="B57" s="5" t="s">
        <v>151</v>
      </c>
      <c r="C57" s="5"/>
      <c r="D57" s="34" t="s">
        <v>186</v>
      </c>
      <c r="E57" s="34"/>
      <c r="F57" s="34"/>
    </row>
    <row r="58" customFormat="false" ht="42" hidden="false" customHeight="true" outlineLevel="0" collapsed="false">
      <c r="A58" s="29" t="s">
        <v>152</v>
      </c>
      <c r="B58" s="5" t="s">
        <v>153</v>
      </c>
      <c r="C58" s="5"/>
      <c r="D58" s="34" t="s">
        <v>187</v>
      </c>
      <c r="E58" s="34"/>
      <c r="F58" s="34"/>
    </row>
    <row r="59" customFormat="false" ht="42" hidden="false" customHeight="true" outlineLevel="0" collapsed="false">
      <c r="A59" s="29" t="s">
        <v>154</v>
      </c>
      <c r="B59" s="5" t="s">
        <v>155</v>
      </c>
      <c r="C59" s="5"/>
      <c r="D59" s="34" t="s">
        <v>188</v>
      </c>
      <c r="E59" s="34"/>
      <c r="F59" s="34"/>
    </row>
  </sheetData>
  <mergeCells count="18">
    <mergeCell ref="A1:F1"/>
    <mergeCell ref="A2:F2"/>
    <mergeCell ref="A3:F3"/>
    <mergeCell ref="A5:F5"/>
    <mergeCell ref="A6:F6"/>
    <mergeCell ref="A20:F20"/>
    <mergeCell ref="A37:F37"/>
    <mergeCell ref="A44:F44"/>
    <mergeCell ref="A45:F45"/>
    <mergeCell ref="A54:F54"/>
    <mergeCell ref="B56:C56"/>
    <mergeCell ref="D56:F56"/>
    <mergeCell ref="B57:C57"/>
    <mergeCell ref="D57:F57"/>
    <mergeCell ref="B58:C58"/>
    <mergeCell ref="D58:F58"/>
    <mergeCell ref="B59:C59"/>
    <mergeCell ref="D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0" t="s">
        <v>189</v>
      </c>
      <c r="B1" s="10"/>
      <c r="C1" s="10"/>
      <c r="D1" s="10"/>
      <c r="E1" s="10"/>
      <c r="F1" s="10"/>
    </row>
    <row r="2" customFormat="false" ht="21.75" hidden="false" customHeight="true" outlineLevel="0" collapsed="false">
      <c r="A2" s="3" t="s">
        <v>190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9" t="s">
        <v>191</v>
      </c>
      <c r="B3" s="9"/>
      <c r="C3" s="9"/>
      <c r="D3" s="9"/>
      <c r="E3" s="9"/>
      <c r="F3" s="9"/>
    </row>
    <row r="5" customFormat="false" ht="21.75" hidden="false" customHeight="true" outlineLevel="0" collapsed="false">
      <c r="A5" s="11" t="s">
        <v>192</v>
      </c>
      <c r="B5" s="11"/>
      <c r="C5" s="11"/>
      <c r="D5" s="11"/>
      <c r="E5" s="11"/>
      <c r="F5" s="11"/>
    </row>
    <row r="6" customFormat="false" ht="24" hidden="false" customHeight="true" outlineLevel="0" collapsed="false">
      <c r="A6" s="12" t="s">
        <v>193</v>
      </c>
      <c r="B6" s="12"/>
      <c r="C6" s="12"/>
      <c r="D6" s="12"/>
      <c r="E6" s="12"/>
      <c r="F6" s="12"/>
    </row>
    <row r="7" customFormat="false" ht="30" hidden="false" customHeight="true" outlineLevel="0" collapsed="false">
      <c r="A7" s="6" t="s">
        <v>57</v>
      </c>
      <c r="B7" s="6" t="s">
        <v>194</v>
      </c>
      <c r="C7" s="6" t="s">
        <v>195</v>
      </c>
      <c r="D7" s="6" t="s">
        <v>196</v>
      </c>
      <c r="E7" s="6" t="s">
        <v>197</v>
      </c>
      <c r="F7" s="6"/>
    </row>
    <row r="8" customFormat="false" ht="19.5" hidden="false" customHeight="true" outlineLevel="0" collapsed="false">
      <c r="A8" s="7" t="n">
        <v>1</v>
      </c>
      <c r="B8" s="8" t="s">
        <v>198</v>
      </c>
      <c r="C8" s="35" t="n">
        <v>1850</v>
      </c>
      <c r="D8" s="13" t="n">
        <v>972</v>
      </c>
      <c r="E8" s="14"/>
      <c r="F8" s="8"/>
    </row>
    <row r="9" customFormat="false" ht="19.5" hidden="false" customHeight="true" outlineLevel="0" collapsed="false">
      <c r="A9" s="7" t="n">
        <v>2</v>
      </c>
      <c r="B9" s="8" t="s">
        <v>199</v>
      </c>
      <c r="C9" s="35" t="n">
        <v>2100</v>
      </c>
      <c r="D9" s="13" t="n">
        <v>1060</v>
      </c>
      <c r="E9" s="14"/>
      <c r="F9" s="8"/>
    </row>
    <row r="10" customFormat="false" ht="19.5" hidden="false" customHeight="true" outlineLevel="0" collapsed="false">
      <c r="A10" s="7" t="n">
        <v>3</v>
      </c>
      <c r="B10" s="8" t="s">
        <v>200</v>
      </c>
      <c r="C10" s="35" t="n">
        <v>2480</v>
      </c>
      <c r="D10" s="13" t="n">
        <v>1170</v>
      </c>
      <c r="E10" s="14"/>
      <c r="F10" s="8"/>
    </row>
    <row r="11" customFormat="false" ht="19.5" hidden="false" customHeight="true" outlineLevel="0" collapsed="false">
      <c r="A11" s="7" t="n">
        <v>4</v>
      </c>
      <c r="B11" s="8" t="s">
        <v>201</v>
      </c>
      <c r="C11" s="35" t="n">
        <v>1200</v>
      </c>
      <c r="D11" s="13" t="n">
        <v>764</v>
      </c>
      <c r="E11" s="14"/>
      <c r="F11" s="8"/>
    </row>
    <row r="12" customFormat="false" ht="19.5" hidden="false" customHeight="true" outlineLevel="0" collapsed="false">
      <c r="A12" s="7" t="n">
        <v>5</v>
      </c>
      <c r="B12" s="8" t="s">
        <v>202</v>
      </c>
      <c r="C12" s="35" t="n">
        <v>1640</v>
      </c>
      <c r="D12" s="13" t="n">
        <v>910</v>
      </c>
      <c r="E12" s="14"/>
      <c r="F12" s="8"/>
    </row>
    <row r="13" customFormat="false" ht="19.5" hidden="false" customHeight="true" outlineLevel="0" collapsed="false">
      <c r="A13" s="7" t="n">
        <v>6</v>
      </c>
      <c r="B13" s="8" t="s">
        <v>203</v>
      </c>
      <c r="C13" s="35" t="n">
        <v>2050</v>
      </c>
      <c r="D13" s="13" t="n">
        <v>1030</v>
      </c>
      <c r="E13" s="14"/>
      <c r="F13" s="8"/>
    </row>
    <row r="14" customFormat="false" ht="19.5" hidden="false" customHeight="true" outlineLevel="0" collapsed="false">
      <c r="A14" s="7" t="n">
        <v>7</v>
      </c>
      <c r="B14" s="8" t="s">
        <v>204</v>
      </c>
      <c r="C14" s="35" t="n">
        <v>2760</v>
      </c>
      <c r="D14" s="13" t="n">
        <v>1258</v>
      </c>
      <c r="E14" s="14"/>
      <c r="F14" s="8"/>
    </row>
    <row r="15" customFormat="false" ht="19.5" hidden="false" customHeight="true" outlineLevel="0" collapsed="false">
      <c r="A15" s="7" t="n">
        <v>8</v>
      </c>
      <c r="B15" s="8" t="s">
        <v>205</v>
      </c>
      <c r="C15" s="35" t="n">
        <v>3000</v>
      </c>
      <c r="D15" s="13" t="n">
        <v>1340</v>
      </c>
      <c r="E15" s="14"/>
      <c r="F15" s="8"/>
    </row>
    <row r="16" customFormat="false" ht="19.5" hidden="false" customHeight="true" outlineLevel="0" collapsed="false">
      <c r="A16" s="7" t="n">
        <v>9</v>
      </c>
      <c r="B16" s="8" t="s">
        <v>206</v>
      </c>
      <c r="C16" s="35" t="n">
        <v>2300</v>
      </c>
      <c r="D16" s="13" t="n">
        <v>1120</v>
      </c>
      <c r="E16" s="14"/>
      <c r="F16" s="8"/>
    </row>
    <row r="17" customFormat="false" ht="19.5" hidden="false" customHeight="true" outlineLevel="0" collapsed="false">
      <c r="A17" s="7" t="n">
        <v>10</v>
      </c>
      <c r="B17" s="8" t="s">
        <v>207</v>
      </c>
      <c r="C17" s="35" t="n">
        <v>1950</v>
      </c>
      <c r="D17" s="13" t="n">
        <v>1008</v>
      </c>
      <c r="E17" s="14"/>
      <c r="F17" s="8"/>
    </row>
    <row r="18" customFormat="false" ht="19.5" hidden="false" customHeight="true" outlineLevel="0" collapsed="false">
      <c r="A18" s="7" t="n">
        <v>11</v>
      </c>
      <c r="B18" s="8" t="s">
        <v>208</v>
      </c>
      <c r="C18" s="35" t="n">
        <v>2620</v>
      </c>
      <c r="D18" s="13" t="n">
        <v>1215</v>
      </c>
      <c r="E18" s="14"/>
      <c r="F18" s="8"/>
    </row>
    <row r="19" customFormat="false" ht="19.5" hidden="false" customHeight="true" outlineLevel="0" collapsed="false">
      <c r="A19" s="7" t="n">
        <v>12</v>
      </c>
      <c r="B19" s="8" t="s">
        <v>209</v>
      </c>
      <c r="C19" s="35" t="n">
        <v>2900</v>
      </c>
      <c r="D19" s="13" t="n">
        <v>1305</v>
      </c>
      <c r="E19" s="14"/>
      <c r="F19" s="8"/>
    </row>
    <row r="21" customFormat="false" ht="21.75" hidden="false" customHeight="true" outlineLevel="0" collapsed="false">
      <c r="A21" s="16" t="s">
        <v>210</v>
      </c>
      <c r="B21" s="16"/>
      <c r="C21" s="16"/>
      <c r="D21" s="16"/>
      <c r="E21" s="16"/>
      <c r="F21" s="16"/>
    </row>
    <row r="22" customFormat="false" ht="30" hidden="false" customHeight="true" outlineLevel="0" collapsed="false">
      <c r="A22" s="6"/>
      <c r="B22" s="6" t="s">
        <v>211</v>
      </c>
      <c r="C22" s="6" t="s">
        <v>212</v>
      </c>
      <c r="D22" s="6" t="s">
        <v>213</v>
      </c>
      <c r="E22" s="6" t="s">
        <v>214</v>
      </c>
      <c r="F22" s="6" t="s">
        <v>215</v>
      </c>
    </row>
    <row r="23" customFormat="false" ht="21.75" hidden="false" customHeight="true" outlineLevel="0" collapsed="false">
      <c r="A23" s="20"/>
      <c r="B23" s="21" t="s">
        <v>216</v>
      </c>
      <c r="C23" s="21" t="s">
        <v>217</v>
      </c>
      <c r="D23" s="22" t="n">
        <f aca="false">MAX(C8:C19)</f>
        <v>3000</v>
      </c>
      <c r="E23" s="20" t="s">
        <v>218</v>
      </c>
      <c r="F23" s="21" t="s">
        <v>219</v>
      </c>
    </row>
    <row r="24" customFormat="false" ht="21.75" hidden="false" customHeight="true" outlineLevel="0" collapsed="false">
      <c r="A24" s="20"/>
      <c r="B24" s="21" t="s">
        <v>220</v>
      </c>
      <c r="C24" s="21" t="s">
        <v>221</v>
      </c>
      <c r="D24" s="22" t="n">
        <f aca="false">MIN(C8:C19)</f>
        <v>1200</v>
      </c>
      <c r="E24" s="20" t="s">
        <v>218</v>
      </c>
      <c r="F24" s="21" t="s">
        <v>222</v>
      </c>
    </row>
    <row r="25" customFormat="false" ht="21.75" hidden="false" customHeight="true" outlineLevel="0" collapsed="false">
      <c r="A25" s="20"/>
      <c r="B25" s="21" t="s">
        <v>223</v>
      </c>
      <c r="C25" s="21" t="s">
        <v>224</v>
      </c>
      <c r="D25" s="22" t="n">
        <f aca="false">INDEX(D8:D19,MATCH(D23,C8:C19,0))</f>
        <v>1340</v>
      </c>
      <c r="E25" s="20" t="s">
        <v>225</v>
      </c>
      <c r="F25" s="21" t="s">
        <v>226</v>
      </c>
    </row>
    <row r="26" customFormat="false" ht="21.75" hidden="false" customHeight="true" outlineLevel="0" collapsed="false">
      <c r="A26" s="20"/>
      <c r="B26" s="21" t="s">
        <v>227</v>
      </c>
      <c r="C26" s="21" t="s">
        <v>228</v>
      </c>
      <c r="D26" s="22" t="n">
        <f aca="false">INDEX(D8:D19,MATCH(D24,C8:C19,0))</f>
        <v>764</v>
      </c>
      <c r="E26" s="20" t="s">
        <v>225</v>
      </c>
      <c r="F26" s="21" t="s">
        <v>229</v>
      </c>
    </row>
    <row r="27" customFormat="false" ht="21.75" hidden="false" customHeight="true" outlineLevel="0" collapsed="false">
      <c r="A27" s="20"/>
      <c r="B27" s="21" t="s">
        <v>230</v>
      </c>
      <c r="C27" s="21" t="s">
        <v>231</v>
      </c>
      <c r="D27" s="22" t="n">
        <f aca="false">D25-D26</f>
        <v>576</v>
      </c>
      <c r="E27" s="20" t="s">
        <v>225</v>
      </c>
      <c r="F27" s="21" t="s">
        <v>232</v>
      </c>
    </row>
    <row r="28" customFormat="false" ht="21.75" hidden="false" customHeight="true" outlineLevel="0" collapsed="false">
      <c r="A28" s="20"/>
      <c r="B28" s="21" t="s">
        <v>233</v>
      </c>
      <c r="C28" s="21" t="s">
        <v>234</v>
      </c>
      <c r="D28" s="22" t="n">
        <f aca="false">D23-D24</f>
        <v>1800</v>
      </c>
      <c r="E28" s="20" t="s">
        <v>218</v>
      </c>
      <c r="F28" s="21" t="s">
        <v>235</v>
      </c>
    </row>
    <row r="29" customFormat="false" ht="21.75" hidden="false" customHeight="true" outlineLevel="0" collapsed="false">
      <c r="A29" s="20"/>
      <c r="B29" s="21" t="s">
        <v>236</v>
      </c>
      <c r="C29" s="21" t="s">
        <v>237</v>
      </c>
      <c r="D29" s="36" t="n">
        <f aca="false">D27/D28</f>
        <v>0.32</v>
      </c>
      <c r="E29" s="20" t="s">
        <v>238</v>
      </c>
      <c r="F29" s="21" t="s">
        <v>239</v>
      </c>
    </row>
    <row r="30" customFormat="false" ht="21.75" hidden="false" customHeight="true" outlineLevel="0" collapsed="false">
      <c r="A30" s="20"/>
      <c r="B30" s="21" t="s">
        <v>240</v>
      </c>
      <c r="C30" s="21" t="s">
        <v>241</v>
      </c>
      <c r="D30" s="22" t="n">
        <f aca="false">D25-D29*D23</f>
        <v>380</v>
      </c>
      <c r="E30" s="20" t="s">
        <v>242</v>
      </c>
      <c r="F30" s="21" t="s">
        <v>243</v>
      </c>
    </row>
    <row r="31" customFormat="false" ht="21.75" hidden="false" customHeight="true" outlineLevel="0" collapsed="false">
      <c r="A31" s="20"/>
      <c r="B31" s="21" t="s">
        <v>244</v>
      </c>
      <c r="C31" s="21" t="s">
        <v>245</v>
      </c>
      <c r="D31" s="22" t="n">
        <f aca="false">D30+D29*D24</f>
        <v>764</v>
      </c>
      <c r="E31" s="20" t="s">
        <v>225</v>
      </c>
      <c r="F31" s="21" t="s">
        <v>246</v>
      </c>
    </row>
    <row r="33" customFormat="false" ht="21.75" hidden="false" customHeight="true" outlineLevel="0" collapsed="false">
      <c r="A33" s="27" t="s">
        <v>247</v>
      </c>
      <c r="B33" s="27"/>
      <c r="C33" s="27"/>
      <c r="D33" s="27"/>
      <c r="E33" s="27"/>
      <c r="F33" s="27"/>
    </row>
    <row r="34" customFormat="false" ht="24" hidden="false" customHeight="true" outlineLevel="0" collapsed="false">
      <c r="A34" s="37" t="s">
        <v>248</v>
      </c>
      <c r="B34" s="37"/>
      <c r="C34" s="37"/>
      <c r="D34" s="37"/>
      <c r="E34" s="37"/>
      <c r="F34" s="37"/>
    </row>
    <row r="35" customFormat="false" ht="30" hidden="false" customHeight="true" outlineLevel="0" collapsed="false">
      <c r="A35" s="6"/>
      <c r="B35" s="6" t="s">
        <v>249</v>
      </c>
      <c r="C35" s="6" t="s">
        <v>250</v>
      </c>
      <c r="D35" s="6" t="s">
        <v>251</v>
      </c>
      <c r="E35" s="6" t="s">
        <v>252</v>
      </c>
      <c r="F35" s="6"/>
    </row>
    <row r="36" customFormat="false" ht="19.5" hidden="false" customHeight="true" outlineLevel="0" collapsed="false">
      <c r="A36" s="20"/>
      <c r="B36" s="21" t="s">
        <v>253</v>
      </c>
      <c r="C36" s="38" t="n">
        <v>3400</v>
      </c>
      <c r="D36" s="22" t="n">
        <f aca="false">$D$30+$D$29*C36</f>
        <v>1468</v>
      </c>
      <c r="E36" s="21" t="s">
        <v>254</v>
      </c>
      <c r="F36" s="21"/>
    </row>
    <row r="37" customFormat="false" ht="19.5" hidden="false" customHeight="true" outlineLevel="0" collapsed="false">
      <c r="A37" s="20"/>
      <c r="B37" s="21" t="s">
        <v>255</v>
      </c>
      <c r="C37" s="38" t="n">
        <v>2450</v>
      </c>
      <c r="D37" s="22" t="n">
        <f aca="false">$D$30+$D$29*C37</f>
        <v>1164</v>
      </c>
      <c r="E37" s="21" t="s">
        <v>254</v>
      </c>
      <c r="F37" s="21"/>
    </row>
    <row r="38" customFormat="false" ht="19.5" hidden="false" customHeight="true" outlineLevel="0" collapsed="false">
      <c r="A38" s="20"/>
      <c r="B38" s="21" t="s">
        <v>256</v>
      </c>
      <c r="C38" s="38" t="n">
        <v>1100</v>
      </c>
      <c r="D38" s="22" t="n">
        <f aca="false">$D$30+$D$29*C38</f>
        <v>732</v>
      </c>
      <c r="E38" s="21" t="s">
        <v>254</v>
      </c>
      <c r="F38" s="21"/>
    </row>
    <row r="40" customFormat="false" ht="21.75" hidden="false" customHeight="true" outlineLevel="0" collapsed="false">
      <c r="A40" s="3" t="s">
        <v>257</v>
      </c>
      <c r="B40" s="3"/>
      <c r="C40" s="3"/>
      <c r="D40" s="3"/>
      <c r="E40" s="3"/>
      <c r="F40" s="3"/>
    </row>
    <row r="41" customFormat="false" ht="30" hidden="false" customHeight="true" outlineLevel="0" collapsed="false">
      <c r="A41" s="6"/>
      <c r="B41" s="6" t="s">
        <v>146</v>
      </c>
      <c r="C41" s="6" t="s">
        <v>147</v>
      </c>
      <c r="D41" s="6"/>
      <c r="E41" s="6"/>
      <c r="F41" s="6"/>
    </row>
    <row r="42" customFormat="false" ht="42" hidden="false" customHeight="true" outlineLevel="0" collapsed="false">
      <c r="A42" s="29" t="s">
        <v>148</v>
      </c>
      <c r="B42" s="5" t="s">
        <v>258</v>
      </c>
      <c r="C42" s="5"/>
      <c r="D42" s="30"/>
      <c r="E42" s="30"/>
      <c r="F42" s="30"/>
    </row>
    <row r="43" customFormat="false" ht="42" hidden="false" customHeight="true" outlineLevel="0" collapsed="false">
      <c r="A43" s="29" t="s">
        <v>150</v>
      </c>
      <c r="B43" s="5" t="s">
        <v>259</v>
      </c>
      <c r="C43" s="5"/>
      <c r="D43" s="30"/>
      <c r="E43" s="30"/>
      <c r="F43" s="30"/>
    </row>
    <row r="44" customFormat="false" ht="42" hidden="false" customHeight="true" outlineLevel="0" collapsed="false">
      <c r="A44" s="29" t="s">
        <v>152</v>
      </c>
      <c r="B44" s="5" t="s">
        <v>260</v>
      </c>
      <c r="C44" s="5"/>
      <c r="D44" s="30"/>
      <c r="E44" s="30"/>
      <c r="F44" s="30"/>
    </row>
    <row r="45" customFormat="false" ht="42" hidden="false" customHeight="true" outlineLevel="0" collapsed="false">
      <c r="A45" s="29" t="s">
        <v>154</v>
      </c>
      <c r="B45" s="5" t="s">
        <v>261</v>
      </c>
      <c r="C45" s="5"/>
      <c r="D45" s="30"/>
      <c r="E45" s="30"/>
      <c r="F45" s="30"/>
    </row>
  </sheetData>
  <mergeCells count="17">
    <mergeCell ref="A1:F1"/>
    <mergeCell ref="A2:F2"/>
    <mergeCell ref="A3:F3"/>
    <mergeCell ref="A5:F5"/>
    <mergeCell ref="A6:F6"/>
    <mergeCell ref="A21:F21"/>
    <mergeCell ref="A33:F33"/>
    <mergeCell ref="A34:F34"/>
    <mergeCell ref="A40:F40"/>
    <mergeCell ref="B42:C42"/>
    <mergeCell ref="D42:F42"/>
    <mergeCell ref="B43:C43"/>
    <mergeCell ref="D43:F43"/>
    <mergeCell ref="B44:C44"/>
    <mergeCell ref="D44:F44"/>
    <mergeCell ref="B45:C45"/>
    <mergeCell ref="D45:F45"/>
  </mergeCells>
  <dataValidations count="1">
    <dataValidation allowBlank="true" errorStyle="stop" operator="between" showDropDown="false" showErrorMessage="false" showInputMessage="false" sqref="E8:E19" type="list">
      <formula1>"ALTO,BAJO"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31" t="s">
        <v>262</v>
      </c>
      <c r="B1" s="31"/>
      <c r="C1" s="31"/>
      <c r="D1" s="31"/>
      <c r="E1" s="31"/>
      <c r="F1" s="31"/>
    </row>
    <row r="2" customFormat="false" ht="21.75" hidden="false" customHeight="true" outlineLevel="0" collapsed="false">
      <c r="A2" s="3" t="s">
        <v>190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9" t="s">
        <v>191</v>
      </c>
      <c r="B3" s="9"/>
      <c r="C3" s="9"/>
      <c r="D3" s="9"/>
      <c r="E3" s="9"/>
      <c r="F3" s="9"/>
    </row>
    <row r="5" customFormat="false" ht="21.75" hidden="false" customHeight="true" outlineLevel="0" collapsed="false">
      <c r="A5" s="11" t="s">
        <v>192</v>
      </c>
      <c r="B5" s="11"/>
      <c r="C5" s="11"/>
      <c r="D5" s="11"/>
      <c r="E5" s="11"/>
      <c r="F5" s="11"/>
    </row>
    <row r="6" customFormat="false" ht="24" hidden="false" customHeight="true" outlineLevel="0" collapsed="false">
      <c r="A6" s="12" t="s">
        <v>193</v>
      </c>
      <c r="B6" s="12"/>
      <c r="C6" s="12"/>
      <c r="D6" s="12"/>
      <c r="E6" s="12"/>
      <c r="F6" s="12"/>
    </row>
    <row r="7" customFormat="false" ht="30" hidden="false" customHeight="true" outlineLevel="0" collapsed="false">
      <c r="A7" s="6" t="s">
        <v>57</v>
      </c>
      <c r="B7" s="6" t="s">
        <v>194</v>
      </c>
      <c r="C7" s="6" t="s">
        <v>195</v>
      </c>
      <c r="D7" s="6" t="s">
        <v>196</v>
      </c>
      <c r="E7" s="6" t="s">
        <v>197</v>
      </c>
      <c r="F7" s="6" t="s">
        <v>263</v>
      </c>
    </row>
    <row r="8" customFormat="false" ht="19.5" hidden="false" customHeight="true" outlineLevel="0" collapsed="false">
      <c r="A8" s="7" t="n">
        <v>1</v>
      </c>
      <c r="B8" s="8" t="s">
        <v>198</v>
      </c>
      <c r="C8" s="35" t="n">
        <v>1850</v>
      </c>
      <c r="D8" s="13" t="n">
        <v>972</v>
      </c>
      <c r="E8" s="32"/>
      <c r="F8" s="8"/>
    </row>
    <row r="9" customFormat="false" ht="19.5" hidden="false" customHeight="true" outlineLevel="0" collapsed="false">
      <c r="A9" s="7" t="n">
        <v>2</v>
      </c>
      <c r="B9" s="8" t="s">
        <v>199</v>
      </c>
      <c r="C9" s="35" t="n">
        <v>2100</v>
      </c>
      <c r="D9" s="13" t="n">
        <v>1060</v>
      </c>
      <c r="E9" s="32"/>
      <c r="F9" s="8"/>
    </row>
    <row r="10" customFormat="false" ht="19.5" hidden="false" customHeight="true" outlineLevel="0" collapsed="false">
      <c r="A10" s="7" t="n">
        <v>3</v>
      </c>
      <c r="B10" s="8" t="s">
        <v>200</v>
      </c>
      <c r="C10" s="35" t="n">
        <v>2480</v>
      </c>
      <c r="D10" s="13" t="n">
        <v>1170</v>
      </c>
      <c r="E10" s="32"/>
      <c r="F10" s="8"/>
    </row>
    <row r="11" customFormat="false" ht="19.5" hidden="false" customHeight="true" outlineLevel="0" collapsed="false">
      <c r="A11" s="7" t="n">
        <v>4</v>
      </c>
      <c r="B11" s="8" t="s">
        <v>201</v>
      </c>
      <c r="C11" s="35" t="n">
        <v>1200</v>
      </c>
      <c r="D11" s="13" t="n">
        <v>764</v>
      </c>
      <c r="E11" s="32" t="s">
        <v>264</v>
      </c>
      <c r="F11" s="8" t="s">
        <v>265</v>
      </c>
    </row>
    <row r="12" customFormat="false" ht="19.5" hidden="false" customHeight="true" outlineLevel="0" collapsed="false">
      <c r="A12" s="7" t="n">
        <v>5</v>
      </c>
      <c r="B12" s="8" t="s">
        <v>202</v>
      </c>
      <c r="C12" s="35" t="n">
        <v>1640</v>
      </c>
      <c r="D12" s="13" t="n">
        <v>910</v>
      </c>
      <c r="E12" s="32"/>
      <c r="F12" s="8"/>
    </row>
    <row r="13" customFormat="false" ht="19.5" hidden="false" customHeight="true" outlineLevel="0" collapsed="false">
      <c r="A13" s="7" t="n">
        <v>6</v>
      </c>
      <c r="B13" s="8" t="s">
        <v>203</v>
      </c>
      <c r="C13" s="35" t="n">
        <v>2050</v>
      </c>
      <c r="D13" s="13" t="n">
        <v>1030</v>
      </c>
      <c r="E13" s="32"/>
      <c r="F13" s="8"/>
    </row>
    <row r="14" customFormat="false" ht="19.5" hidden="false" customHeight="true" outlineLevel="0" collapsed="false">
      <c r="A14" s="7" t="n">
        <v>7</v>
      </c>
      <c r="B14" s="8" t="s">
        <v>204</v>
      </c>
      <c r="C14" s="35" t="n">
        <v>2760</v>
      </c>
      <c r="D14" s="13" t="n">
        <v>1258</v>
      </c>
      <c r="E14" s="32"/>
      <c r="F14" s="8"/>
    </row>
    <row r="15" customFormat="false" ht="19.5" hidden="false" customHeight="true" outlineLevel="0" collapsed="false">
      <c r="A15" s="7" t="n">
        <v>8</v>
      </c>
      <c r="B15" s="8" t="s">
        <v>205</v>
      </c>
      <c r="C15" s="35" t="n">
        <v>3000</v>
      </c>
      <c r="D15" s="13" t="n">
        <v>1340</v>
      </c>
      <c r="E15" s="32" t="s">
        <v>266</v>
      </c>
      <c r="F15" s="8" t="s">
        <v>267</v>
      </c>
    </row>
    <row r="16" customFormat="false" ht="19.5" hidden="false" customHeight="true" outlineLevel="0" collapsed="false">
      <c r="A16" s="7" t="n">
        <v>9</v>
      </c>
      <c r="B16" s="8" t="s">
        <v>206</v>
      </c>
      <c r="C16" s="35" t="n">
        <v>2300</v>
      </c>
      <c r="D16" s="13" t="n">
        <v>1120</v>
      </c>
      <c r="E16" s="32"/>
      <c r="F16" s="8"/>
    </row>
    <row r="17" customFormat="false" ht="19.5" hidden="false" customHeight="true" outlineLevel="0" collapsed="false">
      <c r="A17" s="7" t="n">
        <v>10</v>
      </c>
      <c r="B17" s="8" t="s">
        <v>207</v>
      </c>
      <c r="C17" s="35" t="n">
        <v>1950</v>
      </c>
      <c r="D17" s="13" t="n">
        <v>1008</v>
      </c>
      <c r="E17" s="32"/>
      <c r="F17" s="8"/>
    </row>
    <row r="18" customFormat="false" ht="19.5" hidden="false" customHeight="true" outlineLevel="0" collapsed="false">
      <c r="A18" s="7" t="n">
        <v>11</v>
      </c>
      <c r="B18" s="8" t="s">
        <v>208</v>
      </c>
      <c r="C18" s="35" t="n">
        <v>2620</v>
      </c>
      <c r="D18" s="13" t="n">
        <v>1215</v>
      </c>
      <c r="E18" s="32"/>
      <c r="F18" s="8"/>
    </row>
    <row r="19" customFormat="false" ht="19.5" hidden="false" customHeight="true" outlineLevel="0" collapsed="false">
      <c r="A19" s="7" t="n">
        <v>12</v>
      </c>
      <c r="B19" s="8" t="s">
        <v>209</v>
      </c>
      <c r="C19" s="35" t="n">
        <v>2900</v>
      </c>
      <c r="D19" s="13" t="n">
        <v>1305</v>
      </c>
      <c r="E19" s="32"/>
      <c r="F19" s="8" t="s">
        <v>268</v>
      </c>
    </row>
    <row r="21" customFormat="false" ht="21.75" hidden="false" customHeight="true" outlineLevel="0" collapsed="false">
      <c r="A21" s="16" t="s">
        <v>210</v>
      </c>
      <c r="B21" s="16"/>
      <c r="C21" s="16"/>
      <c r="D21" s="16"/>
      <c r="E21" s="16"/>
      <c r="F21" s="16"/>
    </row>
    <row r="22" customFormat="false" ht="30" hidden="false" customHeight="true" outlineLevel="0" collapsed="false">
      <c r="A22" s="6"/>
      <c r="B22" s="6" t="s">
        <v>211</v>
      </c>
      <c r="C22" s="6" t="s">
        <v>212</v>
      </c>
      <c r="D22" s="6" t="s">
        <v>213</v>
      </c>
      <c r="E22" s="6" t="s">
        <v>214</v>
      </c>
      <c r="F22" s="6" t="s">
        <v>215</v>
      </c>
    </row>
    <row r="23" customFormat="false" ht="21.75" hidden="false" customHeight="true" outlineLevel="0" collapsed="false">
      <c r="A23" s="32"/>
      <c r="B23" s="33" t="s">
        <v>216</v>
      </c>
      <c r="C23" s="33" t="s">
        <v>217</v>
      </c>
      <c r="D23" s="39" t="n">
        <f aca="false">MAX(C8:C19)</f>
        <v>3000</v>
      </c>
      <c r="E23" s="32" t="s">
        <v>218</v>
      </c>
      <c r="F23" s="33" t="s">
        <v>219</v>
      </c>
    </row>
    <row r="24" customFormat="false" ht="21.75" hidden="false" customHeight="true" outlineLevel="0" collapsed="false">
      <c r="A24" s="32"/>
      <c r="B24" s="33" t="s">
        <v>220</v>
      </c>
      <c r="C24" s="33" t="s">
        <v>221</v>
      </c>
      <c r="D24" s="39" t="n">
        <f aca="false">MIN(C8:C19)</f>
        <v>1200</v>
      </c>
      <c r="E24" s="32" t="s">
        <v>218</v>
      </c>
      <c r="F24" s="33" t="s">
        <v>222</v>
      </c>
    </row>
    <row r="25" customFormat="false" ht="21.75" hidden="false" customHeight="true" outlineLevel="0" collapsed="false">
      <c r="A25" s="32"/>
      <c r="B25" s="33" t="s">
        <v>223</v>
      </c>
      <c r="C25" s="33" t="s">
        <v>224</v>
      </c>
      <c r="D25" s="39" t="n">
        <f aca="false">INDEX(D8:D19,MATCH(D23,C8:C19,0))</f>
        <v>1340</v>
      </c>
      <c r="E25" s="32" t="s">
        <v>225</v>
      </c>
      <c r="F25" s="33" t="s">
        <v>226</v>
      </c>
    </row>
    <row r="26" customFormat="false" ht="21.75" hidden="false" customHeight="true" outlineLevel="0" collapsed="false">
      <c r="A26" s="32"/>
      <c r="B26" s="33" t="s">
        <v>227</v>
      </c>
      <c r="C26" s="33" t="s">
        <v>228</v>
      </c>
      <c r="D26" s="39" t="n">
        <f aca="false">INDEX(D8:D19,MATCH(D24,C8:C19,0))</f>
        <v>764</v>
      </c>
      <c r="E26" s="32" t="s">
        <v>225</v>
      </c>
      <c r="F26" s="33" t="s">
        <v>229</v>
      </c>
    </row>
    <row r="27" customFormat="false" ht="21.75" hidden="false" customHeight="true" outlineLevel="0" collapsed="false">
      <c r="A27" s="32"/>
      <c r="B27" s="33" t="s">
        <v>230</v>
      </c>
      <c r="C27" s="33" t="s">
        <v>231</v>
      </c>
      <c r="D27" s="39" t="n">
        <f aca="false">D25-D26</f>
        <v>576</v>
      </c>
      <c r="E27" s="32" t="s">
        <v>225</v>
      </c>
      <c r="F27" s="33" t="s">
        <v>232</v>
      </c>
    </row>
    <row r="28" customFormat="false" ht="21.75" hidden="false" customHeight="true" outlineLevel="0" collapsed="false">
      <c r="A28" s="32"/>
      <c r="B28" s="33" t="s">
        <v>233</v>
      </c>
      <c r="C28" s="33" t="s">
        <v>234</v>
      </c>
      <c r="D28" s="39" t="n">
        <f aca="false">D23-D24</f>
        <v>1800</v>
      </c>
      <c r="E28" s="32" t="s">
        <v>218</v>
      </c>
      <c r="F28" s="33" t="s">
        <v>235</v>
      </c>
    </row>
    <row r="29" customFormat="false" ht="21.75" hidden="false" customHeight="true" outlineLevel="0" collapsed="false">
      <c r="A29" s="32"/>
      <c r="B29" s="33" t="s">
        <v>236</v>
      </c>
      <c r="C29" s="33" t="s">
        <v>237</v>
      </c>
      <c r="D29" s="40" t="n">
        <f aca="false">D27/D28</f>
        <v>0.32</v>
      </c>
      <c r="E29" s="32" t="s">
        <v>238</v>
      </c>
      <c r="F29" s="33" t="s">
        <v>239</v>
      </c>
    </row>
    <row r="30" customFormat="false" ht="21.75" hidden="false" customHeight="true" outlineLevel="0" collapsed="false">
      <c r="A30" s="32"/>
      <c r="B30" s="33" t="s">
        <v>240</v>
      </c>
      <c r="C30" s="33" t="s">
        <v>241</v>
      </c>
      <c r="D30" s="39" t="n">
        <f aca="false">D25-D29*D23</f>
        <v>380</v>
      </c>
      <c r="E30" s="32" t="s">
        <v>242</v>
      </c>
      <c r="F30" s="33" t="s">
        <v>243</v>
      </c>
    </row>
    <row r="31" customFormat="false" ht="21.75" hidden="false" customHeight="true" outlineLevel="0" collapsed="false">
      <c r="A31" s="32"/>
      <c r="B31" s="33" t="s">
        <v>244</v>
      </c>
      <c r="C31" s="33" t="s">
        <v>245</v>
      </c>
      <c r="D31" s="39" t="n">
        <f aca="false">D30+D29*D24</f>
        <v>764</v>
      </c>
      <c r="E31" s="32" t="s">
        <v>225</v>
      </c>
      <c r="F31" s="33" t="s">
        <v>246</v>
      </c>
    </row>
    <row r="33" customFormat="false" ht="21.75" hidden="false" customHeight="true" outlineLevel="0" collapsed="false">
      <c r="A33" s="27" t="s">
        <v>247</v>
      </c>
      <c r="B33" s="27"/>
      <c r="C33" s="27"/>
      <c r="D33" s="27"/>
      <c r="E33" s="27"/>
      <c r="F33" s="27"/>
    </row>
    <row r="34" customFormat="false" ht="24" hidden="false" customHeight="true" outlineLevel="0" collapsed="false">
      <c r="A34" s="37" t="s">
        <v>248</v>
      </c>
      <c r="B34" s="37"/>
      <c r="C34" s="37"/>
      <c r="D34" s="37"/>
      <c r="E34" s="37"/>
      <c r="F34" s="37"/>
    </row>
    <row r="35" customFormat="false" ht="30" hidden="false" customHeight="true" outlineLevel="0" collapsed="false">
      <c r="A35" s="6"/>
      <c r="B35" s="6" t="s">
        <v>249</v>
      </c>
      <c r="C35" s="6" t="s">
        <v>250</v>
      </c>
      <c r="D35" s="6" t="s">
        <v>251</v>
      </c>
      <c r="E35" s="6" t="s">
        <v>252</v>
      </c>
      <c r="F35" s="6"/>
    </row>
    <row r="36" customFormat="false" ht="19.5" hidden="false" customHeight="true" outlineLevel="0" collapsed="false">
      <c r="A36" s="20"/>
      <c r="B36" s="21" t="s">
        <v>253</v>
      </c>
      <c r="C36" s="38" t="n">
        <v>3400</v>
      </c>
      <c r="D36" s="22" t="n">
        <f aca="false">$D$30+$D$29*C36</f>
        <v>1468</v>
      </c>
      <c r="E36" s="21" t="s">
        <v>254</v>
      </c>
      <c r="F36" s="21"/>
    </row>
    <row r="37" customFormat="false" ht="19.5" hidden="false" customHeight="true" outlineLevel="0" collapsed="false">
      <c r="A37" s="20"/>
      <c r="B37" s="21" t="s">
        <v>255</v>
      </c>
      <c r="C37" s="38" t="n">
        <v>2450</v>
      </c>
      <c r="D37" s="22" t="n">
        <f aca="false">$D$30+$D$29*C37</f>
        <v>1164</v>
      </c>
      <c r="E37" s="21" t="s">
        <v>254</v>
      </c>
      <c r="F37" s="21"/>
    </row>
    <row r="38" customFormat="false" ht="19.5" hidden="false" customHeight="true" outlineLevel="0" collapsed="false">
      <c r="A38" s="20"/>
      <c r="B38" s="21" t="s">
        <v>256</v>
      </c>
      <c r="C38" s="38" t="n">
        <v>1100</v>
      </c>
      <c r="D38" s="22" t="n">
        <f aca="false">$D$30+$D$29*C38</f>
        <v>732</v>
      </c>
      <c r="E38" s="21" t="s">
        <v>254</v>
      </c>
      <c r="F38" s="21"/>
    </row>
    <row r="40" customFormat="false" ht="21.75" hidden="false" customHeight="true" outlineLevel="0" collapsed="false">
      <c r="A40" s="3" t="s">
        <v>257</v>
      </c>
      <c r="B40" s="3"/>
      <c r="C40" s="3"/>
      <c r="D40" s="3"/>
      <c r="E40" s="3"/>
      <c r="F40" s="3"/>
    </row>
    <row r="41" customFormat="false" ht="30" hidden="false" customHeight="true" outlineLevel="0" collapsed="false">
      <c r="A41" s="6"/>
      <c r="B41" s="6" t="s">
        <v>146</v>
      </c>
      <c r="C41" s="6" t="s">
        <v>184</v>
      </c>
      <c r="D41" s="6"/>
      <c r="E41" s="6"/>
      <c r="F41" s="6"/>
    </row>
    <row r="42" customFormat="false" ht="42" hidden="false" customHeight="true" outlineLevel="0" collapsed="false">
      <c r="A42" s="29" t="s">
        <v>148</v>
      </c>
      <c r="B42" s="5" t="s">
        <v>258</v>
      </c>
      <c r="C42" s="5"/>
      <c r="D42" s="34" t="s">
        <v>269</v>
      </c>
      <c r="E42" s="34"/>
      <c r="F42" s="34"/>
    </row>
    <row r="43" customFormat="false" ht="42" hidden="false" customHeight="true" outlineLevel="0" collapsed="false">
      <c r="A43" s="29" t="s">
        <v>150</v>
      </c>
      <c r="B43" s="5" t="s">
        <v>259</v>
      </c>
      <c r="C43" s="5"/>
      <c r="D43" s="34" t="s">
        <v>270</v>
      </c>
      <c r="E43" s="34"/>
      <c r="F43" s="34"/>
    </row>
    <row r="44" customFormat="false" ht="42" hidden="false" customHeight="true" outlineLevel="0" collapsed="false">
      <c r="A44" s="29" t="s">
        <v>152</v>
      </c>
      <c r="B44" s="5" t="s">
        <v>260</v>
      </c>
      <c r="C44" s="5"/>
      <c r="D44" s="34" t="s">
        <v>271</v>
      </c>
      <c r="E44" s="34"/>
      <c r="F44" s="34"/>
    </row>
    <row r="45" customFormat="false" ht="42" hidden="false" customHeight="true" outlineLevel="0" collapsed="false">
      <c r="A45" s="29" t="s">
        <v>154</v>
      </c>
      <c r="B45" s="5" t="s">
        <v>261</v>
      </c>
      <c r="C45" s="5"/>
      <c r="D45" s="34" t="s">
        <v>272</v>
      </c>
      <c r="E45" s="34"/>
      <c r="F45" s="34"/>
    </row>
  </sheetData>
  <mergeCells count="17">
    <mergeCell ref="A1:F1"/>
    <mergeCell ref="A2:F2"/>
    <mergeCell ref="A3:F3"/>
    <mergeCell ref="A5:F5"/>
    <mergeCell ref="A6:F6"/>
    <mergeCell ref="A21:F21"/>
    <mergeCell ref="A33:F33"/>
    <mergeCell ref="A34:F34"/>
    <mergeCell ref="A40:F40"/>
    <mergeCell ref="B42:C42"/>
    <mergeCell ref="D42:F42"/>
    <mergeCell ref="B43:C43"/>
    <mergeCell ref="D43:F43"/>
    <mergeCell ref="B44:C44"/>
    <mergeCell ref="D44:F44"/>
    <mergeCell ref="B45:C45"/>
    <mergeCell ref="D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5" min="3" style="0" width="20"/>
    <col collapsed="false" customWidth="true" hidden="false" outlineLevel="0" max="6" min="6" style="0" width="46"/>
  </cols>
  <sheetData>
    <row r="1" customFormat="false" ht="27.75" hidden="false" customHeight="true" outlineLevel="0" collapsed="false">
      <c r="A1" s="10" t="s">
        <v>273</v>
      </c>
      <c r="B1" s="10"/>
      <c r="C1" s="10"/>
      <c r="D1" s="10"/>
      <c r="E1" s="10"/>
      <c r="F1" s="10"/>
    </row>
    <row r="2" customFormat="false" ht="27.75" hidden="false" customHeight="true" outlineLevel="0" collapsed="false">
      <c r="A2" s="2" t="s">
        <v>274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275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9" t="s">
        <v>276</v>
      </c>
      <c r="B5" s="9"/>
      <c r="C5" s="9"/>
      <c r="D5" s="9"/>
      <c r="E5" s="9"/>
      <c r="F5" s="9"/>
    </row>
    <row r="7" customFormat="false" ht="21.75" hidden="false" customHeight="true" outlineLevel="0" collapsed="false">
      <c r="A7" s="11" t="s">
        <v>277</v>
      </c>
      <c r="B7" s="11"/>
      <c r="C7" s="11"/>
      <c r="D7" s="11"/>
      <c r="E7" s="11"/>
      <c r="F7" s="11"/>
    </row>
    <row r="8" customFormat="false" ht="27.75" hidden="false" customHeight="true" outlineLevel="0" collapsed="false">
      <c r="A8" s="12" t="s">
        <v>278</v>
      </c>
      <c r="B8" s="12"/>
      <c r="C8" s="12"/>
      <c r="D8" s="12"/>
      <c r="E8" s="12"/>
      <c r="F8" s="12"/>
    </row>
    <row r="9" customFormat="false" ht="30" hidden="false" customHeight="true" outlineLevel="0" collapsed="false">
      <c r="A9" s="6"/>
      <c r="B9" s="6" t="s">
        <v>279</v>
      </c>
      <c r="C9" s="6" t="s">
        <v>280</v>
      </c>
      <c r="D9" s="6" t="s">
        <v>281</v>
      </c>
      <c r="E9" s="6" t="s">
        <v>282</v>
      </c>
      <c r="F9" s="6" t="s">
        <v>283</v>
      </c>
    </row>
    <row r="10" customFormat="false" ht="21.75" hidden="false" customHeight="true" outlineLevel="0" collapsed="false">
      <c r="A10" s="17"/>
      <c r="B10" s="18" t="s">
        <v>284</v>
      </c>
      <c r="C10" s="17"/>
      <c r="D10" s="41"/>
      <c r="E10" s="41"/>
      <c r="F10" s="41"/>
    </row>
    <row r="11" customFormat="false" ht="31.5" hidden="false" customHeight="true" outlineLevel="0" collapsed="false">
      <c r="A11" s="7"/>
      <c r="B11" s="8" t="s">
        <v>285</v>
      </c>
      <c r="C11" s="42" t="n">
        <v>0.35</v>
      </c>
      <c r="D11" s="14"/>
      <c r="E11" s="14"/>
      <c r="F11" s="14"/>
    </row>
    <row r="12" customFormat="false" ht="31.5" hidden="false" customHeight="true" outlineLevel="0" collapsed="false">
      <c r="A12" s="7"/>
      <c r="B12" s="8" t="s">
        <v>286</v>
      </c>
      <c r="C12" s="42" t="n">
        <v>0.25</v>
      </c>
      <c r="D12" s="14"/>
      <c r="E12" s="14"/>
      <c r="F12" s="14"/>
    </row>
    <row r="13" customFormat="false" ht="31.5" hidden="false" customHeight="true" outlineLevel="0" collapsed="false">
      <c r="A13" s="7"/>
      <c r="B13" s="8" t="s">
        <v>287</v>
      </c>
      <c r="C13" s="42" t="n">
        <v>0.2</v>
      </c>
      <c r="D13" s="14"/>
      <c r="E13" s="14"/>
      <c r="F13" s="14"/>
    </row>
    <row r="14" customFormat="false" ht="31.5" hidden="false" customHeight="true" outlineLevel="0" collapsed="false">
      <c r="A14" s="7"/>
      <c r="B14" s="8" t="s">
        <v>288</v>
      </c>
      <c r="C14" s="42" t="n">
        <v>0.2</v>
      </c>
      <c r="D14" s="14"/>
      <c r="E14" s="14"/>
      <c r="F14" s="14"/>
    </row>
    <row r="15" customFormat="false" ht="21.75" hidden="false" customHeight="true" outlineLevel="0" collapsed="false">
      <c r="A15" s="17"/>
      <c r="B15" s="18" t="s">
        <v>289</v>
      </c>
      <c r="C15" s="43" t="n">
        <f aca="false">SUM(C11:C14)</f>
        <v>1</v>
      </c>
      <c r="D15" s="44" t="n">
        <f aca="false">SUMPRODUCT($C$11:$C$14,D11:D14)</f>
        <v>0</v>
      </c>
      <c r="E15" s="44" t="n">
        <f aca="false">SUMPRODUCT($C$11:$C$14,E11:E14)</f>
        <v>0</v>
      </c>
      <c r="F15" s="44" t="n">
        <f aca="false">SUMPRODUCT($C$11:$C$14,F11:F14)</f>
        <v>0</v>
      </c>
    </row>
    <row r="16" customFormat="false" ht="21.75" hidden="false" customHeight="true" outlineLevel="0" collapsed="false">
      <c r="A16" s="20"/>
      <c r="B16" s="21" t="s">
        <v>290</v>
      </c>
      <c r="C16" s="20"/>
      <c r="D16" s="15"/>
      <c r="E16" s="15"/>
      <c r="F16" s="15"/>
    </row>
    <row r="17" customFormat="false" ht="33.75" hidden="false" customHeight="true" outlineLevel="0" collapsed="false">
      <c r="A17" s="20"/>
      <c r="B17" s="21" t="s">
        <v>291</v>
      </c>
      <c r="C17" s="20"/>
      <c r="D17" s="15"/>
      <c r="E17" s="15"/>
      <c r="F17" s="15"/>
    </row>
    <row r="19" customFormat="false" ht="21.75" hidden="false" customHeight="true" outlineLevel="0" collapsed="false">
      <c r="A19" s="16" t="s">
        <v>292</v>
      </c>
      <c r="B19" s="16"/>
      <c r="C19" s="16"/>
      <c r="D19" s="16"/>
      <c r="E19" s="16"/>
      <c r="F19" s="16"/>
    </row>
    <row r="20" customFormat="false" ht="27.75" hidden="false" customHeight="true" outlineLevel="0" collapsed="false">
      <c r="A20" s="45" t="s">
        <v>293</v>
      </c>
      <c r="B20" s="45"/>
      <c r="C20" s="45"/>
      <c r="D20" s="45"/>
      <c r="E20" s="45"/>
      <c r="F20" s="45"/>
    </row>
    <row r="21" customFormat="false" ht="30" hidden="false" customHeight="true" outlineLevel="0" collapsed="false">
      <c r="A21" s="6" t="s">
        <v>57</v>
      </c>
      <c r="B21" s="6" t="s">
        <v>294</v>
      </c>
      <c r="C21" s="6" t="s">
        <v>295</v>
      </c>
      <c r="D21" s="6" t="s">
        <v>296</v>
      </c>
      <c r="E21" s="6" t="s">
        <v>297</v>
      </c>
      <c r="F21" s="6" t="s">
        <v>298</v>
      </c>
    </row>
    <row r="22" customFormat="false" ht="21.75" hidden="false" customHeight="true" outlineLevel="0" collapsed="false">
      <c r="A22" s="7" t="n">
        <v>1</v>
      </c>
      <c r="B22" s="8" t="s">
        <v>299</v>
      </c>
      <c r="C22" s="14"/>
      <c r="D22" s="14"/>
      <c r="E22" s="14"/>
      <c r="F22" s="15"/>
    </row>
    <row r="23" customFormat="false" ht="21.75" hidden="false" customHeight="true" outlineLevel="0" collapsed="false">
      <c r="A23" s="7" t="n">
        <v>2</v>
      </c>
      <c r="B23" s="8" t="s">
        <v>300</v>
      </c>
      <c r="C23" s="14"/>
      <c r="D23" s="14"/>
      <c r="E23" s="14"/>
      <c r="F23" s="15"/>
    </row>
    <row r="24" customFormat="false" ht="21.75" hidden="false" customHeight="true" outlineLevel="0" collapsed="false">
      <c r="A24" s="7" t="n">
        <v>3</v>
      </c>
      <c r="B24" s="8" t="s">
        <v>301</v>
      </c>
      <c r="C24" s="14"/>
      <c r="D24" s="14"/>
      <c r="E24" s="14"/>
      <c r="F24" s="15"/>
    </row>
    <row r="25" customFormat="false" ht="21.75" hidden="false" customHeight="true" outlineLevel="0" collapsed="false">
      <c r="A25" s="7" t="n">
        <v>4</v>
      </c>
      <c r="B25" s="8" t="s">
        <v>302</v>
      </c>
      <c r="C25" s="14"/>
      <c r="D25" s="14"/>
      <c r="E25" s="14"/>
      <c r="F25" s="15"/>
    </row>
    <row r="26" customFormat="false" ht="21.75" hidden="false" customHeight="true" outlineLevel="0" collapsed="false">
      <c r="A26" s="7" t="n">
        <v>5</v>
      </c>
      <c r="B26" s="8" t="s">
        <v>303</v>
      </c>
      <c r="C26" s="14"/>
      <c r="D26" s="14"/>
      <c r="E26" s="14"/>
      <c r="F26" s="15"/>
    </row>
    <row r="27" customFormat="false" ht="21.75" hidden="false" customHeight="true" outlineLevel="0" collapsed="false">
      <c r="A27" s="46" t="n">
        <v>6</v>
      </c>
      <c r="B27" s="47" t="s">
        <v>304</v>
      </c>
      <c r="C27" s="14"/>
      <c r="D27" s="14"/>
      <c r="E27" s="14"/>
      <c r="F27" s="15"/>
    </row>
    <row r="28" customFormat="false" ht="21.75" hidden="false" customHeight="true" outlineLevel="0" collapsed="false">
      <c r="A28" s="7" t="n">
        <v>7</v>
      </c>
      <c r="B28" s="8" t="s">
        <v>305</v>
      </c>
      <c r="C28" s="14"/>
      <c r="D28" s="14"/>
      <c r="E28" s="14"/>
      <c r="F28" s="15"/>
    </row>
    <row r="29" customFormat="false" ht="21.75" hidden="false" customHeight="true" outlineLevel="0" collapsed="false">
      <c r="A29" s="7" t="n">
        <v>8</v>
      </c>
      <c r="B29" s="8" t="s">
        <v>306</v>
      </c>
      <c r="C29" s="14"/>
      <c r="D29" s="14"/>
      <c r="E29" s="14"/>
      <c r="F29" s="15"/>
    </row>
    <row r="30" customFormat="false" ht="21.75" hidden="false" customHeight="true" outlineLevel="0" collapsed="false">
      <c r="A30" s="7" t="n">
        <v>9</v>
      </c>
      <c r="B30" s="8" t="s">
        <v>307</v>
      </c>
      <c r="C30" s="14"/>
      <c r="D30" s="14"/>
      <c r="E30" s="14"/>
      <c r="F30" s="15"/>
    </row>
    <row r="31" customFormat="false" ht="21.75" hidden="false" customHeight="true" outlineLevel="0" collapsed="false">
      <c r="A31" s="7" t="n">
        <v>10</v>
      </c>
      <c r="B31" s="8" t="s">
        <v>308</v>
      </c>
      <c r="C31" s="14"/>
      <c r="D31" s="14"/>
      <c r="E31" s="14"/>
      <c r="F31" s="15"/>
    </row>
    <row r="32" customFormat="false" ht="21.75" hidden="false" customHeight="true" outlineLevel="0" collapsed="false">
      <c r="A32" s="7" t="n">
        <v>11</v>
      </c>
      <c r="B32" s="8" t="s">
        <v>309</v>
      </c>
      <c r="C32" s="14"/>
      <c r="D32" s="14"/>
      <c r="E32" s="14"/>
      <c r="F32" s="15"/>
    </row>
    <row r="33" customFormat="false" ht="21.75" hidden="false" customHeight="true" outlineLevel="0" collapsed="false">
      <c r="A33" s="7" t="n">
        <v>12</v>
      </c>
      <c r="B33" s="8" t="s">
        <v>310</v>
      </c>
      <c r="C33" s="14"/>
      <c r="D33" s="14"/>
      <c r="E33" s="14"/>
      <c r="F33" s="15"/>
    </row>
    <row r="34" customFormat="false" ht="21.75" hidden="false" customHeight="true" outlineLevel="0" collapsed="false">
      <c r="A34" s="7" t="n">
        <v>13</v>
      </c>
      <c r="B34" s="8" t="s">
        <v>311</v>
      </c>
      <c r="C34" s="14"/>
      <c r="D34" s="14"/>
      <c r="E34" s="14"/>
      <c r="F34" s="15"/>
    </row>
    <row r="35" customFormat="false" ht="21.75" hidden="false" customHeight="true" outlineLevel="0" collapsed="false">
      <c r="A35" s="7" t="n">
        <v>14</v>
      </c>
      <c r="B35" s="8" t="s">
        <v>312</v>
      </c>
      <c r="C35" s="14"/>
      <c r="D35" s="14"/>
      <c r="E35" s="14"/>
      <c r="F35" s="15"/>
    </row>
    <row r="36" customFormat="false" ht="21.75" hidden="false" customHeight="true" outlineLevel="0" collapsed="false">
      <c r="A36" s="7" t="n">
        <v>15</v>
      </c>
      <c r="B36" s="8" t="s">
        <v>313</v>
      </c>
      <c r="C36" s="14"/>
      <c r="D36" s="14"/>
      <c r="E36" s="14"/>
      <c r="F36" s="15"/>
    </row>
    <row r="37" customFormat="false" ht="21.75" hidden="false" customHeight="true" outlineLevel="0" collapsed="false">
      <c r="A37" s="17"/>
      <c r="B37" s="18" t="s">
        <v>314</v>
      </c>
      <c r="C37" s="48" t="n">
        <f aca="false">ROUND(COUNTIF(C22:C36,"Levantado")/15,3)</f>
        <v>0</v>
      </c>
      <c r="D37" s="17"/>
      <c r="E37" s="17"/>
      <c r="F37" s="18"/>
    </row>
    <row r="39" customFormat="false" ht="21.75" hidden="false" customHeight="true" outlineLevel="0" collapsed="false">
      <c r="A39" s="27" t="s">
        <v>315</v>
      </c>
      <c r="B39" s="27"/>
      <c r="C39" s="27"/>
      <c r="D39" s="27"/>
      <c r="E39" s="27"/>
      <c r="F39" s="27"/>
    </row>
    <row r="40" customFormat="false" ht="30" hidden="false" customHeight="true" outlineLevel="0" collapsed="false">
      <c r="A40" s="6"/>
      <c r="B40" s="6" t="s">
        <v>316</v>
      </c>
      <c r="C40" s="6" t="s">
        <v>317</v>
      </c>
      <c r="D40" s="6"/>
      <c r="E40" s="6"/>
      <c r="F40" s="6"/>
    </row>
    <row r="41" customFormat="false" ht="24" hidden="false" customHeight="true" outlineLevel="0" collapsed="false">
      <c r="A41" s="7"/>
      <c r="B41" s="8" t="s">
        <v>318</v>
      </c>
      <c r="C41" s="15"/>
      <c r="D41" s="15"/>
      <c r="E41" s="15"/>
      <c r="F41" s="15"/>
    </row>
    <row r="42" customFormat="false" ht="24" hidden="false" customHeight="true" outlineLevel="0" collapsed="false">
      <c r="A42" s="7"/>
      <c r="B42" s="8" t="s">
        <v>319</v>
      </c>
      <c r="C42" s="15"/>
      <c r="D42" s="15"/>
      <c r="E42" s="15"/>
      <c r="F42" s="15"/>
    </row>
    <row r="43" customFormat="false" ht="24" hidden="false" customHeight="true" outlineLevel="0" collapsed="false">
      <c r="A43" s="7"/>
      <c r="B43" s="8" t="s">
        <v>320</v>
      </c>
      <c r="C43" s="15"/>
      <c r="D43" s="15"/>
      <c r="E43" s="15"/>
      <c r="F43" s="15"/>
    </row>
    <row r="44" customFormat="false" ht="24" hidden="false" customHeight="true" outlineLevel="0" collapsed="false">
      <c r="A44" s="7"/>
      <c r="B44" s="8" t="s">
        <v>321</v>
      </c>
      <c r="C44" s="15"/>
      <c r="D44" s="15"/>
      <c r="E44" s="15"/>
      <c r="F44" s="15"/>
    </row>
    <row r="45" customFormat="false" ht="24" hidden="false" customHeight="true" outlineLevel="0" collapsed="false">
      <c r="A45" s="7"/>
      <c r="B45" s="8" t="s">
        <v>322</v>
      </c>
      <c r="C45" s="15"/>
      <c r="D45" s="15"/>
      <c r="E45" s="15"/>
      <c r="F45" s="15"/>
    </row>
    <row r="46" customFormat="false" ht="24" hidden="false" customHeight="true" outlineLevel="0" collapsed="false">
      <c r="A46" s="7"/>
      <c r="B46" s="8" t="s">
        <v>323</v>
      </c>
      <c r="C46" s="15"/>
      <c r="D46" s="15"/>
      <c r="E46" s="15"/>
      <c r="F46" s="15"/>
    </row>
    <row r="47" customFormat="false" ht="24" hidden="false" customHeight="true" outlineLevel="0" collapsed="false">
      <c r="A47" s="7"/>
      <c r="B47" s="8" t="s">
        <v>324</v>
      </c>
      <c r="C47" s="15"/>
      <c r="D47" s="15"/>
      <c r="E47" s="15"/>
      <c r="F47" s="15"/>
    </row>
    <row r="49" customFormat="false" ht="21.75" hidden="false" customHeight="true" outlineLevel="0" collapsed="false">
      <c r="A49" s="49" t="s">
        <v>325</v>
      </c>
      <c r="B49" s="49"/>
      <c r="C49" s="49"/>
      <c r="D49" s="49"/>
      <c r="E49" s="49"/>
      <c r="F49" s="49"/>
    </row>
    <row r="50" customFormat="false" ht="30" hidden="false" customHeight="true" outlineLevel="0" collapsed="false">
      <c r="A50" s="6"/>
      <c r="B50" s="6" t="s">
        <v>326</v>
      </c>
      <c r="C50" s="6" t="s">
        <v>327</v>
      </c>
      <c r="D50" s="6" t="s">
        <v>328</v>
      </c>
      <c r="E50" s="6"/>
      <c r="F50" s="6"/>
    </row>
    <row r="51" customFormat="false" ht="24" hidden="false" customHeight="true" outlineLevel="0" collapsed="false">
      <c r="A51" s="7"/>
      <c r="B51" s="8" t="s">
        <v>329</v>
      </c>
      <c r="C51" s="14"/>
      <c r="D51" s="15"/>
      <c r="E51" s="15"/>
      <c r="F51" s="15"/>
    </row>
    <row r="52" customFormat="false" ht="24" hidden="false" customHeight="true" outlineLevel="0" collapsed="false">
      <c r="A52" s="7"/>
      <c r="B52" s="8" t="s">
        <v>330</v>
      </c>
      <c r="C52" s="14"/>
      <c r="D52" s="15"/>
      <c r="E52" s="15"/>
      <c r="F52" s="15"/>
    </row>
    <row r="53" customFormat="false" ht="24" hidden="false" customHeight="true" outlineLevel="0" collapsed="false">
      <c r="A53" s="7"/>
      <c r="B53" s="8" t="s">
        <v>331</v>
      </c>
      <c r="C53" s="14"/>
      <c r="D53" s="15"/>
      <c r="E53" s="15"/>
      <c r="F53" s="15"/>
    </row>
    <row r="54" customFormat="false" ht="24" hidden="false" customHeight="true" outlineLevel="0" collapsed="false">
      <c r="A54" s="7"/>
      <c r="B54" s="8" t="s">
        <v>332</v>
      </c>
      <c r="C54" s="14"/>
      <c r="D54" s="15"/>
      <c r="E54" s="15"/>
      <c r="F54" s="15"/>
    </row>
    <row r="55" customFormat="false" ht="24" hidden="false" customHeight="true" outlineLevel="0" collapsed="false">
      <c r="A55" s="7"/>
      <c r="B55" s="8" t="s">
        <v>333</v>
      </c>
      <c r="C55" s="14"/>
      <c r="D55" s="15"/>
      <c r="E55" s="15"/>
      <c r="F55" s="15"/>
    </row>
    <row r="56" customFormat="false" ht="30" hidden="false" customHeight="true" outlineLevel="0" collapsed="false">
      <c r="A56" s="50" t="s">
        <v>334</v>
      </c>
      <c r="B56" s="50"/>
      <c r="C56" s="50"/>
      <c r="D56" s="50"/>
      <c r="E56" s="50"/>
      <c r="F56" s="50"/>
    </row>
  </sheetData>
  <mergeCells count="25">
    <mergeCell ref="A1:F1"/>
    <mergeCell ref="A2:F2"/>
    <mergeCell ref="A4:F4"/>
    <mergeCell ref="A5:F5"/>
    <mergeCell ref="A7:F7"/>
    <mergeCell ref="A8:F8"/>
    <mergeCell ref="D16:F16"/>
    <mergeCell ref="D17:F17"/>
    <mergeCell ref="A19:F19"/>
    <mergeCell ref="A20:F20"/>
    <mergeCell ref="A39:F39"/>
    <mergeCell ref="C41:F41"/>
    <mergeCell ref="C42:F42"/>
    <mergeCell ref="C43:F43"/>
    <mergeCell ref="C44:F44"/>
    <mergeCell ref="C45:F45"/>
    <mergeCell ref="C46:F46"/>
    <mergeCell ref="C47:F47"/>
    <mergeCell ref="A49:F49"/>
    <mergeCell ref="D51:F51"/>
    <mergeCell ref="D52:F52"/>
    <mergeCell ref="D53:F53"/>
    <mergeCell ref="D54:F54"/>
    <mergeCell ref="D55:F55"/>
    <mergeCell ref="A56:F56"/>
  </mergeCells>
  <dataValidations count="3">
    <dataValidation allowBlank="true" errorStyle="stop" operator="between" showDropDown="false" showErrorMessage="false" showInputMessage="false" sqref="D11:F14" type="list">
      <formula1>"1,2,3,4,5"</formula1>
      <formula2>0</formula2>
    </dataValidation>
    <dataValidation allowBlank="true" errorStyle="stop" operator="between" showDropDown="false" showErrorMessage="false" showInputMessage="false" sqref="C22:C36" type="list">
      <formula1>"Levantado,Pendiente,No aplica"</formula1>
      <formula2>0</formula2>
    </dataValidation>
    <dataValidation allowBlank="true" errorStyle="stop" operator="between" showDropDown="false" showErrorMessage="false" showInputMessage="false" sqref="C51:C55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4" min="3" style="0" width="40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10" t="s">
        <v>335</v>
      </c>
      <c r="B1" s="10"/>
      <c r="C1" s="10"/>
      <c r="D1" s="10"/>
      <c r="E1" s="10"/>
      <c r="F1" s="10"/>
    </row>
    <row r="3" customFormat="false" ht="21.75" hidden="false" customHeight="true" outlineLevel="0" collapsed="false">
      <c r="A3" s="3" t="s">
        <v>336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6" t="s">
        <v>57</v>
      </c>
      <c r="B4" s="6" t="s">
        <v>337</v>
      </c>
      <c r="C4" s="6" t="s">
        <v>338</v>
      </c>
      <c r="D4" s="6" t="s">
        <v>339</v>
      </c>
      <c r="E4" s="6" t="s">
        <v>340</v>
      </c>
      <c r="F4" s="6" t="s">
        <v>263</v>
      </c>
    </row>
    <row r="5" customFormat="false" ht="24" hidden="false" customHeight="true" outlineLevel="0" collapsed="false">
      <c r="A5" s="7" t="n">
        <v>1</v>
      </c>
      <c r="B5" s="8" t="s">
        <v>341</v>
      </c>
      <c r="C5" s="14"/>
      <c r="D5" s="14"/>
      <c r="E5" s="7" t="n">
        <v>2</v>
      </c>
      <c r="F5" s="15"/>
    </row>
    <row r="6" customFormat="false" ht="24" hidden="false" customHeight="true" outlineLevel="0" collapsed="false">
      <c r="A6" s="7" t="n">
        <v>2</v>
      </c>
      <c r="B6" s="8" t="s">
        <v>342</v>
      </c>
      <c r="C6" s="14"/>
      <c r="D6" s="14"/>
      <c r="E6" s="7" t="n">
        <v>2</v>
      </c>
      <c r="F6" s="15"/>
    </row>
    <row r="7" customFormat="false" ht="24" hidden="false" customHeight="true" outlineLevel="0" collapsed="false">
      <c r="A7" s="7" t="n">
        <v>3</v>
      </c>
      <c r="B7" s="8" t="s">
        <v>343</v>
      </c>
      <c r="C7" s="14"/>
      <c r="D7" s="14"/>
      <c r="E7" s="7" t="n">
        <v>2</v>
      </c>
      <c r="F7" s="15"/>
    </row>
    <row r="8" customFormat="false" ht="24" hidden="false" customHeight="true" outlineLevel="0" collapsed="false">
      <c r="A8" s="7" t="n">
        <v>4</v>
      </c>
      <c r="B8" s="8" t="s">
        <v>344</v>
      </c>
      <c r="C8" s="14"/>
      <c r="D8" s="14"/>
      <c r="E8" s="7" t="n">
        <v>2</v>
      </c>
      <c r="F8" s="15"/>
    </row>
    <row r="9" customFormat="false" ht="24" hidden="false" customHeight="true" outlineLevel="0" collapsed="false">
      <c r="A9" s="7" t="n">
        <v>5</v>
      </c>
      <c r="B9" s="8" t="s">
        <v>345</v>
      </c>
      <c r="C9" s="14"/>
      <c r="D9" s="14"/>
      <c r="E9" s="7" t="n">
        <v>2</v>
      </c>
      <c r="F9" s="15"/>
    </row>
    <row r="10" customFormat="false" ht="24" hidden="false" customHeight="true" outlineLevel="0" collapsed="false">
      <c r="A10" s="7" t="n">
        <v>6</v>
      </c>
      <c r="B10" s="8" t="s">
        <v>346</v>
      </c>
      <c r="C10" s="14"/>
      <c r="D10" s="14"/>
      <c r="E10" s="7" t="n">
        <v>3</v>
      </c>
      <c r="F10" s="15"/>
    </row>
    <row r="11" customFormat="false" ht="24" hidden="false" customHeight="true" outlineLevel="0" collapsed="false">
      <c r="A11" s="7" t="n">
        <v>7</v>
      </c>
      <c r="B11" s="8" t="s">
        <v>347</v>
      </c>
      <c r="C11" s="14"/>
      <c r="D11" s="14"/>
      <c r="E11" s="7" t="n">
        <v>2</v>
      </c>
      <c r="F11" s="15"/>
    </row>
    <row r="12" customFormat="false" ht="24" hidden="false" customHeight="true" outlineLevel="0" collapsed="false">
      <c r="A12" s="7" t="n">
        <v>8</v>
      </c>
      <c r="B12" s="8" t="s">
        <v>348</v>
      </c>
      <c r="C12" s="14"/>
      <c r="D12" s="14"/>
      <c r="E12" s="7" t="n">
        <v>3</v>
      </c>
      <c r="F12" s="15"/>
    </row>
    <row r="13" customFormat="false" ht="24" hidden="false" customHeight="true" outlineLevel="0" collapsed="false">
      <c r="A13" s="7" t="n">
        <v>9</v>
      </c>
      <c r="B13" s="8" t="s">
        <v>349</v>
      </c>
      <c r="C13" s="14"/>
      <c r="D13" s="14"/>
      <c r="E13" s="7" t="n">
        <v>2</v>
      </c>
      <c r="F13" s="15"/>
    </row>
    <row r="14" customFormat="false" ht="21.75" hidden="false" customHeight="true" outlineLevel="0" collapsed="false">
      <c r="A14" s="17"/>
      <c r="B14" s="18" t="s">
        <v>350</v>
      </c>
      <c r="C14" s="17"/>
      <c r="D14" s="17"/>
      <c r="E14" s="17" t="n">
        <f aca="false">SUMIF(C5:C13,"X",E5:E13)</f>
        <v>0</v>
      </c>
      <c r="F14" s="18"/>
    </row>
    <row r="15" customFormat="false" ht="19.5" hidden="false" customHeight="true" outlineLevel="0" collapsed="false">
      <c r="A15" s="20"/>
      <c r="B15" s="21" t="s">
        <v>351</v>
      </c>
      <c r="C15" s="20"/>
      <c r="D15" s="20"/>
      <c r="E15" s="20" t="n">
        <f aca="false">SUM(E5:E13)</f>
        <v>20</v>
      </c>
      <c r="F15" s="21"/>
    </row>
    <row r="17" customFormat="false" ht="21.75" hidden="false" customHeight="true" outlineLevel="0" collapsed="false">
      <c r="A17" s="3" t="s">
        <v>352</v>
      </c>
      <c r="B17" s="3"/>
      <c r="C17" s="3"/>
      <c r="D17" s="3"/>
      <c r="E17" s="3"/>
      <c r="F17" s="3"/>
    </row>
    <row r="18" customFormat="false" ht="30" hidden="false" customHeight="true" outlineLevel="0" collapsed="false">
      <c r="A18" s="6" t="s">
        <v>353</v>
      </c>
      <c r="B18" s="6" t="s">
        <v>354</v>
      </c>
      <c r="C18" s="6" t="s">
        <v>355</v>
      </c>
      <c r="D18" s="6" t="s">
        <v>356</v>
      </c>
      <c r="E18" s="6" t="s">
        <v>357</v>
      </c>
      <c r="F18" s="6" t="s">
        <v>263</v>
      </c>
    </row>
    <row r="19" customFormat="false" ht="51.75" hidden="false" customHeight="true" outlineLevel="0" collapsed="false">
      <c r="A19" s="8" t="s">
        <v>358</v>
      </c>
      <c r="B19" s="8" t="s">
        <v>359</v>
      </c>
      <c r="C19" s="8" t="s">
        <v>360</v>
      </c>
      <c r="D19" s="8" t="s">
        <v>361</v>
      </c>
      <c r="E19" s="14"/>
      <c r="F19" s="15"/>
    </row>
    <row r="20" customFormat="false" ht="51.75" hidden="false" customHeight="true" outlineLevel="0" collapsed="false">
      <c r="A20" s="8" t="s">
        <v>362</v>
      </c>
      <c r="B20" s="8" t="s">
        <v>363</v>
      </c>
      <c r="C20" s="8" t="s">
        <v>364</v>
      </c>
      <c r="D20" s="8" t="s">
        <v>365</v>
      </c>
      <c r="E20" s="14"/>
      <c r="F20" s="15"/>
    </row>
    <row r="21" customFormat="false" ht="51.75" hidden="false" customHeight="true" outlineLevel="0" collapsed="false">
      <c r="A21" s="8" t="s">
        <v>366</v>
      </c>
      <c r="B21" s="8" t="s">
        <v>367</v>
      </c>
      <c r="C21" s="8" t="s">
        <v>368</v>
      </c>
      <c r="D21" s="8" t="s">
        <v>369</v>
      </c>
      <c r="E21" s="14"/>
      <c r="F21" s="15"/>
    </row>
    <row r="22" customFormat="false" ht="51.75" hidden="false" customHeight="true" outlineLevel="0" collapsed="false">
      <c r="A22" s="8" t="s">
        <v>370</v>
      </c>
      <c r="B22" s="8" t="s">
        <v>371</v>
      </c>
      <c r="C22" s="8" t="s">
        <v>372</v>
      </c>
      <c r="D22" s="8" t="s">
        <v>373</v>
      </c>
      <c r="E22" s="14"/>
      <c r="F22" s="15"/>
    </row>
    <row r="23" customFormat="false" ht="51.75" hidden="false" customHeight="true" outlineLevel="0" collapsed="false">
      <c r="A23" s="8" t="s">
        <v>374</v>
      </c>
      <c r="B23" s="8" t="s">
        <v>375</v>
      </c>
      <c r="C23" s="8" t="s">
        <v>376</v>
      </c>
      <c r="D23" s="8" t="s">
        <v>377</v>
      </c>
      <c r="E23" s="14"/>
      <c r="F23" s="15"/>
    </row>
    <row r="24" customFormat="false" ht="21.75" hidden="false" customHeight="true" outlineLevel="0" collapsed="false">
      <c r="A24" s="18" t="s">
        <v>378</v>
      </c>
      <c r="B24" s="18"/>
      <c r="C24" s="18"/>
      <c r="D24" s="18"/>
      <c r="E24" s="17" t="n">
        <f aca="false">SUM(E19:E23)</f>
        <v>0</v>
      </c>
      <c r="F24" s="18" t="str">
        <f aca="false">IF(E24=0,"Sin evaluar",IF(E24&gt;=13,"Aprobado","Desaprobado"))</f>
        <v>Sin evaluar</v>
      </c>
    </row>
    <row r="26" customFormat="false" ht="30" hidden="false" customHeight="true" outlineLevel="0" collapsed="false">
      <c r="A26" s="9" t="s">
        <v>379</v>
      </c>
      <c r="B26" s="9"/>
      <c r="C26" s="9"/>
      <c r="D26" s="9"/>
      <c r="E26" s="9"/>
      <c r="F26" s="9"/>
    </row>
  </sheetData>
  <mergeCells count="5">
    <mergeCell ref="A1:F1"/>
    <mergeCell ref="A3:F3"/>
    <mergeCell ref="A17:F17"/>
    <mergeCell ref="A24:D24"/>
    <mergeCell ref="A26:F26"/>
  </mergeCells>
  <dataValidations count="1">
    <dataValidation allowBlank="true" errorStyle="stop" operator="between" showDropDown="false" showErrorMessage="false" showInputMessage="false" sqref="C5:D13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2026-08-20T13:30:39Z</dcterms:created>
  <dc:creator>openpyxl</dc:creator>
  <dc:description/>
  <dc:language>en-US</dc:language>
  <cp:lastModifiedBy/>
  <dcterms:modified xsi:type="dcterms:W3CDTF">2026-08-20T13:30:40Z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