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ámetros" sheetId="2" state="visible" r:id="rId4"/>
    <sheet name="Compra de Insumos" sheetId="3" state="visible" r:id="rId5"/>
    <sheet name="Receta Torta" sheetId="4" state="visible" r:id="rId6"/>
    <sheet name="Receta Cheesecake" sheetId="5" state="visible" r:id="rId7"/>
    <sheet name="Mano de Obra" sheetId="6" state="visible" r:id="rId8"/>
    <sheet name="CIF" sheetId="7" state="visible" r:id="rId9"/>
    <sheet name="Hoja de Costos" sheetId="8" state="visible" r:id="rId10"/>
    <sheet name="Resume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Tasa general del IGV en el Perú.</t>
        </r>
      </text>
    </comment>
    <comment ref="C6" authorId="0">
      <text>
        <r>
          <rPr>
            <sz val="10"/>
            <rFont val="Arial"/>
            <family val="2"/>
          </rPr>
          <t xml:space="preserve">Utilidad deseada como % del precio de venta (método de margen sobre venta).</t>
        </r>
      </text>
    </comment>
    <comment ref="C9" authorId="0">
      <text>
        <r>
          <rPr>
            <sz val="10"/>
            <rFont val="Arial"/>
            <family val="2"/>
          </rPr>
          <t xml:space="preserve">Se descuenta 1 mes de vacaciones (30 días) del régimen general.</t>
        </r>
      </text>
    </comment>
    <comment ref="C10" authorId="0">
      <text>
        <r>
          <rPr>
            <sz val="10"/>
            <rFont val="Arial"/>
            <family val="2"/>
          </rPr>
          <t xml:space="preserve">Parte del tiempo pagado que realmente se dedica a producir (descansos, limpieza, tiempos muertos).</t>
        </r>
      </text>
    </comment>
    <comment ref="C11" authorId="0">
      <text>
        <r>
          <rPr>
            <sz val="10"/>
            <rFont val="Arial"/>
            <family val="2"/>
          </rPr>
          <t xml:space="preserve">Volumen usado como base para distribuir los CIF.</t>
        </r>
      </text>
    </comment>
    <comment ref="C15" authorId="0">
      <text>
        <r>
          <rPr>
            <sz val="10"/>
            <rFont val="Arial"/>
            <family val="2"/>
          </rPr>
          <t xml:space="preserve">Aporte del empleador a EsSalud (9%).</t>
        </r>
      </text>
    </comment>
    <comment ref="C16" authorId="0">
      <text>
        <r>
          <rPr>
            <sz val="10"/>
            <rFont val="Arial"/>
            <family val="2"/>
          </rPr>
          <t xml:space="preserve">Julio y diciembre; equivalente mensual = 2/12.</t>
        </r>
      </text>
    </comment>
    <comment ref="C17" authorId="0">
      <text>
        <r>
          <rPr>
            <sz val="10"/>
            <rFont val="Arial"/>
            <family val="2"/>
          </rPr>
          <t xml:space="preserve">9% de la gratificación, entregado al trabajador.</t>
        </r>
      </text>
    </comment>
    <comment ref="C18" authorId="0">
      <text>
        <r>
          <rPr>
            <sz val="10"/>
            <rFont val="Arial"/>
            <family val="2"/>
          </rPr>
          <t xml:space="preserve">CTS ≈ sueldo + 1/6 de gratificación al año; se provisiona mensualmente.</t>
        </r>
      </text>
    </comment>
    <comment ref="C19" authorId="0">
      <text>
        <r>
          <rPr>
            <sz val="10"/>
            <rFont val="Arial"/>
            <family val="2"/>
          </rPr>
          <t xml:space="preserve">Multiplica el sueldo base para obtener el costo real del empleador.</t>
        </r>
      </text>
    </comment>
  </commentList>
</comments>
</file>

<file path=xl/sharedStrings.xml><?xml version="1.0" encoding="utf-8"?>
<sst xmlns="http://schemas.openxmlformats.org/spreadsheetml/2006/main" count="416" uniqueCount="259">
  <si>
    <t xml:space="preserve">PAPELES DE TRABAJO — ESTRUCTURACIÓN DE COSTOS DE UN PRODUCTO</t>
  </si>
  <si>
    <t xml:space="preserve">Análisis de Costos y Presupuestos — Marketing — 2026-II</t>
  </si>
  <si>
    <t xml:space="preserve">Empresa (caso)</t>
  </si>
  <si>
    <t xml:space="preserve">Dulce Misti E.I.R.L.</t>
  </si>
  <si>
    <t xml:space="preserve">Giro</t>
  </si>
  <si>
    <t xml:space="preserve">Elaboración y venta de tortas y postres (empresa de producción)</t>
  </si>
  <si>
    <t xml:space="preserve">Régimen tributario</t>
  </si>
  <si>
    <t xml:space="preserve">Régimen MYPE Tributario — afecto al IGV (18%)</t>
  </si>
  <si>
    <t xml:space="preserve">Ubicación</t>
  </si>
  <si>
    <t xml:space="preserve">Arequipa, Perú</t>
  </si>
  <si>
    <t xml:space="preserve">Producto principal</t>
  </si>
  <si>
    <t xml:space="preserve">Torta de Chocolate (molde 24 cm — 12 porciones)</t>
  </si>
  <si>
    <t xml:space="preserve">Producto secundario</t>
  </si>
  <si>
    <t xml:space="preserve">Cheesecake de Fresa (molde 22 cm — 10 porciones)</t>
  </si>
  <si>
    <t xml:space="preserve">Moneda</t>
  </si>
  <si>
    <t xml:space="preserve">Soles (S/)</t>
  </si>
  <si>
    <t xml:space="preserve">Docente</t>
  </si>
  <si>
    <t xml:space="preserve">Eduardo Luis Mamani Roque</t>
  </si>
  <si>
    <t xml:space="preserve">CONTENIDO DE LAS HOJAS DE TRABAJO</t>
  </si>
  <si>
    <t xml:space="preserve">1. Parámetros</t>
  </si>
  <si>
    <t xml:space="preserve">Supuestos generales y factor de sobrecosto laboral (régimen general).</t>
  </si>
  <si>
    <t xml:space="preserve">2. Compra de Insumos</t>
  </si>
  <si>
    <t xml:space="preserve">Cómo se compra cada insumo: proveedor, presentación, IGV como crédito fiscal, conversión de unidades, merma y costo unitario de uso.</t>
  </si>
  <si>
    <t xml:space="preserve">3. Receta Torta</t>
  </si>
  <si>
    <t xml:space="preserve">Formulación detallada de la Torta de Chocolate y costo de materiales directos.</t>
  </si>
  <si>
    <t xml:space="preserve">4. Receta Cheesecake</t>
  </si>
  <si>
    <t xml:space="preserve">Formulación del Cheesecake de Fresa.</t>
  </si>
  <si>
    <t xml:space="preserve">5. Mano de Obra</t>
  </si>
  <si>
    <t xml:space="preserve">Costo empleador por hora del personal de producción.</t>
  </si>
  <si>
    <t xml:space="preserve">6. CIF</t>
  </si>
  <si>
    <t xml:space="preserve">Costos indirectos de fabricación y tasa de aplicación.</t>
  </si>
  <si>
    <t xml:space="preserve">7. Hoja de Costos</t>
  </si>
  <si>
    <t xml:space="preserve">Costo de producción unitario y fijación de precio (cost-plus).</t>
  </si>
  <si>
    <t xml:space="preserve">8. Resumen</t>
  </si>
  <si>
    <t xml:space="preserve">Estructura del costo, comparación y margen de contribución.</t>
  </si>
  <si>
    <t xml:space="preserve">CÓDIGO DE COLORES (trazabilidad del modelo)</t>
  </si>
  <si>
    <t xml:space="preserve">Ejemplo</t>
  </si>
  <si>
    <t xml:space="preserve">Dato de entrada (azul, fondo amarillo): valor que se digita — precios, cantidades, sueldos. Al cambiarlo, todo el modelo se recalcula.</t>
  </si>
  <si>
    <t xml:space="preserve">Texto verde: valor traído automáticamente desde otra hoja (fórmula de enlace).</t>
  </si>
  <si>
    <t xml:space="preserve">Texto negro: resultado calculado con fórmula dentro de la misma hoja.</t>
  </si>
  <si>
    <t xml:space="preserve">Nota didáctica: el tratamiento del IGV y de las cargas laborales se presenta simplificado con fines de enseñanza. Los precios son referenciales del mercado de Arequipa. Todas las celdas de resultado son fórmulas: el archivo es un modelo vivo, no una tabla de números fijos.</t>
  </si>
  <si>
    <t xml:space="preserve">PARÁMETROS Y SUPUESTOS DEL MODELO</t>
  </si>
  <si>
    <t xml:space="preserve">Generales</t>
  </si>
  <si>
    <t xml:space="preserve">IGV</t>
  </si>
  <si>
    <t xml:space="preserve">Margen objetivo sobre el precio de venta</t>
  </si>
  <si>
    <t xml:space="preserve">Días productivos por mes</t>
  </si>
  <si>
    <t xml:space="preserve">Horas por día</t>
  </si>
  <si>
    <t xml:space="preserve">Meses productivos por año (descontando vacaciones)</t>
  </si>
  <si>
    <t xml:space="preserve">Factor de horas efectivamente productivas</t>
  </si>
  <si>
    <t xml:space="preserve">Producción mensual — Torta de Chocolate (und)</t>
  </si>
  <si>
    <t xml:space="preserve">Producción mensual — Cheesecake de Fresa (und)</t>
  </si>
  <si>
    <t xml:space="preserve">Cargas laborales — régimen laboral general (sobre el sueldo base)</t>
  </si>
  <si>
    <t xml:space="preserve">EsSalud</t>
  </si>
  <si>
    <t xml:space="preserve">Gratificaciones (2 sueldos al año)</t>
  </si>
  <si>
    <t xml:space="preserve">Bonificación extraordinaria s/ gratificación (Ley 30334)</t>
  </si>
  <si>
    <t xml:space="preserve">CTS (provisión anual / 12)</t>
  </si>
  <si>
    <t xml:space="preserve">Factor de sobrecosto laboral (sueldo + cargas)</t>
  </si>
  <si>
    <t xml:space="preserve">HOJA 2 — COMPRA DE INSUMOS: DEL PROVEEDOR AL COSTO UNITARIO DE USO</t>
  </si>
  <si>
    <t xml:space="preserve">Regla del IGV: solo la compra con FACTURA de un bien GRAVADO genera crédito fiscal (el IGV se recupera y no es costo). Con boleta, sin comprobante o bien no gravado, el IGV forma parte del costo.</t>
  </si>
  <si>
    <t xml:space="preserve">Código</t>
  </si>
  <si>
    <t xml:space="preserve">Insumo</t>
  </si>
  <si>
    <t xml:space="preserve">Proveedor</t>
  </si>
  <si>
    <t xml:space="preserve">Presentación de compra</t>
  </si>
  <si>
    <t xml:space="preserve">Cant. de compra</t>
  </si>
  <si>
    <t xml:space="preserve">Unidad de compra</t>
  </si>
  <si>
    <t xml:space="preserve">¿Gravado con IGV?</t>
  </si>
  <si>
    <t xml:space="preserve">Comprobante</t>
  </si>
  <si>
    <t xml:space="preserve">Precio de compra (con IGV)</t>
  </si>
  <si>
    <t xml:space="preserve">Crédito fiscal IGV</t>
  </si>
  <si>
    <t xml:space="preserve">Costo de adquisición</t>
  </si>
  <si>
    <t xml:space="preserve">Unidad de uso</t>
  </si>
  <si>
    <t xml:space="preserve">Factor de conversión</t>
  </si>
  <si>
    <t xml:space="preserve">Contenido total (unid. de uso)</t>
  </si>
  <si>
    <t xml:space="preserve">Costo unitario de uso</t>
  </si>
  <si>
    <t xml:space="preserve">Merma %</t>
  </si>
  <si>
    <t xml:space="preserve">Costo unitario neto</t>
  </si>
  <si>
    <t xml:space="preserve">MP-001</t>
  </si>
  <si>
    <t xml:space="preserve">Harina sin preparar</t>
  </si>
  <si>
    <t xml:space="preserve">Distribuidora Molitalia</t>
  </si>
  <si>
    <t xml:space="preserve">Saco 50 kg</t>
  </si>
  <si>
    <t xml:space="preserve">kg</t>
  </si>
  <si>
    <t xml:space="preserve">Sí</t>
  </si>
  <si>
    <t xml:space="preserve">Factura</t>
  </si>
  <si>
    <t xml:space="preserve">g</t>
  </si>
  <si>
    <t xml:space="preserve">MP-002</t>
  </si>
  <si>
    <t xml:space="preserve">Azúcar blanca</t>
  </si>
  <si>
    <t xml:space="preserve">Makro</t>
  </si>
  <si>
    <t xml:space="preserve">Bolsa 5 kg</t>
  </si>
  <si>
    <t xml:space="preserve">MP-003</t>
  </si>
  <si>
    <t xml:space="preserve">Huevos de gallina</t>
  </si>
  <si>
    <t xml:space="preserve">Mercado mayorista</t>
  </si>
  <si>
    <t xml:space="preserve">Jaba 30 unid</t>
  </si>
  <si>
    <t xml:space="preserve">unid</t>
  </si>
  <si>
    <t xml:space="preserve">No</t>
  </si>
  <si>
    <t xml:space="preserve">Boleta</t>
  </si>
  <si>
    <t xml:space="preserve">MP-004</t>
  </si>
  <si>
    <t xml:space="preserve">Mantequilla sin sal</t>
  </si>
  <si>
    <t xml:space="preserve">Pote 1 kg</t>
  </si>
  <si>
    <t xml:space="preserve">MP-005</t>
  </si>
  <si>
    <t xml:space="preserve">Cacao en polvo</t>
  </si>
  <si>
    <t xml:space="preserve">Distribuidora repostería</t>
  </si>
  <si>
    <t xml:space="preserve">Bolsa 1 kg</t>
  </si>
  <si>
    <t xml:space="preserve">MP-006</t>
  </si>
  <si>
    <t xml:space="preserve">Leche entera UHT</t>
  </si>
  <si>
    <t xml:space="preserve">Caja 1 L</t>
  </si>
  <si>
    <t xml:space="preserve">L</t>
  </si>
  <si>
    <t xml:space="preserve">ml</t>
  </si>
  <si>
    <t xml:space="preserve">MP-007</t>
  </si>
  <si>
    <t xml:space="preserve">Aceite vegetal</t>
  </si>
  <si>
    <t xml:space="preserve">Botella 1 L</t>
  </si>
  <si>
    <t xml:space="preserve">MP-008</t>
  </si>
  <si>
    <t xml:space="preserve">Polvo de hornear</t>
  </si>
  <si>
    <t xml:space="preserve">Pote 250 g</t>
  </si>
  <si>
    <t xml:space="preserve">MP-009</t>
  </si>
  <si>
    <t xml:space="preserve">Esencia de vainilla</t>
  </si>
  <si>
    <t xml:space="preserve">Frasco 120 ml</t>
  </si>
  <si>
    <t xml:space="preserve">MP-010</t>
  </si>
  <si>
    <t xml:space="preserve">Sal</t>
  </si>
  <si>
    <t xml:space="preserve">MP-011</t>
  </si>
  <si>
    <t xml:space="preserve">Chocolate cobertura bitter</t>
  </si>
  <si>
    <t xml:space="preserve">Barra 1 kg</t>
  </si>
  <si>
    <t xml:space="preserve">MP-012</t>
  </si>
  <si>
    <t xml:space="preserve">Crema de leche</t>
  </si>
  <si>
    <t xml:space="preserve">MP-013</t>
  </si>
  <si>
    <t xml:space="preserve">Queso crema</t>
  </si>
  <si>
    <t xml:space="preserve">Pote 1.8 kg</t>
  </si>
  <si>
    <t xml:space="preserve">MP-014</t>
  </si>
  <si>
    <t xml:space="preserve">Galleta de vainilla</t>
  </si>
  <si>
    <t xml:space="preserve">Paquete 400 g</t>
  </si>
  <si>
    <t xml:space="preserve">MP-015</t>
  </si>
  <si>
    <t xml:space="preserve">Fresas frescas</t>
  </si>
  <si>
    <t xml:space="preserve">Kilogramo</t>
  </si>
  <si>
    <t xml:space="preserve">MP-016</t>
  </si>
  <si>
    <t xml:space="preserve">Gelatina sin sabor</t>
  </si>
  <si>
    <t xml:space="preserve">Caja 250 g</t>
  </si>
  <si>
    <t xml:space="preserve">MP-017</t>
  </si>
  <si>
    <t xml:space="preserve">Azúcar impalpable</t>
  </si>
  <si>
    <t xml:space="preserve">EM-001</t>
  </si>
  <si>
    <t xml:space="preserve">Base de cartón torta 24 cm</t>
  </si>
  <si>
    <t xml:space="preserve">Envases del Sur</t>
  </si>
  <si>
    <t xml:space="preserve">Paquete 25 unid</t>
  </si>
  <si>
    <t xml:space="preserve">EM-002</t>
  </si>
  <si>
    <t xml:space="preserve">Caja para torta 24 cm</t>
  </si>
  <si>
    <t xml:space="preserve">EM-003</t>
  </si>
  <si>
    <t xml:space="preserve">Etiqueta / sticker</t>
  </si>
  <si>
    <t xml:space="preserve">Imprenta local</t>
  </si>
  <si>
    <t xml:space="preserve">Rollo 500 unid</t>
  </si>
  <si>
    <t xml:space="preserve">EM-004</t>
  </si>
  <si>
    <t xml:space="preserve">Base y caja cheesecake</t>
  </si>
  <si>
    <t xml:space="preserve">Paquete 50 unid</t>
  </si>
  <si>
    <t xml:space="preserve">HOJA 3 — RECETA Y COSTO DE MATERIALES: TORTA DE CHOCOLATE</t>
  </si>
  <si>
    <t xml:space="preserve">Producto</t>
  </si>
  <si>
    <t xml:space="preserve">Torta de Chocolate</t>
  </si>
  <si>
    <t xml:space="preserve">Molde</t>
  </si>
  <si>
    <t xml:space="preserve">24 cm de diámetro</t>
  </si>
  <si>
    <t xml:space="preserve">Unidad de costeo</t>
  </si>
  <si>
    <t xml:space="preserve">1 torta entera</t>
  </si>
  <si>
    <t xml:space="preserve">Elaboración</t>
  </si>
  <si>
    <t xml:space="preserve">Bizcocho de chocolate + cobertura de ganache</t>
  </si>
  <si>
    <t xml:space="preserve">Cantidad</t>
  </si>
  <si>
    <t xml:space="preserve">Unidad</t>
  </si>
  <si>
    <t xml:space="preserve">Costo total</t>
  </si>
  <si>
    <t xml:space="preserve">% del costo</t>
  </si>
  <si>
    <t xml:space="preserve">Materia prima directa</t>
  </si>
  <si>
    <t xml:space="preserve">Subtotal materia prima directa</t>
  </si>
  <si>
    <t xml:space="preserve">Material de empaque directo</t>
  </si>
  <si>
    <t xml:space="preserve">Subtotal empaque directo</t>
  </si>
  <si>
    <t xml:space="preserve">COSTO DE MATERIALES DIRECTOS (por unidad)</t>
  </si>
  <si>
    <t xml:space="preserve">Rinde (porciones)</t>
  </si>
  <si>
    <t xml:space="preserve">Costo de materiales por porción</t>
  </si>
  <si>
    <t xml:space="preserve">HOJA 4 — RECETA Y COSTO DE MATERIALES: CHEESECAKE DE FRESA</t>
  </si>
  <si>
    <t xml:space="preserve">Cheesecake de Fresa</t>
  </si>
  <si>
    <t xml:space="preserve">22 cm de diámetro</t>
  </si>
  <si>
    <t xml:space="preserve">1 cheesecake entero</t>
  </si>
  <si>
    <t xml:space="preserve">Base de galleta + relleno de queso + gelée de fresa</t>
  </si>
  <si>
    <t xml:space="preserve">HOJA 5 — COSTO DE LA MANO DE OBRA DIRECTA (COSTO EMPLEADOR)</t>
  </si>
  <si>
    <t xml:space="preserve">Concepto</t>
  </si>
  <si>
    <t xml:space="preserve">Maestro pastelero</t>
  </si>
  <si>
    <t xml:space="preserve">Ayudante de pastelería</t>
  </si>
  <si>
    <t xml:space="preserve">Nota</t>
  </si>
  <si>
    <t xml:space="preserve">Sueldo básico mensual</t>
  </si>
  <si>
    <t xml:space="preserve">Dato de la planilla.</t>
  </si>
  <si>
    <t xml:space="preserve">(x) Factor de sobrecosto laboral</t>
  </si>
  <si>
    <t xml:space="preserve">EsSalud + gratificaciones + bonif. + CTS (ver Parámetros).</t>
  </si>
  <si>
    <t xml:space="preserve">(=) Costo empleador mensual</t>
  </si>
  <si>
    <t xml:space="preserve">Lo que realmente cuesta el trabajador al mes.</t>
  </si>
  <si>
    <t xml:space="preserve">(x) 12 meses</t>
  </si>
  <si>
    <t xml:space="preserve">(=) Costo empleador anual</t>
  </si>
  <si>
    <t xml:space="preserve">Horas productivas al año</t>
  </si>
  <si>
    <t xml:space="preserve">Días x horas x meses productivos x factor de eficiencia.</t>
  </si>
  <si>
    <t xml:space="preserve">(=) Costo por hora productiva</t>
  </si>
  <si>
    <t xml:space="preserve">Base para costear el tiempo de cada producto.</t>
  </si>
  <si>
    <t xml:space="preserve">Tiempo de mano de obra por producto</t>
  </si>
  <si>
    <t xml:space="preserve">Minutos maestro</t>
  </si>
  <si>
    <t xml:space="preserve">Minutos ayudante</t>
  </si>
  <si>
    <t xml:space="preserve">Costo MOD por unidad</t>
  </si>
  <si>
    <t xml:space="preserve">HOJA 6 — COSTOS INDIRECTOS DE FABRICACIÓN (CIF) Y TASA DE APLICACIÓN</t>
  </si>
  <si>
    <t xml:space="preserve">Concepto (mensual)</t>
  </si>
  <si>
    <t xml:space="preserve">Importe</t>
  </si>
  <si>
    <t xml:space="preserve">Alquiler del área de producción</t>
  </si>
  <si>
    <t xml:space="preserve">Parte del local dedicada a producción.</t>
  </si>
  <si>
    <t xml:space="preserve">Energía eléctrica</t>
  </si>
  <si>
    <t xml:space="preserve">Horno, batidora industrial, refrigeración.</t>
  </si>
  <si>
    <t xml:space="preserve">Gas (GLP)</t>
  </si>
  <si>
    <t xml:space="preserve">Agua</t>
  </si>
  <si>
    <t xml:space="preserve">Depreciación de equipos</t>
  </si>
  <si>
    <t xml:space="preserve">Horno, batidora, refrigeradora (mensual).</t>
  </si>
  <si>
    <t xml:space="preserve">Mano de obra indirecta</t>
  </si>
  <si>
    <t xml:space="preserve">Limpieza y supervisión parcial.</t>
  </si>
  <si>
    <t xml:space="preserve">Insumos indirectos</t>
  </si>
  <si>
    <t xml:space="preserve">Film, guantes, papel manteca, detergente.</t>
  </si>
  <si>
    <t xml:space="preserve">Mantenimiento de equipos</t>
  </si>
  <si>
    <t xml:space="preserve">TOTAL CIF MENSUAL</t>
  </si>
  <si>
    <t xml:space="preserve">Base de asignación: horas de mano de obra directa</t>
  </si>
  <si>
    <t xml:space="preserve">Valor</t>
  </si>
  <si>
    <t xml:space="preserve">Fórmula / nota</t>
  </si>
  <si>
    <t xml:space="preserve">Horas MOD/mes — Torta</t>
  </si>
  <si>
    <t xml:space="preserve">(min maestro + min ayudante)/60 x producción mensual</t>
  </si>
  <si>
    <t xml:space="preserve">Horas MOD/mes — Cheesecake</t>
  </si>
  <si>
    <t xml:space="preserve">Total horas MOD/mes</t>
  </si>
  <si>
    <t xml:space="preserve">Tasa de aplicación CIF (S/ por hora MOD)</t>
  </si>
  <si>
    <t xml:space="preserve">Total CIF mensual ÷ total horas MOD mensuales.</t>
  </si>
  <si>
    <t xml:space="preserve">CIF por unidad — Torta</t>
  </si>
  <si>
    <t xml:space="preserve">Horas MOD por torta x tasa CIF.</t>
  </si>
  <si>
    <t xml:space="preserve">CIF por unidad — Cheesecake</t>
  </si>
  <si>
    <t xml:space="preserve">HOJA 7 — HOJA DE COSTO UNITARIO Y FIJACIÓN DE PRECIO</t>
  </si>
  <si>
    <t xml:space="preserve">Componente</t>
  </si>
  <si>
    <t xml:space="preserve">Materiales directos (MP + empaque)</t>
  </si>
  <si>
    <t xml:space="preserve">Desde las hojas de receta.</t>
  </si>
  <si>
    <t xml:space="preserve">Mano de obra directa</t>
  </si>
  <si>
    <t xml:space="preserve">Desde la hoja de mano de obra.</t>
  </si>
  <si>
    <t xml:space="preserve">Costos indirectos de fabricación</t>
  </si>
  <si>
    <t xml:space="preserve">CIF aplicado por horas MOD.</t>
  </si>
  <si>
    <t xml:space="preserve">(=) COSTO DE PRODUCCIÓN UNITARIO</t>
  </si>
  <si>
    <t xml:space="preserve">Porciones por unidad.</t>
  </si>
  <si>
    <t xml:space="preserve">Costo de producción por porción</t>
  </si>
  <si>
    <t xml:space="preserve">Fijación de precio — método cost-plus (margen sobre el precio de venta)</t>
  </si>
  <si>
    <t xml:space="preserve">Margen objetivo sobre precio de venta</t>
  </si>
  <si>
    <t xml:space="preserve">Precio de venta sin IGV</t>
  </si>
  <si>
    <t xml:space="preserve">Costo ÷ (1 − margen).</t>
  </si>
  <si>
    <t xml:space="preserve">IGV (18%)</t>
  </si>
  <si>
    <t xml:space="preserve">(=) PRECIO DE VENTA AL PÚBLICO (con IGV)</t>
  </si>
  <si>
    <t xml:space="preserve">Utilidad por unidad (sin IGV)</t>
  </si>
  <si>
    <t xml:space="preserve">Margen sobre el costo (referencial)</t>
  </si>
  <si>
    <t xml:space="preserve">Utilidad ÷ costo: distinto del margen sobre venta.</t>
  </si>
  <si>
    <t xml:space="preserve">HOJA 8 — RESUMEN: ESTRUCTURA DEL COSTO Y MARGEN DE CONTRIBUCIÓN</t>
  </si>
  <si>
    <t xml:space="preserve">Indicador</t>
  </si>
  <si>
    <t xml:space="preserve">Materiales directos</t>
  </si>
  <si>
    <t xml:space="preserve">(=) Costo de producción unitario</t>
  </si>
  <si>
    <t xml:space="preserve">Estructura porcentual del costo</t>
  </si>
  <si>
    <t xml:space="preserve">% Materiales</t>
  </si>
  <si>
    <t xml:space="preserve">% Mano de obra</t>
  </si>
  <si>
    <t xml:space="preserve">% CIF</t>
  </si>
  <si>
    <t xml:space="preserve">Precio y rentabilidad por unidad</t>
  </si>
  <si>
    <t xml:space="preserve">Precio al público (con IGV)</t>
  </si>
  <si>
    <t xml:space="preserve">Margen de contribución unitario</t>
  </si>
  <si>
    <t xml:space="preserve">Precio sin IGV − costo variable (materiales).</t>
  </si>
  <si>
    <t xml:space="preserve">Razón de contribución</t>
  </si>
  <si>
    <t xml:space="preserve">Lectura: en repostería la mano de obra y los CIF pesan tanto como los insumos; costear solo la receta subestima el costo real. El margen de contribución (que aquí trata los materiales como costo variable) sirve para decisiones de volumen y punto de equilibrio.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</si>
</sst>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#,##0.00"/>
    <numFmt numFmtId="168" formatCode="&quot;S/ &quot;#,##0.00"/>
    <numFmt numFmtId="169" formatCode="&quot;S/ &quot;#,##0.000000"/>
    <numFmt numFmtId="170" formatCode="&quot;S/ &quot;#,##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ource Sans 3"/>
      <family val="0"/>
      <charset val="1"/>
    </font>
    <font>
      <b val="true"/>
      <sz val="10"/>
      <color rgb="FFFFFFFF"/>
      <name val="Source Sans 3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Source Sans 3"/>
      <family val="0"/>
      <charset val="1"/>
    </font>
    <font>
      <sz val="9"/>
      <color rgb="FF0000CC"/>
      <name val="Calibri"/>
      <family val="0"/>
      <charset val="1"/>
    </font>
    <font>
      <sz val="9"/>
      <color rgb="FF00800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sz val="10"/>
      <name val="Arial"/>
      <family val="2"/>
    </font>
    <font>
      <b val="true"/>
      <sz val="9"/>
      <color rgb="FFFFFFFF"/>
      <name val="Source Sans 3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74EA7"/>
        <bgColor rgb="FF595959"/>
      </patternFill>
    </fill>
    <fill>
      <patternFill patternType="solid">
        <fgColor rgb="FF8E7CC3"/>
        <bgColor rgb="FF969696"/>
      </patternFill>
    </fill>
    <fill>
      <patternFill patternType="solid">
        <fgColor rgb="FFD9D2E9"/>
        <bgColor rgb="FFEAD1DC"/>
      </patternFill>
    </fill>
    <fill>
      <patternFill patternType="solid">
        <fgColor rgb="FFFFF2CC"/>
        <bgColor rgb="FFFFFFFF"/>
      </patternFill>
    </fill>
    <fill>
      <patternFill patternType="solid">
        <fgColor rgb="FFEAD1DC"/>
        <bgColor rgb="FFD9D2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E7CC3"/>
      <rgbColor rgb="FF9999FF"/>
      <rgbColor rgb="FF993366"/>
      <rgbColor rgb="FFFFF2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74EA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5" min="2" style="0" width="26"/>
    <col collapsed="false" customWidth="true" hidden="false" outlineLevel="0" max="6" min="6" style="0" width="2.5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</row>
    <row r="11" customFormat="false" ht="15" hidden="false" customHeight="true" outlineLevel="0" collapsed="false">
      <c r="B11" s="3" t="s">
        <v>14</v>
      </c>
      <c r="C11" s="4" t="s">
        <v>15</v>
      </c>
      <c r="D11" s="4"/>
      <c r="E11" s="4"/>
    </row>
    <row r="12" customFormat="false" ht="15" hidden="false" customHeight="true" outlineLevel="0" collapsed="false">
      <c r="B12" s="3" t="s">
        <v>16</v>
      </c>
      <c r="C12" s="4" t="s">
        <v>17</v>
      </c>
      <c r="D12" s="4"/>
      <c r="E12" s="4"/>
    </row>
    <row r="14" customFormat="false" ht="15" hidden="false" customHeight="true" outlineLevel="0" collapsed="false">
      <c r="B14" s="5" t="s">
        <v>18</v>
      </c>
      <c r="C14" s="5"/>
      <c r="D14" s="5"/>
      <c r="E14" s="5"/>
    </row>
    <row r="15" customFormat="false" ht="30" hidden="false" customHeight="true" outlineLevel="0" collapsed="false">
      <c r="B15" s="6" t="s">
        <v>19</v>
      </c>
      <c r="C15" s="7" t="s">
        <v>20</v>
      </c>
      <c r="D15" s="7"/>
      <c r="E15" s="7"/>
    </row>
    <row r="16" customFormat="false" ht="30" hidden="false" customHeight="true" outlineLevel="0" collapsed="false">
      <c r="B16" s="6" t="s">
        <v>21</v>
      </c>
      <c r="C16" s="7" t="s">
        <v>22</v>
      </c>
      <c r="D16" s="7"/>
      <c r="E16" s="7"/>
    </row>
    <row r="17" customFormat="false" ht="30" hidden="false" customHeight="true" outlineLevel="0" collapsed="false">
      <c r="B17" s="6" t="s">
        <v>23</v>
      </c>
      <c r="C17" s="7" t="s">
        <v>24</v>
      </c>
      <c r="D17" s="7"/>
      <c r="E17" s="7"/>
    </row>
    <row r="18" customFormat="false" ht="30" hidden="false" customHeight="true" outlineLevel="0" collapsed="false">
      <c r="B18" s="6" t="s">
        <v>25</v>
      </c>
      <c r="C18" s="7" t="s">
        <v>26</v>
      </c>
      <c r="D18" s="7"/>
      <c r="E18" s="7"/>
    </row>
    <row r="19" customFormat="false" ht="30" hidden="false" customHeight="true" outlineLevel="0" collapsed="false">
      <c r="B19" s="6" t="s">
        <v>27</v>
      </c>
      <c r="C19" s="7" t="s">
        <v>28</v>
      </c>
      <c r="D19" s="7"/>
      <c r="E19" s="7"/>
    </row>
    <row r="20" customFormat="false" ht="30" hidden="false" customHeight="true" outlineLevel="0" collapsed="false">
      <c r="B20" s="6" t="s">
        <v>29</v>
      </c>
      <c r="C20" s="7" t="s">
        <v>30</v>
      </c>
      <c r="D20" s="7"/>
      <c r="E20" s="7"/>
    </row>
    <row r="21" customFormat="false" ht="30" hidden="false" customHeight="true" outlineLevel="0" collapsed="false">
      <c r="B21" s="6" t="s">
        <v>31</v>
      </c>
      <c r="C21" s="7" t="s">
        <v>32</v>
      </c>
      <c r="D21" s="7"/>
      <c r="E21" s="7"/>
    </row>
    <row r="22" customFormat="false" ht="30" hidden="false" customHeight="true" outlineLevel="0" collapsed="false">
      <c r="B22" s="6" t="s">
        <v>33</v>
      </c>
      <c r="C22" s="7" t="s">
        <v>34</v>
      </c>
      <c r="D22" s="7"/>
      <c r="E22" s="7"/>
    </row>
    <row r="24" customFormat="false" ht="15" hidden="false" customHeight="true" outlineLevel="0" collapsed="false">
      <c r="B24" s="5" t="s">
        <v>35</v>
      </c>
      <c r="C24" s="5"/>
      <c r="D24" s="5"/>
      <c r="E24" s="5"/>
    </row>
    <row r="25" customFormat="false" ht="27.75" hidden="false" customHeight="true" outlineLevel="0" collapsed="false">
      <c r="B25" s="8" t="s">
        <v>36</v>
      </c>
      <c r="C25" s="7" t="s">
        <v>37</v>
      </c>
      <c r="D25" s="7"/>
      <c r="E25" s="7"/>
    </row>
    <row r="26" customFormat="false" ht="27.75" hidden="false" customHeight="true" outlineLevel="0" collapsed="false">
      <c r="B26" s="9" t="s">
        <v>36</v>
      </c>
      <c r="C26" s="7" t="s">
        <v>38</v>
      </c>
      <c r="D26" s="7"/>
      <c r="E26" s="7"/>
    </row>
    <row r="27" customFormat="false" ht="27.75" hidden="false" customHeight="true" outlineLevel="0" collapsed="false">
      <c r="B27" s="10" t="s">
        <v>36</v>
      </c>
      <c r="C27" s="7" t="s">
        <v>39</v>
      </c>
      <c r="D27" s="7"/>
      <c r="E27" s="7"/>
    </row>
    <row r="29" customFormat="false" ht="39.75" hidden="false" customHeight="true" outlineLevel="0" collapsed="false">
      <c r="B29" s="11" t="s">
        <v>40</v>
      </c>
      <c r="C29" s="11"/>
      <c r="D29" s="11"/>
      <c r="E29" s="11"/>
    </row>
  </sheetData>
  <mergeCells count="24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B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4:E24"/>
    <mergeCell ref="C25:E25"/>
    <mergeCell ref="C26:E26"/>
    <mergeCell ref="C27:E27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25.5" hidden="false" customHeight="true" outlineLevel="0" collapsed="false">
      <c r="B2" s="1" t="s">
        <v>41</v>
      </c>
      <c r="C2" s="1"/>
      <c r="D2" s="1"/>
    </row>
    <row r="4" customFormat="false" ht="15" hidden="false" customHeight="true" outlineLevel="0" collapsed="false">
      <c r="B4" s="5" t="s">
        <v>42</v>
      </c>
      <c r="C4" s="5"/>
      <c r="D4" s="5"/>
    </row>
    <row r="5" customFormat="false" ht="15" hidden="false" customHeight="false" outlineLevel="0" collapsed="false">
      <c r="B5" s="12" t="s">
        <v>43</v>
      </c>
      <c r="C5" s="13" t="n">
        <v>0.18</v>
      </c>
    </row>
    <row r="6" customFormat="false" ht="15" hidden="false" customHeight="false" outlineLevel="0" collapsed="false">
      <c r="B6" s="12" t="s">
        <v>44</v>
      </c>
      <c r="C6" s="13" t="n">
        <v>0.35</v>
      </c>
    </row>
    <row r="7" customFormat="false" ht="15" hidden="false" customHeight="false" outlineLevel="0" collapsed="false">
      <c r="B7" s="12" t="s">
        <v>45</v>
      </c>
      <c r="C7" s="14" t="n">
        <v>26</v>
      </c>
    </row>
    <row r="8" customFormat="false" ht="15" hidden="false" customHeight="false" outlineLevel="0" collapsed="false">
      <c r="B8" s="12" t="s">
        <v>46</v>
      </c>
      <c r="C8" s="14" t="n">
        <v>8</v>
      </c>
    </row>
    <row r="9" customFormat="false" ht="15" hidden="false" customHeight="false" outlineLevel="0" collapsed="false">
      <c r="B9" s="12" t="s">
        <v>47</v>
      </c>
      <c r="C9" s="14" t="n">
        <v>11</v>
      </c>
    </row>
    <row r="10" customFormat="false" ht="15" hidden="false" customHeight="false" outlineLevel="0" collapsed="false">
      <c r="B10" s="12" t="s">
        <v>48</v>
      </c>
      <c r="C10" s="13" t="n">
        <v>0.85</v>
      </c>
    </row>
    <row r="11" customFormat="false" ht="15" hidden="false" customHeight="false" outlineLevel="0" collapsed="false">
      <c r="B11" s="12" t="s">
        <v>49</v>
      </c>
      <c r="C11" s="14" t="n">
        <v>180</v>
      </c>
    </row>
    <row r="12" customFormat="false" ht="15" hidden="false" customHeight="false" outlineLevel="0" collapsed="false">
      <c r="B12" s="12" t="s">
        <v>50</v>
      </c>
      <c r="C12" s="14" t="n">
        <v>120</v>
      </c>
    </row>
    <row r="14" customFormat="false" ht="15" hidden="false" customHeight="true" outlineLevel="0" collapsed="false">
      <c r="B14" s="5" t="s">
        <v>51</v>
      </c>
      <c r="C14" s="5"/>
      <c r="D14" s="5"/>
    </row>
    <row r="15" customFormat="false" ht="15" hidden="false" customHeight="false" outlineLevel="0" collapsed="false">
      <c r="B15" s="12" t="s">
        <v>52</v>
      </c>
      <c r="C15" s="15" t="n">
        <f aca="false">0.09</f>
        <v>0.09</v>
      </c>
    </row>
    <row r="16" customFormat="false" ht="15" hidden="false" customHeight="false" outlineLevel="0" collapsed="false">
      <c r="B16" s="12" t="s">
        <v>53</v>
      </c>
      <c r="C16" s="15" t="n">
        <f aca="false">2/12</f>
        <v>0.166666666666667</v>
      </c>
    </row>
    <row r="17" customFormat="false" ht="15" hidden="false" customHeight="false" outlineLevel="0" collapsed="false">
      <c r="B17" s="12" t="s">
        <v>54</v>
      </c>
      <c r="C17" s="15" t="n">
        <f aca="false">C16*0.09</f>
        <v>0.015</v>
      </c>
    </row>
    <row r="18" customFormat="false" ht="15" hidden="false" customHeight="false" outlineLevel="0" collapsed="false">
      <c r="B18" s="12" t="s">
        <v>55</v>
      </c>
      <c r="C18" s="15" t="n">
        <f aca="false">(1+1/6)/12</f>
        <v>0.0972222222222222</v>
      </c>
    </row>
    <row r="19" customFormat="false" ht="15" hidden="false" customHeight="false" outlineLevel="0" collapsed="false">
      <c r="B19" s="16" t="s">
        <v>56</v>
      </c>
      <c r="C19" s="17" t="n">
        <f aca="false">1+C15+C16+C17+C18</f>
        <v>1.36888888888889</v>
      </c>
    </row>
  </sheetData>
  <mergeCells count="3">
    <mergeCell ref="B2:D2"/>
    <mergeCell ref="B4:D4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18" t="s">
        <v>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42" hidden="false" customHeight="true" outlineLevel="0" collapsed="false">
      <c r="A3" s="19" t="s">
        <v>59</v>
      </c>
      <c r="B3" s="19" t="s">
        <v>60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 t="s">
        <v>66</v>
      </c>
      <c r="I3" s="19" t="s">
        <v>67</v>
      </c>
      <c r="J3" s="19" t="s">
        <v>68</v>
      </c>
      <c r="K3" s="19" t="s">
        <v>69</v>
      </c>
      <c r="L3" s="19" t="s">
        <v>70</v>
      </c>
      <c r="M3" s="19" t="s">
        <v>71</v>
      </c>
      <c r="N3" s="19" t="s">
        <v>72</v>
      </c>
      <c r="O3" s="19" t="s">
        <v>73</v>
      </c>
      <c r="P3" s="19" t="s">
        <v>74</v>
      </c>
      <c r="Q3" s="19" t="s">
        <v>75</v>
      </c>
    </row>
    <row r="4" customFormat="false" ht="15" hidden="false" customHeight="false" outlineLevel="0" collapsed="false">
      <c r="A4" s="10" t="s">
        <v>76</v>
      </c>
      <c r="B4" s="20" t="s">
        <v>77</v>
      </c>
      <c r="C4" s="20" t="s">
        <v>78</v>
      </c>
      <c r="D4" s="20" t="s">
        <v>79</v>
      </c>
      <c r="E4" s="21" t="n">
        <v>50</v>
      </c>
      <c r="F4" s="10" t="s">
        <v>80</v>
      </c>
      <c r="G4" s="8" t="s">
        <v>81</v>
      </c>
      <c r="H4" s="8" t="s">
        <v>82</v>
      </c>
      <c r="I4" s="22" t="n">
        <v>165</v>
      </c>
      <c r="J4" s="23" t="n">
        <f aca="false">IF(AND(G4="Sí",H4="Factura"),I4-I4/(1+Parámetros!C5),0)</f>
        <v>25.1694915254237</v>
      </c>
      <c r="K4" s="23" t="n">
        <f aca="false">I4-J4</f>
        <v>139.830508474576</v>
      </c>
      <c r="L4" s="10" t="s">
        <v>83</v>
      </c>
      <c r="M4" s="14" t="n">
        <v>1000</v>
      </c>
      <c r="N4" s="24" t="n">
        <f aca="false">E4*M4</f>
        <v>50000</v>
      </c>
      <c r="O4" s="25" t="n">
        <f aca="false">K4/N4</f>
        <v>0.00279661016949153</v>
      </c>
      <c r="P4" s="13" t="n">
        <v>0.02</v>
      </c>
      <c r="Q4" s="26" t="n">
        <f aca="false">O4/(1-P4)</f>
        <v>0.00285368384641992</v>
      </c>
    </row>
    <row r="5" customFormat="false" ht="15" hidden="false" customHeight="false" outlineLevel="0" collapsed="false">
      <c r="A5" s="10" t="s">
        <v>84</v>
      </c>
      <c r="B5" s="20" t="s">
        <v>85</v>
      </c>
      <c r="C5" s="20" t="s">
        <v>86</v>
      </c>
      <c r="D5" s="20" t="s">
        <v>87</v>
      </c>
      <c r="E5" s="21" t="n">
        <v>5</v>
      </c>
      <c r="F5" s="10" t="s">
        <v>80</v>
      </c>
      <c r="G5" s="8" t="s">
        <v>81</v>
      </c>
      <c r="H5" s="8" t="s">
        <v>82</v>
      </c>
      <c r="I5" s="22" t="n">
        <v>22.5</v>
      </c>
      <c r="J5" s="23" t="n">
        <f aca="false">IF(AND(G5="Sí",H5="Factura"),I5-I5/(1+Parámetros!C5),0)</f>
        <v>3.43220338983051</v>
      </c>
      <c r="K5" s="23" t="n">
        <f aca="false">I5-J5</f>
        <v>19.0677966101695</v>
      </c>
      <c r="L5" s="10" t="s">
        <v>83</v>
      </c>
      <c r="M5" s="14" t="n">
        <v>1000</v>
      </c>
      <c r="N5" s="24" t="n">
        <f aca="false">E5*M5</f>
        <v>5000</v>
      </c>
      <c r="O5" s="25" t="n">
        <f aca="false">K5/N5</f>
        <v>0.0038135593220339</v>
      </c>
      <c r="P5" s="13" t="n">
        <v>0.01</v>
      </c>
      <c r="Q5" s="26" t="n">
        <f aca="false">O5/(1-P5)</f>
        <v>0.00385208012326656</v>
      </c>
    </row>
    <row r="6" customFormat="false" ht="15" hidden="false" customHeight="false" outlineLevel="0" collapsed="false">
      <c r="A6" s="10" t="s">
        <v>88</v>
      </c>
      <c r="B6" s="20" t="s">
        <v>89</v>
      </c>
      <c r="C6" s="20" t="s">
        <v>90</v>
      </c>
      <c r="D6" s="20" t="s">
        <v>91</v>
      </c>
      <c r="E6" s="21" t="n">
        <v>30</v>
      </c>
      <c r="F6" s="10" t="s">
        <v>92</v>
      </c>
      <c r="G6" s="8" t="s">
        <v>93</v>
      </c>
      <c r="H6" s="8" t="s">
        <v>94</v>
      </c>
      <c r="I6" s="22" t="n">
        <v>15</v>
      </c>
      <c r="J6" s="23" t="n">
        <f aca="false">IF(AND(G6="Sí",H6="Factura"),I6-I6/(1+Parámetros!C5),0)</f>
        <v>0</v>
      </c>
      <c r="K6" s="23" t="n">
        <f aca="false">I6-J6</f>
        <v>15</v>
      </c>
      <c r="L6" s="10" t="s">
        <v>92</v>
      </c>
      <c r="M6" s="14" t="n">
        <v>1</v>
      </c>
      <c r="N6" s="24" t="n">
        <f aca="false">E6*M6</f>
        <v>30</v>
      </c>
      <c r="O6" s="25" t="n">
        <f aca="false">K6/N6</f>
        <v>0.5</v>
      </c>
      <c r="P6" s="13" t="n">
        <v>0.03</v>
      </c>
      <c r="Q6" s="26" t="n">
        <f aca="false">O6/(1-P6)</f>
        <v>0.515463917525773</v>
      </c>
    </row>
    <row r="7" customFormat="false" ht="15" hidden="false" customHeight="false" outlineLevel="0" collapsed="false">
      <c r="A7" s="10" t="s">
        <v>95</v>
      </c>
      <c r="B7" s="20" t="s">
        <v>96</v>
      </c>
      <c r="C7" s="20" t="s">
        <v>86</v>
      </c>
      <c r="D7" s="20" t="s">
        <v>97</v>
      </c>
      <c r="E7" s="21" t="n">
        <v>1</v>
      </c>
      <c r="F7" s="10" t="s">
        <v>80</v>
      </c>
      <c r="G7" s="8" t="s">
        <v>81</v>
      </c>
      <c r="H7" s="8" t="s">
        <v>82</v>
      </c>
      <c r="I7" s="22" t="n">
        <v>34</v>
      </c>
      <c r="J7" s="23" t="n">
        <f aca="false">IF(AND(G7="Sí",H7="Factura"),I7-I7/(1+Parámetros!C5),0)</f>
        <v>5.1864406779661</v>
      </c>
      <c r="K7" s="23" t="n">
        <f aca="false">I7-J7</f>
        <v>28.8135593220339</v>
      </c>
      <c r="L7" s="10" t="s">
        <v>83</v>
      </c>
      <c r="M7" s="14" t="n">
        <v>1000</v>
      </c>
      <c r="N7" s="24" t="n">
        <f aca="false">E7*M7</f>
        <v>1000</v>
      </c>
      <c r="O7" s="25" t="n">
        <f aca="false">K7/N7</f>
        <v>0.0288135593220339</v>
      </c>
      <c r="P7" s="13" t="n">
        <v>0</v>
      </c>
      <c r="Q7" s="26" t="n">
        <f aca="false">O7/(1-P7)</f>
        <v>0.0288135593220339</v>
      </c>
    </row>
    <row r="8" customFormat="false" ht="15" hidden="false" customHeight="false" outlineLevel="0" collapsed="false">
      <c r="A8" s="10" t="s">
        <v>98</v>
      </c>
      <c r="B8" s="20" t="s">
        <v>99</v>
      </c>
      <c r="C8" s="20" t="s">
        <v>100</v>
      </c>
      <c r="D8" s="20" t="s">
        <v>101</v>
      </c>
      <c r="E8" s="21" t="n">
        <v>1</v>
      </c>
      <c r="F8" s="10" t="s">
        <v>80</v>
      </c>
      <c r="G8" s="8" t="s">
        <v>81</v>
      </c>
      <c r="H8" s="8" t="s">
        <v>82</v>
      </c>
      <c r="I8" s="22" t="n">
        <v>38</v>
      </c>
      <c r="J8" s="23" t="n">
        <f aca="false">IF(AND(G8="Sí",H8="Factura"),I8-I8/(1+Parámetros!C5),0)</f>
        <v>5.79661016949152</v>
      </c>
      <c r="K8" s="23" t="n">
        <f aca="false">I8-J8</f>
        <v>32.2033898305085</v>
      </c>
      <c r="L8" s="10" t="s">
        <v>83</v>
      </c>
      <c r="M8" s="14" t="n">
        <v>1000</v>
      </c>
      <c r="N8" s="24" t="n">
        <f aca="false">E8*M8</f>
        <v>1000</v>
      </c>
      <c r="O8" s="25" t="n">
        <f aca="false">K8/N8</f>
        <v>0.0322033898305085</v>
      </c>
      <c r="P8" s="13" t="n">
        <v>0.01</v>
      </c>
      <c r="Q8" s="26" t="n">
        <f aca="false">O8/(1-P8)</f>
        <v>0.0325286765964732</v>
      </c>
    </row>
    <row r="9" customFormat="false" ht="15" hidden="false" customHeight="false" outlineLevel="0" collapsed="false">
      <c r="A9" s="10" t="s">
        <v>102</v>
      </c>
      <c r="B9" s="20" t="s">
        <v>103</v>
      </c>
      <c r="C9" s="20" t="s">
        <v>86</v>
      </c>
      <c r="D9" s="20" t="s">
        <v>104</v>
      </c>
      <c r="E9" s="21" t="n">
        <v>1</v>
      </c>
      <c r="F9" s="10" t="s">
        <v>105</v>
      </c>
      <c r="G9" s="8" t="s">
        <v>81</v>
      </c>
      <c r="H9" s="8" t="s">
        <v>82</v>
      </c>
      <c r="I9" s="22" t="n">
        <v>5.2</v>
      </c>
      <c r="J9" s="23" t="n">
        <f aca="false">IF(AND(G9="Sí",H9="Factura"),I9-I9/(1+Parámetros!C5),0)</f>
        <v>0.79322033898305</v>
      </c>
      <c r="K9" s="23" t="n">
        <f aca="false">I9-J9</f>
        <v>4.40677966101695</v>
      </c>
      <c r="L9" s="10" t="s">
        <v>106</v>
      </c>
      <c r="M9" s="14" t="n">
        <v>1000</v>
      </c>
      <c r="N9" s="24" t="n">
        <f aca="false">E9*M9</f>
        <v>1000</v>
      </c>
      <c r="O9" s="25" t="n">
        <f aca="false">K9/N9</f>
        <v>0.00440677966101695</v>
      </c>
      <c r="P9" s="13" t="n">
        <v>0</v>
      </c>
      <c r="Q9" s="26" t="n">
        <f aca="false">O9/(1-P9)</f>
        <v>0.00440677966101695</v>
      </c>
    </row>
    <row r="10" customFormat="false" ht="15" hidden="false" customHeight="false" outlineLevel="0" collapsed="false">
      <c r="A10" s="10" t="s">
        <v>107</v>
      </c>
      <c r="B10" s="20" t="s">
        <v>108</v>
      </c>
      <c r="C10" s="20" t="s">
        <v>86</v>
      </c>
      <c r="D10" s="20" t="s">
        <v>109</v>
      </c>
      <c r="E10" s="21" t="n">
        <v>1</v>
      </c>
      <c r="F10" s="10" t="s">
        <v>105</v>
      </c>
      <c r="G10" s="8" t="s">
        <v>81</v>
      </c>
      <c r="H10" s="8" t="s">
        <v>82</v>
      </c>
      <c r="I10" s="22" t="n">
        <v>9.5</v>
      </c>
      <c r="J10" s="23" t="n">
        <f aca="false">IF(AND(G10="Sí",H10="Factura"),I10-I10/(1+Parámetros!C5),0)</f>
        <v>1.44915254237288</v>
      </c>
      <c r="K10" s="23" t="n">
        <f aca="false">I10-J10</f>
        <v>8.05084745762712</v>
      </c>
      <c r="L10" s="10" t="s">
        <v>106</v>
      </c>
      <c r="M10" s="14" t="n">
        <v>1000</v>
      </c>
      <c r="N10" s="24" t="n">
        <f aca="false">E10*M10</f>
        <v>1000</v>
      </c>
      <c r="O10" s="25" t="n">
        <f aca="false">K10/N10</f>
        <v>0.00805084745762712</v>
      </c>
      <c r="P10" s="13" t="n">
        <v>0</v>
      </c>
      <c r="Q10" s="26" t="n">
        <f aca="false">O10/(1-P10)</f>
        <v>0.00805084745762712</v>
      </c>
    </row>
    <row r="11" customFormat="false" ht="15" hidden="false" customHeight="false" outlineLevel="0" collapsed="false">
      <c r="A11" s="10" t="s">
        <v>110</v>
      </c>
      <c r="B11" s="20" t="s">
        <v>111</v>
      </c>
      <c r="C11" s="20" t="s">
        <v>100</v>
      </c>
      <c r="D11" s="20" t="s">
        <v>112</v>
      </c>
      <c r="E11" s="21" t="n">
        <v>250</v>
      </c>
      <c r="F11" s="10" t="s">
        <v>83</v>
      </c>
      <c r="G11" s="8" t="s">
        <v>81</v>
      </c>
      <c r="H11" s="8" t="s">
        <v>82</v>
      </c>
      <c r="I11" s="22" t="n">
        <v>8</v>
      </c>
      <c r="J11" s="23" t="n">
        <f aca="false">IF(AND(G11="Sí",H11="Factura"),I11-I11/(1+Parámetros!C5),0)</f>
        <v>1.22033898305085</v>
      </c>
      <c r="K11" s="23" t="n">
        <f aca="false">I11-J11</f>
        <v>6.77966101694915</v>
      </c>
      <c r="L11" s="10" t="s">
        <v>83</v>
      </c>
      <c r="M11" s="14" t="n">
        <v>1</v>
      </c>
      <c r="N11" s="24" t="n">
        <f aca="false">E11*M11</f>
        <v>250</v>
      </c>
      <c r="O11" s="25" t="n">
        <f aca="false">K11/N11</f>
        <v>0.0271186440677966</v>
      </c>
      <c r="P11" s="13" t="n">
        <v>0</v>
      </c>
      <c r="Q11" s="26" t="n">
        <f aca="false">O11/(1-P11)</f>
        <v>0.0271186440677966</v>
      </c>
    </row>
    <row r="12" customFormat="false" ht="15" hidden="false" customHeight="false" outlineLevel="0" collapsed="false">
      <c r="A12" s="10" t="s">
        <v>113</v>
      </c>
      <c r="B12" s="20" t="s">
        <v>114</v>
      </c>
      <c r="C12" s="20" t="s">
        <v>100</v>
      </c>
      <c r="D12" s="20" t="s">
        <v>115</v>
      </c>
      <c r="E12" s="21" t="n">
        <v>120</v>
      </c>
      <c r="F12" s="10" t="s">
        <v>106</v>
      </c>
      <c r="G12" s="8" t="s">
        <v>81</v>
      </c>
      <c r="H12" s="8" t="s">
        <v>82</v>
      </c>
      <c r="I12" s="22" t="n">
        <v>7.5</v>
      </c>
      <c r="J12" s="23" t="n">
        <f aca="false">IF(AND(G12="Sí",H12="Factura"),I12-I12/(1+Parámetros!C5),0)</f>
        <v>1.14406779661017</v>
      </c>
      <c r="K12" s="23" t="n">
        <f aca="false">I12-J12</f>
        <v>6.35593220338983</v>
      </c>
      <c r="L12" s="10" t="s">
        <v>106</v>
      </c>
      <c r="M12" s="14" t="n">
        <v>1</v>
      </c>
      <c r="N12" s="24" t="n">
        <f aca="false">E12*M12</f>
        <v>120</v>
      </c>
      <c r="O12" s="25" t="n">
        <f aca="false">K12/N12</f>
        <v>0.0529661016949153</v>
      </c>
      <c r="P12" s="13" t="n">
        <v>0</v>
      </c>
      <c r="Q12" s="26" t="n">
        <f aca="false">O12/(1-P12)</f>
        <v>0.0529661016949153</v>
      </c>
    </row>
    <row r="13" customFormat="false" ht="15" hidden="false" customHeight="false" outlineLevel="0" collapsed="false">
      <c r="A13" s="10" t="s">
        <v>116</v>
      </c>
      <c r="B13" s="20" t="s">
        <v>117</v>
      </c>
      <c r="C13" s="20" t="s">
        <v>90</v>
      </c>
      <c r="D13" s="20" t="s">
        <v>101</v>
      </c>
      <c r="E13" s="21" t="n">
        <v>1</v>
      </c>
      <c r="F13" s="10" t="s">
        <v>80</v>
      </c>
      <c r="G13" s="8" t="s">
        <v>81</v>
      </c>
      <c r="H13" s="8" t="s">
        <v>94</v>
      </c>
      <c r="I13" s="22" t="n">
        <v>2.5</v>
      </c>
      <c r="J13" s="23" t="n">
        <f aca="false">IF(AND(G13="Sí",H13="Factura"),I13-I13/(1+Parámetros!C5),0)</f>
        <v>0</v>
      </c>
      <c r="K13" s="23" t="n">
        <f aca="false">I13-J13</f>
        <v>2.5</v>
      </c>
      <c r="L13" s="10" t="s">
        <v>83</v>
      </c>
      <c r="M13" s="14" t="n">
        <v>1000</v>
      </c>
      <c r="N13" s="24" t="n">
        <f aca="false">E13*M13</f>
        <v>1000</v>
      </c>
      <c r="O13" s="25" t="n">
        <f aca="false">K13/N13</f>
        <v>0.0025</v>
      </c>
      <c r="P13" s="13" t="n">
        <v>0</v>
      </c>
      <c r="Q13" s="26" t="n">
        <f aca="false">O13/(1-P13)</f>
        <v>0.0025</v>
      </c>
    </row>
    <row r="14" customFormat="false" ht="15" hidden="false" customHeight="false" outlineLevel="0" collapsed="false">
      <c r="A14" s="10" t="s">
        <v>118</v>
      </c>
      <c r="B14" s="20" t="s">
        <v>119</v>
      </c>
      <c r="C14" s="20" t="s">
        <v>100</v>
      </c>
      <c r="D14" s="20" t="s">
        <v>120</v>
      </c>
      <c r="E14" s="21" t="n">
        <v>1</v>
      </c>
      <c r="F14" s="10" t="s">
        <v>80</v>
      </c>
      <c r="G14" s="8" t="s">
        <v>81</v>
      </c>
      <c r="H14" s="8" t="s">
        <v>82</v>
      </c>
      <c r="I14" s="22" t="n">
        <v>42</v>
      </c>
      <c r="J14" s="23" t="n">
        <f aca="false">IF(AND(G14="Sí",H14="Factura"),I14-I14/(1+Parámetros!C5),0)</f>
        <v>6.40677966101695</v>
      </c>
      <c r="K14" s="23" t="n">
        <f aca="false">I14-J14</f>
        <v>35.5932203389831</v>
      </c>
      <c r="L14" s="10" t="s">
        <v>83</v>
      </c>
      <c r="M14" s="14" t="n">
        <v>1000</v>
      </c>
      <c r="N14" s="24" t="n">
        <f aca="false">E14*M14</f>
        <v>1000</v>
      </c>
      <c r="O14" s="25" t="n">
        <f aca="false">K14/N14</f>
        <v>0.0355932203389831</v>
      </c>
      <c r="P14" s="13" t="n">
        <v>0.01</v>
      </c>
      <c r="Q14" s="26" t="n">
        <f aca="false">O14/(1-P14)</f>
        <v>0.0359527478171546</v>
      </c>
    </row>
    <row r="15" customFormat="false" ht="15" hidden="false" customHeight="false" outlineLevel="0" collapsed="false">
      <c r="A15" s="10" t="s">
        <v>121</v>
      </c>
      <c r="B15" s="20" t="s">
        <v>122</v>
      </c>
      <c r="C15" s="20" t="s">
        <v>86</v>
      </c>
      <c r="D15" s="20" t="s">
        <v>104</v>
      </c>
      <c r="E15" s="21" t="n">
        <v>1</v>
      </c>
      <c r="F15" s="10" t="s">
        <v>105</v>
      </c>
      <c r="G15" s="8" t="s">
        <v>81</v>
      </c>
      <c r="H15" s="8" t="s">
        <v>82</v>
      </c>
      <c r="I15" s="22" t="n">
        <v>18</v>
      </c>
      <c r="J15" s="23" t="n">
        <f aca="false">IF(AND(G15="Sí",H15="Factura"),I15-I15/(1+Parámetros!C5),0)</f>
        <v>2.74576271186441</v>
      </c>
      <c r="K15" s="23" t="n">
        <f aca="false">I15-J15</f>
        <v>15.2542372881356</v>
      </c>
      <c r="L15" s="10" t="s">
        <v>106</v>
      </c>
      <c r="M15" s="14" t="n">
        <v>1000</v>
      </c>
      <c r="N15" s="24" t="n">
        <f aca="false">E15*M15</f>
        <v>1000</v>
      </c>
      <c r="O15" s="25" t="n">
        <f aca="false">K15/N15</f>
        <v>0.0152542372881356</v>
      </c>
      <c r="P15" s="13" t="n">
        <v>0.02</v>
      </c>
      <c r="Q15" s="26" t="n">
        <f aca="false">O15/(1-P15)</f>
        <v>0.0155655482531996</v>
      </c>
    </row>
    <row r="16" customFormat="false" ht="15" hidden="false" customHeight="false" outlineLevel="0" collapsed="false">
      <c r="A16" s="10" t="s">
        <v>123</v>
      </c>
      <c r="B16" s="20" t="s">
        <v>124</v>
      </c>
      <c r="C16" s="20" t="s">
        <v>86</v>
      </c>
      <c r="D16" s="20" t="s">
        <v>125</v>
      </c>
      <c r="E16" s="21" t="n">
        <v>1.8</v>
      </c>
      <c r="F16" s="10" t="s">
        <v>80</v>
      </c>
      <c r="G16" s="8" t="s">
        <v>81</v>
      </c>
      <c r="H16" s="8" t="s">
        <v>82</v>
      </c>
      <c r="I16" s="22" t="n">
        <v>46</v>
      </c>
      <c r="J16" s="23" t="n">
        <f aca="false">IF(AND(G16="Sí",H16="Factura"),I16-I16/(1+Parámetros!C5),0)</f>
        <v>7.01694915254237</v>
      </c>
      <c r="K16" s="23" t="n">
        <f aca="false">I16-J16</f>
        <v>38.9830508474576</v>
      </c>
      <c r="L16" s="10" t="s">
        <v>83</v>
      </c>
      <c r="M16" s="14" t="n">
        <v>1000</v>
      </c>
      <c r="N16" s="24" t="n">
        <f aca="false">E16*M16</f>
        <v>1800</v>
      </c>
      <c r="O16" s="25" t="n">
        <f aca="false">K16/N16</f>
        <v>0.0216572504708098</v>
      </c>
      <c r="P16" s="13" t="n">
        <v>0</v>
      </c>
      <c r="Q16" s="26" t="n">
        <f aca="false">O16/(1-P16)</f>
        <v>0.0216572504708098</v>
      </c>
    </row>
    <row r="17" customFormat="false" ht="15" hidden="false" customHeight="false" outlineLevel="0" collapsed="false">
      <c r="A17" s="10" t="s">
        <v>126</v>
      </c>
      <c r="B17" s="20" t="s">
        <v>127</v>
      </c>
      <c r="C17" s="20" t="s">
        <v>86</v>
      </c>
      <c r="D17" s="20" t="s">
        <v>128</v>
      </c>
      <c r="E17" s="21" t="n">
        <v>400</v>
      </c>
      <c r="F17" s="10" t="s">
        <v>83</v>
      </c>
      <c r="G17" s="8" t="s">
        <v>81</v>
      </c>
      <c r="H17" s="8" t="s">
        <v>94</v>
      </c>
      <c r="I17" s="22" t="n">
        <v>6.5</v>
      </c>
      <c r="J17" s="23" t="n">
        <f aca="false">IF(AND(G17="Sí",H17="Factura"),I17-I17/(1+Parámetros!C5),0)</f>
        <v>0</v>
      </c>
      <c r="K17" s="23" t="n">
        <f aca="false">I17-J17</f>
        <v>6.5</v>
      </c>
      <c r="L17" s="10" t="s">
        <v>83</v>
      </c>
      <c r="M17" s="14" t="n">
        <v>1</v>
      </c>
      <c r="N17" s="24" t="n">
        <f aca="false">E17*M17</f>
        <v>400</v>
      </c>
      <c r="O17" s="25" t="n">
        <f aca="false">K17/N17</f>
        <v>0.01625</v>
      </c>
      <c r="P17" s="13" t="n">
        <v>0.03</v>
      </c>
      <c r="Q17" s="26" t="n">
        <f aca="false">O17/(1-P17)</f>
        <v>0.0167525773195876</v>
      </c>
    </row>
    <row r="18" customFormat="false" ht="15" hidden="false" customHeight="false" outlineLevel="0" collapsed="false">
      <c r="A18" s="10" t="s">
        <v>129</v>
      </c>
      <c r="B18" s="20" t="s">
        <v>130</v>
      </c>
      <c r="C18" s="20" t="s">
        <v>90</v>
      </c>
      <c r="D18" s="20" t="s">
        <v>131</v>
      </c>
      <c r="E18" s="21" t="n">
        <v>1</v>
      </c>
      <c r="F18" s="10" t="s">
        <v>80</v>
      </c>
      <c r="G18" s="8" t="s">
        <v>93</v>
      </c>
      <c r="H18" s="8" t="s">
        <v>94</v>
      </c>
      <c r="I18" s="22" t="n">
        <v>9</v>
      </c>
      <c r="J18" s="23" t="n">
        <f aca="false">IF(AND(G18="Sí",H18="Factura"),I18-I18/(1+Parámetros!C5),0)</f>
        <v>0</v>
      </c>
      <c r="K18" s="23" t="n">
        <f aca="false">I18-J18</f>
        <v>9</v>
      </c>
      <c r="L18" s="10" t="s">
        <v>83</v>
      </c>
      <c r="M18" s="14" t="n">
        <v>1000</v>
      </c>
      <c r="N18" s="24" t="n">
        <f aca="false">E18*M18</f>
        <v>1000</v>
      </c>
      <c r="O18" s="25" t="n">
        <f aca="false">K18/N18</f>
        <v>0.009</v>
      </c>
      <c r="P18" s="13" t="n">
        <v>0.12</v>
      </c>
      <c r="Q18" s="26" t="n">
        <f aca="false">O18/(1-P18)</f>
        <v>0.0102272727272727</v>
      </c>
    </row>
    <row r="19" customFormat="false" ht="15" hidden="false" customHeight="false" outlineLevel="0" collapsed="false">
      <c r="A19" s="10" t="s">
        <v>132</v>
      </c>
      <c r="B19" s="20" t="s">
        <v>133</v>
      </c>
      <c r="C19" s="20" t="s">
        <v>100</v>
      </c>
      <c r="D19" s="20" t="s">
        <v>134</v>
      </c>
      <c r="E19" s="21" t="n">
        <v>250</v>
      </c>
      <c r="F19" s="10" t="s">
        <v>83</v>
      </c>
      <c r="G19" s="8" t="s">
        <v>81</v>
      </c>
      <c r="H19" s="8" t="s">
        <v>82</v>
      </c>
      <c r="I19" s="22" t="n">
        <v>12</v>
      </c>
      <c r="J19" s="23" t="n">
        <f aca="false">IF(AND(G19="Sí",H19="Factura"),I19-I19/(1+Parámetros!C5),0)</f>
        <v>1.83050847457627</v>
      </c>
      <c r="K19" s="23" t="n">
        <f aca="false">I19-J19</f>
        <v>10.1694915254237</v>
      </c>
      <c r="L19" s="10" t="s">
        <v>83</v>
      </c>
      <c r="M19" s="14" t="n">
        <v>1</v>
      </c>
      <c r="N19" s="24" t="n">
        <f aca="false">E19*M19</f>
        <v>250</v>
      </c>
      <c r="O19" s="25" t="n">
        <f aca="false">K19/N19</f>
        <v>0.0406779661016949</v>
      </c>
      <c r="P19" s="13" t="n">
        <v>0</v>
      </c>
      <c r="Q19" s="26" t="n">
        <f aca="false">O19/(1-P19)</f>
        <v>0.0406779661016949</v>
      </c>
    </row>
    <row r="20" customFormat="false" ht="15" hidden="false" customHeight="false" outlineLevel="0" collapsed="false">
      <c r="A20" s="10" t="s">
        <v>135</v>
      </c>
      <c r="B20" s="20" t="s">
        <v>136</v>
      </c>
      <c r="C20" s="20" t="s">
        <v>100</v>
      </c>
      <c r="D20" s="20" t="s">
        <v>101</v>
      </c>
      <c r="E20" s="21" t="n">
        <v>1</v>
      </c>
      <c r="F20" s="10" t="s">
        <v>80</v>
      </c>
      <c r="G20" s="8" t="s">
        <v>81</v>
      </c>
      <c r="H20" s="8" t="s">
        <v>82</v>
      </c>
      <c r="I20" s="22" t="n">
        <v>7.5</v>
      </c>
      <c r="J20" s="23" t="n">
        <f aca="false">IF(AND(G20="Sí",H20="Factura"),I20-I20/(1+Parámetros!C5),0)</f>
        <v>1.14406779661017</v>
      </c>
      <c r="K20" s="23" t="n">
        <f aca="false">I20-J20</f>
        <v>6.35593220338983</v>
      </c>
      <c r="L20" s="10" t="s">
        <v>83</v>
      </c>
      <c r="M20" s="14" t="n">
        <v>1000</v>
      </c>
      <c r="N20" s="24" t="n">
        <f aca="false">E20*M20</f>
        <v>1000</v>
      </c>
      <c r="O20" s="25" t="n">
        <f aca="false">K20/N20</f>
        <v>0.00635593220338983</v>
      </c>
      <c r="P20" s="13" t="n">
        <v>0.01</v>
      </c>
      <c r="Q20" s="26" t="n">
        <f aca="false">O20/(1-P20)</f>
        <v>0.00642013353877761</v>
      </c>
    </row>
    <row r="21" customFormat="false" ht="15" hidden="false" customHeight="false" outlineLevel="0" collapsed="false">
      <c r="A21" s="10" t="s">
        <v>137</v>
      </c>
      <c r="B21" s="20" t="s">
        <v>138</v>
      </c>
      <c r="C21" s="20" t="s">
        <v>139</v>
      </c>
      <c r="D21" s="20" t="s">
        <v>140</v>
      </c>
      <c r="E21" s="21" t="n">
        <v>25</v>
      </c>
      <c r="F21" s="10" t="s">
        <v>92</v>
      </c>
      <c r="G21" s="8" t="s">
        <v>81</v>
      </c>
      <c r="H21" s="8" t="s">
        <v>82</v>
      </c>
      <c r="I21" s="22" t="n">
        <v>20</v>
      </c>
      <c r="J21" s="23" t="n">
        <f aca="false">IF(AND(G21="Sí",H21="Factura"),I21-I21/(1+Parámetros!C5),0)</f>
        <v>3.05084745762712</v>
      </c>
      <c r="K21" s="23" t="n">
        <f aca="false">I21-J21</f>
        <v>16.9491525423729</v>
      </c>
      <c r="L21" s="10" t="s">
        <v>92</v>
      </c>
      <c r="M21" s="14" t="n">
        <v>1</v>
      </c>
      <c r="N21" s="24" t="n">
        <f aca="false">E21*M21</f>
        <v>25</v>
      </c>
      <c r="O21" s="25" t="n">
        <f aca="false">K21/N21</f>
        <v>0.677966101694915</v>
      </c>
      <c r="P21" s="13" t="n">
        <v>0</v>
      </c>
      <c r="Q21" s="26" t="n">
        <f aca="false">O21/(1-P21)</f>
        <v>0.677966101694915</v>
      </c>
    </row>
    <row r="22" customFormat="false" ht="15" hidden="false" customHeight="false" outlineLevel="0" collapsed="false">
      <c r="A22" s="10" t="s">
        <v>141</v>
      </c>
      <c r="B22" s="20" t="s">
        <v>142</v>
      </c>
      <c r="C22" s="20" t="s">
        <v>139</v>
      </c>
      <c r="D22" s="20" t="s">
        <v>140</v>
      </c>
      <c r="E22" s="21" t="n">
        <v>25</v>
      </c>
      <c r="F22" s="10" t="s">
        <v>92</v>
      </c>
      <c r="G22" s="8" t="s">
        <v>81</v>
      </c>
      <c r="H22" s="8" t="s">
        <v>82</v>
      </c>
      <c r="I22" s="22" t="n">
        <v>62.5</v>
      </c>
      <c r="J22" s="23" t="n">
        <f aca="false">IF(AND(G22="Sí",H22="Factura"),I22-I22/(1+Parámetros!C5),0)</f>
        <v>9.53389830508474</v>
      </c>
      <c r="K22" s="23" t="n">
        <f aca="false">I22-J22</f>
        <v>52.9661016949153</v>
      </c>
      <c r="L22" s="10" t="s">
        <v>92</v>
      </c>
      <c r="M22" s="14" t="n">
        <v>1</v>
      </c>
      <c r="N22" s="24" t="n">
        <f aca="false">E22*M22</f>
        <v>25</v>
      </c>
      <c r="O22" s="25" t="n">
        <f aca="false">K22/N22</f>
        <v>2.11864406779661</v>
      </c>
      <c r="P22" s="13" t="n">
        <v>0</v>
      </c>
      <c r="Q22" s="26" t="n">
        <f aca="false">O22/(1-P22)</f>
        <v>2.11864406779661</v>
      </c>
    </row>
    <row r="23" customFormat="false" ht="15" hidden="false" customHeight="false" outlineLevel="0" collapsed="false">
      <c r="A23" s="10" t="s">
        <v>143</v>
      </c>
      <c r="B23" s="20" t="s">
        <v>144</v>
      </c>
      <c r="C23" s="20" t="s">
        <v>145</v>
      </c>
      <c r="D23" s="20" t="s">
        <v>146</v>
      </c>
      <c r="E23" s="21" t="n">
        <v>500</v>
      </c>
      <c r="F23" s="10" t="s">
        <v>92</v>
      </c>
      <c r="G23" s="8" t="s">
        <v>81</v>
      </c>
      <c r="H23" s="8" t="s">
        <v>82</v>
      </c>
      <c r="I23" s="22" t="n">
        <v>45</v>
      </c>
      <c r="J23" s="23" t="n">
        <f aca="false">IF(AND(G23="Sí",H23="Factura"),I23-I23/(1+Parámetros!C5),0)</f>
        <v>6.86440677966102</v>
      </c>
      <c r="K23" s="23" t="n">
        <f aca="false">I23-J23</f>
        <v>38.135593220339</v>
      </c>
      <c r="L23" s="10" t="s">
        <v>92</v>
      </c>
      <c r="M23" s="14" t="n">
        <v>1</v>
      </c>
      <c r="N23" s="24" t="n">
        <f aca="false">E23*M23</f>
        <v>500</v>
      </c>
      <c r="O23" s="25" t="n">
        <f aca="false">K23/N23</f>
        <v>0.076271186440678</v>
      </c>
      <c r="P23" s="13" t="n">
        <v>0.02</v>
      </c>
      <c r="Q23" s="26" t="n">
        <f aca="false">O23/(1-P23)</f>
        <v>0.0778277412659979</v>
      </c>
    </row>
    <row r="24" customFormat="false" ht="15" hidden="false" customHeight="false" outlineLevel="0" collapsed="false">
      <c r="A24" s="10" t="s">
        <v>147</v>
      </c>
      <c r="B24" s="20" t="s">
        <v>148</v>
      </c>
      <c r="C24" s="20" t="s">
        <v>139</v>
      </c>
      <c r="D24" s="20" t="s">
        <v>149</v>
      </c>
      <c r="E24" s="21" t="n">
        <v>50</v>
      </c>
      <c r="F24" s="10" t="s">
        <v>92</v>
      </c>
      <c r="G24" s="8" t="s">
        <v>81</v>
      </c>
      <c r="H24" s="8" t="s">
        <v>82</v>
      </c>
      <c r="I24" s="22" t="n">
        <v>90</v>
      </c>
      <c r="J24" s="23" t="n">
        <f aca="false">IF(AND(G24="Sí",H24="Factura"),I24-I24/(1+Parámetros!C5),0)</f>
        <v>13.728813559322</v>
      </c>
      <c r="K24" s="23" t="n">
        <f aca="false">I24-J24</f>
        <v>76.271186440678</v>
      </c>
      <c r="L24" s="10" t="s">
        <v>92</v>
      </c>
      <c r="M24" s="14" t="n">
        <v>1</v>
      </c>
      <c r="N24" s="24" t="n">
        <f aca="false">E24*M24</f>
        <v>50</v>
      </c>
      <c r="O24" s="25" t="n">
        <f aca="false">K24/N24</f>
        <v>1.52542372881356</v>
      </c>
      <c r="P24" s="13" t="n">
        <v>0</v>
      </c>
      <c r="Q24" s="26" t="n">
        <f aca="false">O24/(1-P24)</f>
        <v>1.52542372881356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24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3" t="s">
        <v>151</v>
      </c>
      <c r="B3" s="4" t="s">
        <v>152</v>
      </c>
      <c r="C3" s="4"/>
      <c r="D3" s="4"/>
    </row>
    <row r="4" customFormat="false" ht="15" hidden="false" customHeight="true" outlineLevel="0" collapsed="false">
      <c r="A4" s="3" t="s">
        <v>153</v>
      </c>
      <c r="B4" s="4" t="s">
        <v>154</v>
      </c>
      <c r="C4" s="4"/>
      <c r="D4" s="4"/>
    </row>
    <row r="5" customFormat="false" ht="22.35" hidden="false" customHeight="true" outlineLevel="0" collapsed="false">
      <c r="A5" s="3" t="s">
        <v>155</v>
      </c>
      <c r="B5" s="4" t="s">
        <v>156</v>
      </c>
      <c r="C5" s="4"/>
      <c r="D5" s="4"/>
    </row>
    <row r="6" customFormat="false" ht="15" hidden="false" customHeight="true" outlineLevel="0" collapsed="false">
      <c r="A6" s="3" t="s">
        <v>157</v>
      </c>
      <c r="B6" s="4" t="s">
        <v>158</v>
      </c>
      <c r="C6" s="4"/>
      <c r="D6" s="4"/>
    </row>
    <row r="8" customFormat="false" ht="30" hidden="false" customHeight="true" outlineLevel="0" collapsed="false">
      <c r="A8" s="19" t="s">
        <v>59</v>
      </c>
      <c r="B8" s="19" t="s">
        <v>60</v>
      </c>
      <c r="C8" s="19" t="s">
        <v>159</v>
      </c>
      <c r="D8" s="19" t="s">
        <v>160</v>
      </c>
      <c r="E8" s="19" t="s">
        <v>75</v>
      </c>
      <c r="F8" s="19" t="s">
        <v>161</v>
      </c>
      <c r="G8" s="19" t="s">
        <v>162</v>
      </c>
    </row>
    <row r="9" customFormat="false" ht="15" hidden="false" customHeight="true" outlineLevel="0" collapsed="false">
      <c r="A9" s="5" t="s">
        <v>163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8" t="s">
        <v>76</v>
      </c>
      <c r="B10" s="27" t="str">
        <f aca="false">INDEX('Compra de Insumos'!$B$4:$B$24,MATCH(A10,'Compra de Insumos'!$A$4:$A$24,0))</f>
        <v>Harina sin preparar</v>
      </c>
      <c r="C10" s="21" t="n">
        <v>500</v>
      </c>
      <c r="D10" s="9" t="str">
        <f aca="false">INDEX('Compra de Insumos'!$L$4:$L$24,MATCH(A10,'Compra de Insumos'!$A$4:$A$24,0))</f>
        <v>g</v>
      </c>
      <c r="E10" s="28" t="n">
        <f aca="false">INDEX('Compra de Insumos'!$Q$4:$Q$24,MATCH(A10,'Compra de Insumos'!$A$4:$A$24,0))</f>
        <v>0.00285368384641992</v>
      </c>
      <c r="F10" s="23" t="n">
        <f aca="false">C10*E10</f>
        <v>1.42684192320996</v>
      </c>
      <c r="G10" s="15" t="n">
        <f aca="false">F10/F28</f>
        <v>0.0498488949878868</v>
      </c>
    </row>
    <row r="11" customFormat="false" ht="15" hidden="false" customHeight="false" outlineLevel="0" collapsed="false">
      <c r="A11" s="8" t="s">
        <v>84</v>
      </c>
      <c r="B11" s="27" t="str">
        <f aca="false">INDEX('Compra de Insumos'!$B$4:$B$24,MATCH(A11,'Compra de Insumos'!$A$4:$A$24,0))</f>
        <v>Azúcar blanca</v>
      </c>
      <c r="C11" s="21" t="n">
        <v>400</v>
      </c>
      <c r="D11" s="9" t="str">
        <f aca="false">INDEX('Compra de Insumos'!$L$4:$L$24,MATCH(A11,'Compra de Insumos'!$A$4:$A$24,0))</f>
        <v>g</v>
      </c>
      <c r="E11" s="28" t="n">
        <f aca="false">INDEX('Compra de Insumos'!$Q$4:$Q$24,MATCH(A11,'Compra de Insumos'!$A$4:$A$24,0))</f>
        <v>0.00385208012326656</v>
      </c>
      <c r="F11" s="23" t="n">
        <f aca="false">C11*E11</f>
        <v>1.54083204930663</v>
      </c>
      <c r="G11" s="15" t="n">
        <f aca="false">F11/F28</f>
        <v>0.0538313135957345</v>
      </c>
    </row>
    <row r="12" customFormat="false" ht="15" hidden="false" customHeight="false" outlineLevel="0" collapsed="false">
      <c r="A12" s="8" t="s">
        <v>98</v>
      </c>
      <c r="B12" s="27" t="str">
        <f aca="false">INDEX('Compra de Insumos'!$B$4:$B$24,MATCH(A12,'Compra de Insumos'!$A$4:$A$24,0))</f>
        <v>Cacao en polvo</v>
      </c>
      <c r="C12" s="21" t="n">
        <v>90</v>
      </c>
      <c r="D12" s="9" t="str">
        <f aca="false">INDEX('Compra de Insumos'!$L$4:$L$24,MATCH(A12,'Compra de Insumos'!$A$4:$A$24,0))</f>
        <v>g</v>
      </c>
      <c r="E12" s="28" t="n">
        <f aca="false">INDEX('Compra de Insumos'!$Q$4:$Q$24,MATCH(A12,'Compra de Insumos'!$A$4:$A$24,0))</f>
        <v>0.0325286765964732</v>
      </c>
      <c r="F12" s="23" t="n">
        <f aca="false">C12*E12</f>
        <v>2.92758089368259</v>
      </c>
      <c r="G12" s="15" t="n">
        <f aca="false">F12/F28</f>
        <v>0.102279495831896</v>
      </c>
    </row>
    <row r="13" customFormat="false" ht="15" hidden="false" customHeight="false" outlineLevel="0" collapsed="false">
      <c r="A13" s="8" t="s">
        <v>88</v>
      </c>
      <c r="B13" s="27" t="str">
        <f aca="false">INDEX('Compra de Insumos'!$B$4:$B$24,MATCH(A13,'Compra de Insumos'!$A$4:$A$24,0))</f>
        <v>Huevos de gallina</v>
      </c>
      <c r="C13" s="21" t="n">
        <v>5</v>
      </c>
      <c r="D13" s="9" t="str">
        <f aca="false">INDEX('Compra de Insumos'!$L$4:$L$24,MATCH(A13,'Compra de Insumos'!$A$4:$A$24,0))</f>
        <v>unid</v>
      </c>
      <c r="E13" s="28" t="n">
        <f aca="false">INDEX('Compra de Insumos'!$Q$4:$Q$24,MATCH(A13,'Compra de Insumos'!$A$4:$A$24,0))</f>
        <v>0.515463917525773</v>
      </c>
      <c r="F13" s="23" t="n">
        <f aca="false">C13*E13</f>
        <v>2.57731958762887</v>
      </c>
      <c r="G13" s="15" t="n">
        <f aca="false">F13/F28</f>
        <v>0.0900425838237931</v>
      </c>
    </row>
    <row r="14" customFormat="false" ht="15" hidden="false" customHeight="false" outlineLevel="0" collapsed="false">
      <c r="A14" s="8" t="s">
        <v>95</v>
      </c>
      <c r="B14" s="27" t="str">
        <f aca="false">INDEX('Compra de Insumos'!$B$4:$B$24,MATCH(A14,'Compra de Insumos'!$A$4:$A$24,0))</f>
        <v>Mantequilla sin sal</v>
      </c>
      <c r="C14" s="21" t="n">
        <v>150</v>
      </c>
      <c r="D14" s="9" t="str">
        <f aca="false">INDEX('Compra de Insumos'!$L$4:$L$24,MATCH(A14,'Compra de Insumos'!$A$4:$A$24,0))</f>
        <v>g</v>
      </c>
      <c r="E14" s="28" t="n">
        <f aca="false">INDEX('Compra de Insumos'!$Q$4:$Q$24,MATCH(A14,'Compra de Insumos'!$A$4:$A$24,0))</f>
        <v>0.0288135593220339</v>
      </c>
      <c r="F14" s="23" t="n">
        <f aca="false">C14*E14</f>
        <v>4.32203389830509</v>
      </c>
      <c r="G14" s="15" t="n">
        <f aca="false">F14/F28</f>
        <v>0.150996834636035</v>
      </c>
    </row>
    <row r="15" customFormat="false" ht="15" hidden="false" customHeight="false" outlineLevel="0" collapsed="false">
      <c r="A15" s="8" t="s">
        <v>107</v>
      </c>
      <c r="B15" s="27" t="str">
        <f aca="false">INDEX('Compra de Insumos'!$B$4:$B$24,MATCH(A15,'Compra de Insumos'!$A$4:$A$24,0))</f>
        <v>Aceite vegetal</v>
      </c>
      <c r="C15" s="21" t="n">
        <v>80</v>
      </c>
      <c r="D15" s="9" t="str">
        <f aca="false">INDEX('Compra de Insumos'!$L$4:$L$24,MATCH(A15,'Compra de Insumos'!$A$4:$A$24,0))</f>
        <v>ml</v>
      </c>
      <c r="E15" s="28" t="n">
        <f aca="false">INDEX('Compra de Insumos'!$Q$4:$Q$24,MATCH(A15,'Compra de Insumos'!$A$4:$A$24,0))</f>
        <v>0.00805084745762712</v>
      </c>
      <c r="F15" s="23" t="n">
        <f aca="false">C15*E15</f>
        <v>0.64406779661017</v>
      </c>
      <c r="G15" s="15" t="n">
        <f aca="false">F15/F28</f>
        <v>0.022501489083017</v>
      </c>
    </row>
    <row r="16" customFormat="false" ht="15" hidden="false" customHeight="false" outlineLevel="0" collapsed="false">
      <c r="A16" s="8" t="s">
        <v>102</v>
      </c>
      <c r="B16" s="27" t="str">
        <f aca="false">INDEX('Compra de Insumos'!$B$4:$B$24,MATCH(A16,'Compra de Insumos'!$A$4:$A$24,0))</f>
        <v>Leche entera UHT</v>
      </c>
      <c r="C16" s="21" t="n">
        <v>240</v>
      </c>
      <c r="D16" s="9" t="str">
        <f aca="false">INDEX('Compra de Insumos'!$L$4:$L$24,MATCH(A16,'Compra de Insumos'!$A$4:$A$24,0))</f>
        <v>ml</v>
      </c>
      <c r="E16" s="28" t="n">
        <f aca="false">INDEX('Compra de Insumos'!$Q$4:$Q$24,MATCH(A16,'Compra de Insumos'!$A$4:$A$24,0))</f>
        <v>0.00440677966101695</v>
      </c>
      <c r="F16" s="23" t="n">
        <f aca="false">C16*E16</f>
        <v>1.05762711864407</v>
      </c>
      <c r="G16" s="15" t="n">
        <f aca="false">F16/F28</f>
        <v>0.0369498136521122</v>
      </c>
    </row>
    <row r="17" customFormat="false" ht="15" hidden="false" customHeight="false" outlineLevel="0" collapsed="false">
      <c r="A17" s="8" t="s">
        <v>110</v>
      </c>
      <c r="B17" s="27" t="str">
        <f aca="false">INDEX('Compra de Insumos'!$B$4:$B$24,MATCH(A17,'Compra de Insumos'!$A$4:$A$24,0))</f>
        <v>Polvo de hornear</v>
      </c>
      <c r="C17" s="21" t="n">
        <v>15</v>
      </c>
      <c r="D17" s="9" t="str">
        <f aca="false">INDEX('Compra de Insumos'!$L$4:$L$24,MATCH(A17,'Compra de Insumos'!$A$4:$A$24,0))</f>
        <v>g</v>
      </c>
      <c r="E17" s="28" t="n">
        <f aca="false">INDEX('Compra de Insumos'!$Q$4:$Q$24,MATCH(A17,'Compra de Insumos'!$A$4:$A$24,0))</f>
        <v>0.0271186440677966</v>
      </c>
      <c r="F17" s="23" t="n">
        <f aca="false">C17*E17</f>
        <v>0.406779661016949</v>
      </c>
      <c r="G17" s="15" t="n">
        <f aca="false">F17/F28</f>
        <v>0.0142114667892739</v>
      </c>
    </row>
    <row r="18" customFormat="false" ht="15" hidden="false" customHeight="false" outlineLevel="0" collapsed="false">
      <c r="A18" s="8" t="s">
        <v>113</v>
      </c>
      <c r="B18" s="27" t="str">
        <f aca="false">INDEX('Compra de Insumos'!$B$4:$B$24,MATCH(A18,'Compra de Insumos'!$A$4:$A$24,0))</f>
        <v>Esencia de vainilla</v>
      </c>
      <c r="C18" s="21" t="n">
        <v>10</v>
      </c>
      <c r="D18" s="9" t="str">
        <f aca="false">INDEX('Compra de Insumos'!$L$4:$L$24,MATCH(A18,'Compra de Insumos'!$A$4:$A$24,0))</f>
        <v>ml</v>
      </c>
      <c r="E18" s="28" t="n">
        <f aca="false">INDEX('Compra de Insumos'!$Q$4:$Q$24,MATCH(A18,'Compra de Insumos'!$A$4:$A$24,0))</f>
        <v>0.0529661016949153</v>
      </c>
      <c r="F18" s="23" t="n">
        <f aca="false">C18*E18</f>
        <v>0.529661016949153</v>
      </c>
      <c r="G18" s="15" t="n">
        <f aca="false">F18/F28</f>
        <v>0.0185045140485337</v>
      </c>
    </row>
    <row r="19" customFormat="false" ht="15" hidden="false" customHeight="false" outlineLevel="0" collapsed="false">
      <c r="A19" s="8" t="s">
        <v>116</v>
      </c>
      <c r="B19" s="27" t="str">
        <f aca="false">INDEX('Compra de Insumos'!$B$4:$B$24,MATCH(A19,'Compra de Insumos'!$A$4:$A$24,0))</f>
        <v>Sal</v>
      </c>
      <c r="C19" s="21" t="n">
        <v>5</v>
      </c>
      <c r="D19" s="9" t="str">
        <f aca="false">INDEX('Compra de Insumos'!$L$4:$L$24,MATCH(A19,'Compra de Insumos'!$A$4:$A$24,0))</f>
        <v>g</v>
      </c>
      <c r="E19" s="28" t="n">
        <f aca="false">INDEX('Compra de Insumos'!$Q$4:$Q$24,MATCH(A19,'Compra de Insumos'!$A$4:$A$24,0))</f>
        <v>0.0025</v>
      </c>
      <c r="F19" s="23" t="n">
        <f aca="false">C19*E19</f>
        <v>0.0125</v>
      </c>
      <c r="G19" s="15" t="n">
        <f aca="false">F19/F28</f>
        <v>0.000436706531545396</v>
      </c>
    </row>
    <row r="20" customFormat="false" ht="15" hidden="false" customHeight="false" outlineLevel="0" collapsed="false">
      <c r="A20" s="8" t="s">
        <v>118</v>
      </c>
      <c r="B20" s="27" t="str">
        <f aca="false">INDEX('Compra de Insumos'!$B$4:$B$24,MATCH(A20,'Compra de Insumos'!$A$4:$A$24,0))</f>
        <v>Chocolate cobertura bitter</v>
      </c>
      <c r="C20" s="21" t="n">
        <v>200</v>
      </c>
      <c r="D20" s="9" t="str">
        <f aca="false">INDEX('Compra de Insumos'!$L$4:$L$24,MATCH(A20,'Compra de Insumos'!$A$4:$A$24,0))</f>
        <v>g</v>
      </c>
      <c r="E20" s="28" t="n">
        <f aca="false">INDEX('Compra de Insumos'!$Q$4:$Q$24,MATCH(A20,'Compra de Insumos'!$A$4:$A$24,0))</f>
        <v>0.0359527478171546</v>
      </c>
      <c r="F20" s="23" t="n">
        <f aca="false">C20*E20</f>
        <v>7.19054956343092</v>
      </c>
      <c r="G20" s="15" t="n">
        <f aca="false">F20/F28</f>
        <v>0.251212796780095</v>
      </c>
    </row>
    <row r="21" customFormat="false" ht="15" hidden="false" customHeight="false" outlineLevel="0" collapsed="false">
      <c r="A21" s="8" t="s">
        <v>121</v>
      </c>
      <c r="B21" s="27" t="str">
        <f aca="false">INDEX('Compra de Insumos'!$B$4:$B$24,MATCH(A21,'Compra de Insumos'!$A$4:$A$24,0))</f>
        <v>Crema de leche</v>
      </c>
      <c r="C21" s="21" t="n">
        <v>200</v>
      </c>
      <c r="D21" s="9" t="str">
        <f aca="false">INDEX('Compra de Insumos'!$L$4:$L$24,MATCH(A21,'Compra de Insumos'!$A$4:$A$24,0))</f>
        <v>ml</v>
      </c>
      <c r="E21" s="28" t="n">
        <f aca="false">INDEX('Compra de Insumos'!$Q$4:$Q$24,MATCH(A21,'Compra de Insumos'!$A$4:$A$24,0))</f>
        <v>0.0155655482531996</v>
      </c>
      <c r="F21" s="23" t="n">
        <f aca="false">C21*E21</f>
        <v>3.11310965063992</v>
      </c>
      <c r="G21" s="15" t="n">
        <f aca="false">F21/F28</f>
        <v>0.108761225428117</v>
      </c>
    </row>
    <row r="22" customFormat="false" ht="15" hidden="false" customHeight="false" outlineLevel="0" collapsed="false">
      <c r="E22" s="29" t="s">
        <v>164</v>
      </c>
      <c r="F22" s="30" t="n">
        <f aca="false">SUM(F10:F21)</f>
        <v>25.7489031594243</v>
      </c>
    </row>
    <row r="23" customFormat="false" ht="15" hidden="false" customHeight="true" outlineLevel="0" collapsed="false">
      <c r="A23" s="5" t="s">
        <v>165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8" t="s">
        <v>137</v>
      </c>
      <c r="B24" s="27" t="str">
        <f aca="false">INDEX('Compra de Insumos'!$B$4:$B$24,MATCH(A24,'Compra de Insumos'!$A$4:$A$24,0))</f>
        <v>Base de cartón torta 24 cm</v>
      </c>
      <c r="C24" s="21" t="n">
        <v>1</v>
      </c>
      <c r="D24" s="9" t="str">
        <f aca="false">INDEX('Compra de Insumos'!$L$4:$L$24,MATCH(A24,'Compra de Insumos'!$A$4:$A$24,0))</f>
        <v>unid</v>
      </c>
      <c r="E24" s="28" t="n">
        <f aca="false">INDEX('Compra de Insumos'!$Q$4:$Q$24,MATCH(A24,'Compra de Insumos'!$A$4:$A$24,0))</f>
        <v>0.677966101694915</v>
      </c>
      <c r="F24" s="23" t="n">
        <f aca="false">C24*E24</f>
        <v>0.677966101694915</v>
      </c>
      <c r="G24" s="15" t="n">
        <f aca="false">F24/F28</f>
        <v>0.0236857779821232</v>
      </c>
    </row>
    <row r="25" customFormat="false" ht="15" hidden="false" customHeight="false" outlineLevel="0" collapsed="false">
      <c r="A25" s="8" t="s">
        <v>141</v>
      </c>
      <c r="B25" s="27" t="str">
        <f aca="false">INDEX('Compra de Insumos'!$B$4:$B$24,MATCH(A25,'Compra de Insumos'!$A$4:$A$24,0))</f>
        <v>Caja para torta 24 cm</v>
      </c>
      <c r="C25" s="21" t="n">
        <v>1</v>
      </c>
      <c r="D25" s="9" t="str">
        <f aca="false">INDEX('Compra de Insumos'!$L$4:$L$24,MATCH(A25,'Compra de Insumos'!$A$4:$A$24,0))</f>
        <v>unid</v>
      </c>
      <c r="E25" s="28" t="n">
        <f aca="false">INDEX('Compra de Insumos'!$Q$4:$Q$24,MATCH(A25,'Compra de Insumos'!$A$4:$A$24,0))</f>
        <v>2.11864406779661</v>
      </c>
      <c r="F25" s="23" t="n">
        <f aca="false">C25*E25</f>
        <v>2.11864406779661</v>
      </c>
      <c r="G25" s="15" t="n">
        <f aca="false">F25/F28</f>
        <v>0.074018056194135</v>
      </c>
    </row>
    <row r="26" customFormat="false" ht="15" hidden="false" customHeight="false" outlineLevel="0" collapsed="false">
      <c r="A26" s="8" t="s">
        <v>143</v>
      </c>
      <c r="B26" s="27" t="str">
        <f aca="false">INDEX('Compra de Insumos'!$B$4:$B$24,MATCH(A26,'Compra de Insumos'!$A$4:$A$24,0))</f>
        <v>Etiqueta / sticker</v>
      </c>
      <c r="C26" s="21" t="n">
        <v>1</v>
      </c>
      <c r="D26" s="9" t="str">
        <f aca="false">INDEX('Compra de Insumos'!$L$4:$L$24,MATCH(A26,'Compra de Insumos'!$A$4:$A$24,0))</f>
        <v>unid</v>
      </c>
      <c r="E26" s="28" t="n">
        <f aca="false">INDEX('Compra de Insumos'!$Q$4:$Q$24,MATCH(A26,'Compra de Insumos'!$A$4:$A$24,0))</f>
        <v>0.0778277412659979</v>
      </c>
      <c r="F26" s="23" t="n">
        <f aca="false">C26*E26</f>
        <v>0.0778277412659979</v>
      </c>
      <c r="G26" s="15" t="n">
        <f aca="false">F26/F28</f>
        <v>0.00271903063570292</v>
      </c>
    </row>
    <row r="27" customFormat="false" ht="15" hidden="false" customHeight="false" outlineLevel="0" collapsed="false">
      <c r="E27" s="29" t="s">
        <v>166</v>
      </c>
      <c r="F27" s="30" t="n">
        <f aca="false">SUM(F24:F26)</f>
        <v>2.87443791075752</v>
      </c>
    </row>
    <row r="28" customFormat="false" ht="15" hidden="false" customHeight="false" outlineLevel="0" collapsed="false">
      <c r="E28" s="29" t="s">
        <v>167</v>
      </c>
      <c r="F28" s="30" t="n">
        <f aca="false">F22+F27</f>
        <v>28.6233410701818</v>
      </c>
    </row>
    <row r="30" customFormat="false" ht="22.35" hidden="false" customHeight="false" outlineLevel="0" collapsed="false">
      <c r="A30" s="3" t="s">
        <v>168</v>
      </c>
      <c r="B30" s="14" t="n">
        <v>12</v>
      </c>
      <c r="D30" s="31" t="s">
        <v>169</v>
      </c>
      <c r="E30" s="23" t="n">
        <f aca="false">F28/B30</f>
        <v>2.38527842251515</v>
      </c>
    </row>
  </sheetData>
  <mergeCells count="7">
    <mergeCell ref="A1:G1"/>
    <mergeCell ref="B3:D3"/>
    <mergeCell ref="B4:D4"/>
    <mergeCell ref="B5:D5"/>
    <mergeCell ref="B6:D6"/>
    <mergeCell ref="A9:G9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24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3" t="s">
        <v>151</v>
      </c>
      <c r="B3" s="4" t="s">
        <v>171</v>
      </c>
      <c r="C3" s="4"/>
      <c r="D3" s="4"/>
    </row>
    <row r="4" customFormat="false" ht="15" hidden="false" customHeight="true" outlineLevel="0" collapsed="false">
      <c r="A4" s="3" t="s">
        <v>153</v>
      </c>
      <c r="B4" s="4" t="s">
        <v>172</v>
      </c>
      <c r="C4" s="4"/>
      <c r="D4" s="4"/>
    </row>
    <row r="5" customFormat="false" ht="22.35" hidden="false" customHeight="true" outlineLevel="0" collapsed="false">
      <c r="A5" s="3" t="s">
        <v>155</v>
      </c>
      <c r="B5" s="4" t="s">
        <v>173</v>
      </c>
      <c r="C5" s="4"/>
      <c r="D5" s="4"/>
    </row>
    <row r="6" customFormat="false" ht="15" hidden="false" customHeight="true" outlineLevel="0" collapsed="false">
      <c r="A6" s="3" t="s">
        <v>157</v>
      </c>
      <c r="B6" s="4" t="s">
        <v>174</v>
      </c>
      <c r="C6" s="4"/>
      <c r="D6" s="4"/>
    </row>
    <row r="8" customFormat="false" ht="30" hidden="false" customHeight="true" outlineLevel="0" collapsed="false">
      <c r="A8" s="19" t="s">
        <v>59</v>
      </c>
      <c r="B8" s="19" t="s">
        <v>60</v>
      </c>
      <c r="C8" s="19" t="s">
        <v>159</v>
      </c>
      <c r="D8" s="19" t="s">
        <v>160</v>
      </c>
      <c r="E8" s="19" t="s">
        <v>75</v>
      </c>
      <c r="F8" s="19" t="s">
        <v>161</v>
      </c>
      <c r="G8" s="19" t="s">
        <v>162</v>
      </c>
    </row>
    <row r="9" customFormat="false" ht="15" hidden="false" customHeight="true" outlineLevel="0" collapsed="false">
      <c r="A9" s="5" t="s">
        <v>163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8" t="s">
        <v>126</v>
      </c>
      <c r="B10" s="27" t="str">
        <f aca="false">INDEX('Compra de Insumos'!$B$4:$B$24,MATCH(A10,'Compra de Insumos'!$A$4:$A$24,0))</f>
        <v>Galleta de vainilla</v>
      </c>
      <c r="C10" s="21" t="n">
        <v>300</v>
      </c>
      <c r="D10" s="9" t="str">
        <f aca="false">INDEX('Compra de Insumos'!$L$4:$L$24,MATCH(A10,'Compra de Insumos'!$A$4:$A$24,0))</f>
        <v>g</v>
      </c>
      <c r="E10" s="28" t="n">
        <f aca="false">INDEX('Compra de Insumos'!$Q$4:$Q$24,MATCH(A10,'Compra de Insumos'!$A$4:$A$24,0))</f>
        <v>0.0167525773195876</v>
      </c>
      <c r="F10" s="23" t="n">
        <f aca="false">C10*E10</f>
        <v>5.02577319587629</v>
      </c>
      <c r="G10" s="15" t="n">
        <f aca="false">F10/F24</f>
        <v>0.149931970658718</v>
      </c>
    </row>
    <row r="11" customFormat="false" ht="15" hidden="false" customHeight="false" outlineLevel="0" collapsed="false">
      <c r="A11" s="8" t="s">
        <v>95</v>
      </c>
      <c r="B11" s="27" t="str">
        <f aca="false">INDEX('Compra de Insumos'!$B$4:$B$24,MATCH(A11,'Compra de Insumos'!$A$4:$A$24,0))</f>
        <v>Mantequilla sin sal</v>
      </c>
      <c r="C11" s="21" t="n">
        <v>120</v>
      </c>
      <c r="D11" s="9" t="str">
        <f aca="false">INDEX('Compra de Insumos'!$L$4:$L$24,MATCH(A11,'Compra de Insumos'!$A$4:$A$24,0))</f>
        <v>g</v>
      </c>
      <c r="E11" s="28" t="n">
        <f aca="false">INDEX('Compra de Insumos'!$Q$4:$Q$24,MATCH(A11,'Compra de Insumos'!$A$4:$A$24,0))</f>
        <v>0.0288135593220339</v>
      </c>
      <c r="F11" s="23" t="n">
        <f aca="false">C11*E11</f>
        <v>3.45762711864407</v>
      </c>
      <c r="G11" s="15" t="n">
        <f aca="false">F11/F24</f>
        <v>0.103150068158008</v>
      </c>
    </row>
    <row r="12" customFormat="false" ht="15" hidden="false" customHeight="false" outlineLevel="0" collapsed="false">
      <c r="A12" s="8" t="s">
        <v>123</v>
      </c>
      <c r="B12" s="27" t="str">
        <f aca="false">INDEX('Compra de Insumos'!$B$4:$B$24,MATCH(A12,'Compra de Insumos'!$A$4:$A$24,0))</f>
        <v>Queso crema</v>
      </c>
      <c r="C12" s="21" t="n">
        <v>600</v>
      </c>
      <c r="D12" s="9" t="str">
        <f aca="false">INDEX('Compra de Insumos'!$L$4:$L$24,MATCH(A12,'Compra de Insumos'!$A$4:$A$24,0))</f>
        <v>g</v>
      </c>
      <c r="E12" s="28" t="n">
        <f aca="false">INDEX('Compra de Insumos'!$Q$4:$Q$24,MATCH(A12,'Compra de Insumos'!$A$4:$A$24,0))</f>
        <v>0.0216572504708098</v>
      </c>
      <c r="F12" s="23" t="n">
        <f aca="false">C12*E12</f>
        <v>12.9943502824859</v>
      </c>
      <c r="G12" s="15" t="n">
        <f aca="false">F12/F24</f>
        <v>0.387655484907547</v>
      </c>
    </row>
    <row r="13" customFormat="false" ht="15" hidden="false" customHeight="false" outlineLevel="0" collapsed="false">
      <c r="A13" s="8" t="s">
        <v>135</v>
      </c>
      <c r="B13" s="27" t="str">
        <f aca="false">INDEX('Compra de Insumos'!$B$4:$B$24,MATCH(A13,'Compra de Insumos'!$A$4:$A$24,0))</f>
        <v>Azúcar impalpable</v>
      </c>
      <c r="C13" s="21" t="n">
        <v>150</v>
      </c>
      <c r="D13" s="9" t="str">
        <f aca="false">INDEX('Compra de Insumos'!$L$4:$L$24,MATCH(A13,'Compra de Insumos'!$A$4:$A$24,0))</f>
        <v>g</v>
      </c>
      <c r="E13" s="28" t="n">
        <f aca="false">INDEX('Compra de Insumos'!$Q$4:$Q$24,MATCH(A13,'Compra de Insumos'!$A$4:$A$24,0))</f>
        <v>0.00642013353877761</v>
      </c>
      <c r="F13" s="23" t="n">
        <f aca="false">C13*E13</f>
        <v>0.963020030816641</v>
      </c>
      <c r="G13" s="15" t="n">
        <f aca="false">F13/F24</f>
        <v>0.0287294084664684</v>
      </c>
    </row>
    <row r="14" customFormat="false" ht="15" hidden="false" customHeight="false" outlineLevel="0" collapsed="false">
      <c r="A14" s="8" t="s">
        <v>88</v>
      </c>
      <c r="B14" s="27" t="str">
        <f aca="false">INDEX('Compra de Insumos'!$B$4:$B$24,MATCH(A14,'Compra de Insumos'!$A$4:$A$24,0))</f>
        <v>Huevos de gallina</v>
      </c>
      <c r="C14" s="21" t="n">
        <v>3</v>
      </c>
      <c r="D14" s="9" t="str">
        <f aca="false">INDEX('Compra de Insumos'!$L$4:$L$24,MATCH(A14,'Compra de Insumos'!$A$4:$A$24,0))</f>
        <v>unid</v>
      </c>
      <c r="E14" s="28" t="n">
        <f aca="false">INDEX('Compra de Insumos'!$Q$4:$Q$24,MATCH(A14,'Compra de Insumos'!$A$4:$A$24,0))</f>
        <v>0.515463917525773</v>
      </c>
      <c r="F14" s="23" t="n">
        <f aca="false">C14*E14</f>
        <v>1.54639175257732</v>
      </c>
      <c r="G14" s="15" t="n">
        <f aca="false">F14/F24</f>
        <v>0.0461329140488363</v>
      </c>
    </row>
    <row r="15" customFormat="false" ht="15" hidden="false" customHeight="false" outlineLevel="0" collapsed="false">
      <c r="A15" s="8" t="s">
        <v>121</v>
      </c>
      <c r="B15" s="27" t="str">
        <f aca="false">INDEX('Compra de Insumos'!$B$4:$B$24,MATCH(A15,'Compra de Insumos'!$A$4:$A$24,0))</f>
        <v>Crema de leche</v>
      </c>
      <c r="C15" s="21" t="n">
        <v>200</v>
      </c>
      <c r="D15" s="9" t="str">
        <f aca="false">INDEX('Compra de Insumos'!$L$4:$L$24,MATCH(A15,'Compra de Insumos'!$A$4:$A$24,0))</f>
        <v>ml</v>
      </c>
      <c r="E15" s="28" t="n">
        <f aca="false">INDEX('Compra de Insumos'!$Q$4:$Q$24,MATCH(A15,'Compra de Insumos'!$A$4:$A$24,0))</f>
        <v>0.0155655482531996</v>
      </c>
      <c r="F15" s="23" t="n">
        <f aca="false">C15*E15</f>
        <v>3.11310965063992</v>
      </c>
      <c r="G15" s="15" t="n">
        <f aca="false">F15/F24</f>
        <v>0.0928722102262978</v>
      </c>
    </row>
    <row r="16" customFormat="false" ht="15" hidden="false" customHeight="false" outlineLevel="0" collapsed="false">
      <c r="A16" s="8" t="s">
        <v>132</v>
      </c>
      <c r="B16" s="27" t="str">
        <f aca="false">INDEX('Compra de Insumos'!$B$4:$B$24,MATCH(A16,'Compra de Insumos'!$A$4:$A$24,0))</f>
        <v>Gelatina sin sabor</v>
      </c>
      <c r="C16" s="21" t="n">
        <v>20</v>
      </c>
      <c r="D16" s="9" t="str">
        <f aca="false">INDEX('Compra de Insumos'!$L$4:$L$24,MATCH(A16,'Compra de Insumos'!$A$4:$A$24,0))</f>
        <v>g</v>
      </c>
      <c r="E16" s="28" t="n">
        <f aca="false">INDEX('Compra de Insumos'!$Q$4:$Q$24,MATCH(A16,'Compra de Insumos'!$A$4:$A$24,0))</f>
        <v>0.0406779661016949</v>
      </c>
      <c r="F16" s="23" t="n">
        <f aca="false">C16*E16</f>
        <v>0.813559322033898</v>
      </c>
      <c r="G16" s="15" t="n">
        <f aca="false">F16/F24</f>
        <v>0.0242706042724725</v>
      </c>
    </row>
    <row r="17" customFormat="false" ht="15" hidden="false" customHeight="false" outlineLevel="0" collapsed="false">
      <c r="A17" s="8" t="s">
        <v>129</v>
      </c>
      <c r="B17" s="27" t="str">
        <f aca="false">INDEX('Compra de Insumos'!$B$4:$B$24,MATCH(A17,'Compra de Insumos'!$A$4:$A$24,0))</f>
        <v>Fresas frescas</v>
      </c>
      <c r="C17" s="21" t="n">
        <v>350</v>
      </c>
      <c r="D17" s="9" t="str">
        <f aca="false">INDEX('Compra de Insumos'!$L$4:$L$24,MATCH(A17,'Compra de Insumos'!$A$4:$A$24,0))</f>
        <v>g</v>
      </c>
      <c r="E17" s="28" t="n">
        <f aca="false">INDEX('Compra de Insumos'!$Q$4:$Q$24,MATCH(A17,'Compra de Insumos'!$A$4:$A$24,0))</f>
        <v>0.0102272727272727</v>
      </c>
      <c r="F17" s="23" t="n">
        <f aca="false">C17*E17</f>
        <v>3.57954545454545</v>
      </c>
      <c r="G17" s="15" t="n">
        <f aca="false">F17/F24</f>
        <v>0.106787211269863</v>
      </c>
    </row>
    <row r="18" customFormat="false" ht="15" hidden="false" customHeight="false" outlineLevel="0" collapsed="false">
      <c r="A18" s="8" t="s">
        <v>113</v>
      </c>
      <c r="B18" s="27" t="str">
        <f aca="false">INDEX('Compra de Insumos'!$B$4:$B$24,MATCH(A18,'Compra de Insumos'!$A$4:$A$24,0))</f>
        <v>Esencia de vainilla</v>
      </c>
      <c r="C18" s="21" t="n">
        <v>8</v>
      </c>
      <c r="D18" s="9" t="str">
        <f aca="false">INDEX('Compra de Insumos'!$L$4:$L$24,MATCH(A18,'Compra de Insumos'!$A$4:$A$24,0))</f>
        <v>ml</v>
      </c>
      <c r="E18" s="28" t="n">
        <f aca="false">INDEX('Compra de Insumos'!$Q$4:$Q$24,MATCH(A18,'Compra de Insumos'!$A$4:$A$24,0))</f>
        <v>0.0529661016949153</v>
      </c>
      <c r="F18" s="23" t="n">
        <f aca="false">C18*E18</f>
        <v>0.423728813559322</v>
      </c>
      <c r="G18" s="15" t="n">
        <f aca="false">F18/F24</f>
        <v>0.0126409397252461</v>
      </c>
    </row>
    <row r="19" customFormat="false" ht="15" hidden="false" customHeight="false" outlineLevel="0" collapsed="false">
      <c r="E19" s="29" t="s">
        <v>164</v>
      </c>
      <c r="F19" s="30" t="n">
        <f aca="false">SUM(F10:F18)</f>
        <v>31.9171056211788</v>
      </c>
    </row>
    <row r="20" customFormat="false" ht="15" hidden="false" customHeight="true" outlineLevel="0" collapsed="false">
      <c r="A20" s="5" t="s">
        <v>165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8" t="s">
        <v>147</v>
      </c>
      <c r="B21" s="27" t="str">
        <f aca="false">INDEX('Compra de Insumos'!$B$4:$B$24,MATCH(A21,'Compra de Insumos'!$A$4:$A$24,0))</f>
        <v>Base y caja cheesecake</v>
      </c>
      <c r="C21" s="21" t="n">
        <v>1</v>
      </c>
      <c r="D21" s="9" t="str">
        <f aca="false">INDEX('Compra de Insumos'!$L$4:$L$24,MATCH(A21,'Compra de Insumos'!$A$4:$A$24,0))</f>
        <v>unid</v>
      </c>
      <c r="E21" s="28" t="n">
        <f aca="false">INDEX('Compra de Insumos'!$Q$4:$Q$24,MATCH(A21,'Compra de Insumos'!$A$4:$A$24,0))</f>
        <v>1.52542372881356</v>
      </c>
      <c r="F21" s="23" t="n">
        <f aca="false">C21*E21</f>
        <v>1.52542372881356</v>
      </c>
      <c r="G21" s="15" t="n">
        <f aca="false">F21/F24</f>
        <v>0.0455073830108859</v>
      </c>
    </row>
    <row r="22" customFormat="false" ht="15" hidden="false" customHeight="false" outlineLevel="0" collapsed="false">
      <c r="A22" s="8" t="s">
        <v>143</v>
      </c>
      <c r="B22" s="27" t="str">
        <f aca="false">INDEX('Compra de Insumos'!$B$4:$B$24,MATCH(A22,'Compra de Insumos'!$A$4:$A$24,0))</f>
        <v>Etiqueta / sticker</v>
      </c>
      <c r="C22" s="21" t="n">
        <v>1</v>
      </c>
      <c r="D22" s="9" t="str">
        <f aca="false">INDEX('Compra de Insumos'!$L$4:$L$24,MATCH(A22,'Compra de Insumos'!$A$4:$A$24,0))</f>
        <v>unid</v>
      </c>
      <c r="E22" s="28" t="n">
        <f aca="false">INDEX('Compra de Insumos'!$Q$4:$Q$24,MATCH(A22,'Compra de Insumos'!$A$4:$A$24,0))</f>
        <v>0.0778277412659979</v>
      </c>
      <c r="F22" s="23" t="n">
        <f aca="false">C22*E22</f>
        <v>0.0778277412659979</v>
      </c>
      <c r="G22" s="15" t="n">
        <f aca="false">F22/F24</f>
        <v>0.00232180525565745</v>
      </c>
    </row>
    <row r="23" customFormat="false" ht="15" hidden="false" customHeight="false" outlineLevel="0" collapsed="false">
      <c r="E23" s="29" t="s">
        <v>166</v>
      </c>
      <c r="F23" s="30" t="n">
        <f aca="false">SUM(F21:F22)</f>
        <v>1.60325147007956</v>
      </c>
    </row>
    <row r="24" customFormat="false" ht="15" hidden="false" customHeight="false" outlineLevel="0" collapsed="false">
      <c r="E24" s="29" t="s">
        <v>167</v>
      </c>
      <c r="F24" s="30" t="n">
        <f aca="false">F19+F23</f>
        <v>33.5203570912583</v>
      </c>
    </row>
    <row r="26" customFormat="false" ht="22.35" hidden="false" customHeight="false" outlineLevel="0" collapsed="false">
      <c r="A26" s="3" t="s">
        <v>168</v>
      </c>
      <c r="B26" s="14" t="n">
        <v>10</v>
      </c>
      <c r="D26" s="31" t="s">
        <v>169</v>
      </c>
      <c r="E26" s="23" t="n">
        <f aca="false">F24/B26</f>
        <v>3.35203570912583</v>
      </c>
    </row>
  </sheetData>
  <mergeCells count="7">
    <mergeCell ref="A1:G1"/>
    <mergeCell ref="B3:D3"/>
    <mergeCell ref="B4:D4"/>
    <mergeCell ref="B5:D5"/>
    <mergeCell ref="B6:D6"/>
    <mergeCell ref="A9:G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24" hidden="false" customHeight="true" outlineLevel="0" collapsed="false">
      <c r="B1" s="1" t="s">
        <v>175</v>
      </c>
      <c r="C1" s="1"/>
      <c r="D1" s="1"/>
      <c r="E1" s="1"/>
    </row>
    <row r="3" customFormat="false" ht="30" hidden="false" customHeight="true" outlineLevel="0" collapsed="false">
      <c r="B3" s="19" t="s">
        <v>176</v>
      </c>
      <c r="C3" s="19" t="s">
        <v>177</v>
      </c>
      <c r="D3" s="19" t="s">
        <v>178</v>
      </c>
      <c r="E3" s="19" t="s">
        <v>179</v>
      </c>
    </row>
    <row r="4" customFormat="false" ht="15" hidden="false" customHeight="false" outlineLevel="0" collapsed="false">
      <c r="B4" s="12" t="s">
        <v>180</v>
      </c>
      <c r="C4" s="22" t="n">
        <v>1600</v>
      </c>
      <c r="D4" s="22" t="n">
        <v>1300</v>
      </c>
      <c r="E4" s="32" t="s">
        <v>181</v>
      </c>
    </row>
    <row r="5" customFormat="false" ht="20.85" hidden="false" customHeight="false" outlineLevel="0" collapsed="false">
      <c r="B5" s="12" t="s">
        <v>182</v>
      </c>
      <c r="C5" s="33" t="n">
        <f aca="false">Parámetros!C19</f>
        <v>1.36888888888889</v>
      </c>
      <c r="D5" s="33" t="n">
        <f aca="false">Parámetros!C19</f>
        <v>1.36888888888889</v>
      </c>
      <c r="E5" s="32" t="s">
        <v>183</v>
      </c>
    </row>
    <row r="6" customFormat="false" ht="15" hidden="false" customHeight="false" outlineLevel="0" collapsed="false">
      <c r="B6" s="16" t="s">
        <v>184</v>
      </c>
      <c r="C6" s="30" t="n">
        <f aca="false">C4*C5</f>
        <v>2190.22222222222</v>
      </c>
      <c r="D6" s="30" t="n">
        <f aca="false">D4*D5</f>
        <v>1779.55555555556</v>
      </c>
      <c r="E6" s="32" t="s">
        <v>185</v>
      </c>
    </row>
    <row r="7" customFormat="false" ht="15" hidden="false" customHeight="false" outlineLevel="0" collapsed="false">
      <c r="B7" s="12" t="s">
        <v>186</v>
      </c>
      <c r="C7" s="24" t="n">
        <v>12</v>
      </c>
      <c r="D7" s="24" t="n">
        <v>12</v>
      </c>
    </row>
    <row r="8" customFormat="false" ht="15" hidden="false" customHeight="false" outlineLevel="0" collapsed="false">
      <c r="B8" s="16" t="s">
        <v>187</v>
      </c>
      <c r="C8" s="23" t="n">
        <f aca="false">C6*C7</f>
        <v>26282.6666666667</v>
      </c>
      <c r="D8" s="23" t="n">
        <f aca="false">D6*D7</f>
        <v>21354.6666666667</v>
      </c>
    </row>
    <row r="9" customFormat="false" ht="20.85" hidden="false" customHeight="false" outlineLevel="0" collapsed="false">
      <c r="B9" s="12" t="s">
        <v>188</v>
      </c>
      <c r="C9" s="34" t="n">
        <f aca="false">Parámetros!C7*Parámetros!C8*Parámetros!C9*Parámetros!C10</f>
        <v>1944.8</v>
      </c>
      <c r="D9" s="34" t="n">
        <f aca="false">Parámetros!C7*Parámetros!C8*Parámetros!C9*Parámetros!C10</f>
        <v>1944.8</v>
      </c>
      <c r="E9" s="32" t="s">
        <v>189</v>
      </c>
    </row>
    <row r="10" customFormat="false" ht="15" hidden="false" customHeight="false" outlineLevel="0" collapsed="false">
      <c r="B10" s="16" t="s">
        <v>190</v>
      </c>
      <c r="C10" s="30" t="n">
        <f aca="false">C8/C9</f>
        <v>13.5143288084465</v>
      </c>
      <c r="D10" s="30" t="n">
        <f aca="false">D8/D9</f>
        <v>10.9803921568627</v>
      </c>
      <c r="E10" s="32" t="s">
        <v>191</v>
      </c>
    </row>
    <row r="12" customFormat="false" ht="15" hidden="false" customHeight="true" outlineLevel="0" collapsed="false">
      <c r="B12" s="5" t="s">
        <v>192</v>
      </c>
      <c r="C12" s="5"/>
      <c r="D12" s="5"/>
      <c r="E12" s="5"/>
    </row>
    <row r="13" customFormat="false" ht="22.35" hidden="false" customHeight="false" outlineLevel="0" collapsed="false">
      <c r="B13" s="19" t="s">
        <v>151</v>
      </c>
      <c r="C13" s="19" t="s">
        <v>193</v>
      </c>
      <c r="D13" s="19" t="s">
        <v>194</v>
      </c>
      <c r="E13" s="19" t="s">
        <v>195</v>
      </c>
    </row>
    <row r="14" customFormat="false" ht="15" hidden="false" customHeight="false" outlineLevel="0" collapsed="false">
      <c r="B14" s="20" t="s">
        <v>152</v>
      </c>
      <c r="C14" s="14" t="n">
        <v>30</v>
      </c>
      <c r="D14" s="14" t="n">
        <v>25</v>
      </c>
      <c r="E14" s="30" t="n">
        <f aca="false">C14/60*C10+D14/60*D10</f>
        <v>11.332327802916</v>
      </c>
    </row>
    <row r="15" customFormat="false" ht="15" hidden="false" customHeight="false" outlineLevel="0" collapsed="false">
      <c r="B15" s="20" t="s">
        <v>171</v>
      </c>
      <c r="C15" s="14" t="n">
        <v>25</v>
      </c>
      <c r="D15" s="14" t="n">
        <v>20</v>
      </c>
      <c r="E15" s="30" t="n">
        <f aca="false">C15/60*C10+D15/60*D10</f>
        <v>9.29110105580694</v>
      </c>
    </row>
  </sheetData>
  <mergeCells count="2">
    <mergeCell ref="B1:E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4" hidden="false" customHeight="true" outlineLevel="0" collapsed="false">
      <c r="B1" s="1" t="s">
        <v>196</v>
      </c>
      <c r="C1" s="1"/>
      <c r="D1" s="1"/>
    </row>
    <row r="3" customFormat="false" ht="15" hidden="false" customHeight="false" outlineLevel="0" collapsed="false">
      <c r="B3" s="19" t="s">
        <v>197</v>
      </c>
      <c r="C3" s="19" t="s">
        <v>198</v>
      </c>
      <c r="D3" s="19" t="s">
        <v>179</v>
      </c>
    </row>
    <row r="4" customFormat="false" ht="15" hidden="false" customHeight="false" outlineLevel="0" collapsed="false">
      <c r="B4" s="12" t="s">
        <v>199</v>
      </c>
      <c r="C4" s="22" t="n">
        <v>1200</v>
      </c>
      <c r="D4" s="32" t="s">
        <v>200</v>
      </c>
    </row>
    <row r="5" customFormat="false" ht="15" hidden="false" customHeight="false" outlineLevel="0" collapsed="false">
      <c r="B5" s="12" t="s">
        <v>201</v>
      </c>
      <c r="C5" s="22" t="n">
        <v>650</v>
      </c>
      <c r="D5" s="32" t="s">
        <v>202</v>
      </c>
    </row>
    <row r="6" customFormat="false" ht="15" hidden="false" customHeight="false" outlineLevel="0" collapsed="false">
      <c r="B6" s="12" t="s">
        <v>203</v>
      </c>
      <c r="C6" s="22" t="n">
        <v>380</v>
      </c>
    </row>
    <row r="7" customFormat="false" ht="15" hidden="false" customHeight="false" outlineLevel="0" collapsed="false">
      <c r="B7" s="12" t="s">
        <v>204</v>
      </c>
      <c r="C7" s="22" t="n">
        <v>120</v>
      </c>
    </row>
    <row r="8" customFormat="false" ht="15" hidden="false" customHeight="false" outlineLevel="0" collapsed="false">
      <c r="B8" s="12" t="s">
        <v>205</v>
      </c>
      <c r="C8" s="22" t="n">
        <v>250</v>
      </c>
      <c r="D8" s="32" t="s">
        <v>206</v>
      </c>
    </row>
    <row r="9" customFormat="false" ht="15" hidden="false" customHeight="false" outlineLevel="0" collapsed="false">
      <c r="B9" s="12" t="s">
        <v>207</v>
      </c>
      <c r="C9" s="22" t="n">
        <v>500</v>
      </c>
      <c r="D9" s="32" t="s">
        <v>208</v>
      </c>
    </row>
    <row r="10" customFormat="false" ht="15" hidden="false" customHeight="false" outlineLevel="0" collapsed="false">
      <c r="B10" s="12" t="s">
        <v>209</v>
      </c>
      <c r="C10" s="22" t="n">
        <v>180</v>
      </c>
      <c r="D10" s="32" t="s">
        <v>210</v>
      </c>
    </row>
    <row r="11" customFormat="false" ht="15" hidden="false" customHeight="false" outlineLevel="0" collapsed="false">
      <c r="B11" s="12" t="s">
        <v>211</v>
      </c>
      <c r="C11" s="22" t="n">
        <v>150</v>
      </c>
    </row>
    <row r="12" customFormat="false" ht="15" hidden="false" customHeight="false" outlineLevel="0" collapsed="false">
      <c r="B12" s="16" t="s">
        <v>212</v>
      </c>
      <c r="C12" s="30" t="n">
        <f aca="false">SUM(C4:C11)</f>
        <v>3430</v>
      </c>
    </row>
    <row r="14" customFormat="false" ht="15" hidden="false" customHeight="true" outlineLevel="0" collapsed="false">
      <c r="B14" s="5" t="s">
        <v>213</v>
      </c>
      <c r="C14" s="5"/>
      <c r="D14" s="5"/>
    </row>
    <row r="15" customFormat="false" ht="15" hidden="false" customHeight="false" outlineLevel="0" collapsed="false">
      <c r="B15" s="19" t="s">
        <v>176</v>
      </c>
      <c r="C15" s="19" t="s">
        <v>214</v>
      </c>
      <c r="D15" s="19" t="s">
        <v>215</v>
      </c>
    </row>
    <row r="16" customFormat="false" ht="15" hidden="false" customHeight="false" outlineLevel="0" collapsed="false">
      <c r="B16" s="12" t="s">
        <v>216</v>
      </c>
      <c r="C16" s="33" t="n">
        <f aca="false">('Mano de Obra'!C14+'Mano de Obra'!D14)/60*Parámetros!C11</f>
        <v>165</v>
      </c>
      <c r="D16" s="32" t="s">
        <v>217</v>
      </c>
    </row>
    <row r="17" customFormat="false" ht="15" hidden="false" customHeight="false" outlineLevel="0" collapsed="false">
      <c r="B17" s="12" t="s">
        <v>218</v>
      </c>
      <c r="C17" s="33" t="n">
        <f aca="false">('Mano de Obra'!C15+'Mano de Obra'!D15)/60*Parámetros!C12</f>
        <v>90</v>
      </c>
    </row>
    <row r="18" customFormat="false" ht="15" hidden="false" customHeight="false" outlineLevel="0" collapsed="false">
      <c r="B18" s="16" t="s">
        <v>219</v>
      </c>
      <c r="C18" s="17" t="n">
        <f aca="false">C16+C17</f>
        <v>255</v>
      </c>
    </row>
    <row r="19" customFormat="false" ht="15" hidden="false" customHeight="false" outlineLevel="0" collapsed="false">
      <c r="B19" s="16" t="s">
        <v>220</v>
      </c>
      <c r="C19" s="35" t="n">
        <f aca="false">C12/C18</f>
        <v>13.4509803921569</v>
      </c>
      <c r="D19" s="32" t="s">
        <v>221</v>
      </c>
    </row>
    <row r="20" customFormat="false" ht="15" hidden="false" customHeight="false" outlineLevel="0" collapsed="false">
      <c r="B20" s="12" t="s">
        <v>222</v>
      </c>
      <c r="C20" s="23" t="n">
        <f aca="false">('Mano de Obra'!C14+'Mano de Obra'!D14)/60*C19</f>
        <v>12.3300653594771</v>
      </c>
      <c r="D20" s="32" t="s">
        <v>223</v>
      </c>
    </row>
    <row r="21" customFormat="false" ht="15" hidden="false" customHeight="false" outlineLevel="0" collapsed="false">
      <c r="B21" s="12" t="s">
        <v>224</v>
      </c>
      <c r="C21" s="23" t="n">
        <f aca="false">('Mano de Obra'!C15+'Mano de Obra'!D15)/60*C19</f>
        <v>10.0882352941176</v>
      </c>
    </row>
  </sheetData>
  <mergeCells count="2">
    <mergeCell ref="B1:D1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30"/>
  </cols>
  <sheetData>
    <row r="1" customFormat="false" ht="24" hidden="false" customHeight="true" outlineLevel="0" collapsed="false">
      <c r="B1" s="1" t="s">
        <v>225</v>
      </c>
      <c r="C1" s="1"/>
      <c r="D1" s="1"/>
      <c r="E1" s="1"/>
    </row>
    <row r="3" customFormat="false" ht="27.75" hidden="false" customHeight="true" outlineLevel="0" collapsed="false">
      <c r="B3" s="19" t="s">
        <v>226</v>
      </c>
      <c r="C3" s="19" t="s">
        <v>152</v>
      </c>
      <c r="D3" s="19" t="s">
        <v>171</v>
      </c>
      <c r="E3" s="19" t="s">
        <v>179</v>
      </c>
    </row>
    <row r="4" customFormat="false" ht="15" hidden="false" customHeight="false" outlineLevel="0" collapsed="false">
      <c r="B4" s="12" t="s">
        <v>227</v>
      </c>
      <c r="C4" s="36" t="n">
        <f aca="false">'Receta Torta'!F28</f>
        <v>28.6233410701818</v>
      </c>
      <c r="D4" s="36" t="n">
        <f aca="false">'Receta Cheesecake'!F24</f>
        <v>33.5203570912583</v>
      </c>
      <c r="E4" s="32" t="s">
        <v>228</v>
      </c>
    </row>
    <row r="5" customFormat="false" ht="15" hidden="false" customHeight="false" outlineLevel="0" collapsed="false">
      <c r="B5" s="12" t="s">
        <v>229</v>
      </c>
      <c r="C5" s="36" t="n">
        <f aca="false">'Mano de Obra'!E14</f>
        <v>11.332327802916</v>
      </c>
      <c r="D5" s="36" t="n">
        <f aca="false">'Mano de Obra'!E15</f>
        <v>9.29110105580694</v>
      </c>
      <c r="E5" s="32" t="s">
        <v>230</v>
      </c>
    </row>
    <row r="6" customFormat="false" ht="15" hidden="false" customHeight="false" outlineLevel="0" collapsed="false">
      <c r="B6" s="12" t="s">
        <v>231</v>
      </c>
      <c r="C6" s="36" t="n">
        <f aca="false">CIF!C20</f>
        <v>12.3300653594771</v>
      </c>
      <c r="D6" s="36" t="n">
        <f aca="false">CIF!C21</f>
        <v>10.0882352941176</v>
      </c>
      <c r="E6" s="32" t="s">
        <v>232</v>
      </c>
    </row>
    <row r="7" customFormat="false" ht="15" hidden="false" customHeight="false" outlineLevel="0" collapsed="false">
      <c r="B7" s="16" t="s">
        <v>233</v>
      </c>
      <c r="C7" s="30" t="n">
        <f aca="false">SUM(C4:C6)</f>
        <v>52.285734232575</v>
      </c>
      <c r="D7" s="30" t="n">
        <f aca="false">SUM(D4:D6)</f>
        <v>52.8996934411829</v>
      </c>
    </row>
    <row r="8" customFormat="false" ht="15" hidden="false" customHeight="false" outlineLevel="0" collapsed="false">
      <c r="B8" s="12" t="s">
        <v>168</v>
      </c>
      <c r="C8" s="14" t="n">
        <v>12</v>
      </c>
      <c r="D8" s="14" t="n">
        <v>10</v>
      </c>
      <c r="E8" s="32" t="s">
        <v>234</v>
      </c>
    </row>
    <row r="9" customFormat="false" ht="15" hidden="false" customHeight="false" outlineLevel="0" collapsed="false">
      <c r="B9" s="12" t="s">
        <v>235</v>
      </c>
      <c r="C9" s="23" t="n">
        <f aca="false">C7/C8</f>
        <v>4.35714451938125</v>
      </c>
      <c r="D9" s="23" t="n">
        <f aca="false">D7/D8</f>
        <v>5.28996934411829</v>
      </c>
    </row>
    <row r="11" customFormat="false" ht="15" hidden="false" customHeight="true" outlineLevel="0" collapsed="false">
      <c r="B11" s="5" t="s">
        <v>236</v>
      </c>
      <c r="C11" s="5"/>
      <c r="D11" s="5"/>
      <c r="E11" s="5"/>
    </row>
    <row r="12" customFormat="false" ht="15" hidden="false" customHeight="false" outlineLevel="0" collapsed="false">
      <c r="B12" s="12" t="s">
        <v>237</v>
      </c>
      <c r="C12" s="37" t="n">
        <f aca="false">Parámetros!C6</f>
        <v>0.35</v>
      </c>
      <c r="D12" s="37" t="n">
        <f aca="false">Parámetros!C6</f>
        <v>0.35</v>
      </c>
    </row>
    <row r="13" customFormat="false" ht="15" hidden="false" customHeight="false" outlineLevel="0" collapsed="false">
      <c r="B13" s="16" t="s">
        <v>238</v>
      </c>
      <c r="C13" s="30" t="n">
        <f aca="false">C7/(1-C12)</f>
        <v>80.4395911270385</v>
      </c>
      <c r="D13" s="30" t="n">
        <f aca="false">D7/(1-D12)</f>
        <v>81.384143755666</v>
      </c>
      <c r="E13" s="32" t="s">
        <v>239</v>
      </c>
    </row>
    <row r="14" customFormat="false" ht="15" hidden="false" customHeight="false" outlineLevel="0" collapsed="false">
      <c r="B14" s="12" t="s">
        <v>240</v>
      </c>
      <c r="C14" s="23" t="n">
        <f aca="false">C13*Parámetros!C5</f>
        <v>14.4791264028669</v>
      </c>
      <c r="D14" s="23" t="n">
        <f aca="false">D13*Parámetros!C5</f>
        <v>14.6491458760199</v>
      </c>
    </row>
    <row r="15" customFormat="false" ht="15" hidden="false" customHeight="false" outlineLevel="0" collapsed="false">
      <c r="B15" s="16" t="s">
        <v>241</v>
      </c>
      <c r="C15" s="30" t="n">
        <f aca="false">C13+C14</f>
        <v>94.9187175299054</v>
      </c>
      <c r="D15" s="30" t="n">
        <f aca="false">D13+D14</f>
        <v>96.0332896316859</v>
      </c>
    </row>
    <row r="16" customFormat="false" ht="15" hidden="false" customHeight="false" outlineLevel="0" collapsed="false">
      <c r="B16" s="12" t="s">
        <v>242</v>
      </c>
      <c r="C16" s="23" t="n">
        <f aca="false">C13-C7</f>
        <v>28.1538568944635</v>
      </c>
      <c r="D16" s="23" t="n">
        <f aca="false">D13-D7</f>
        <v>28.4844503144831</v>
      </c>
    </row>
    <row r="17" customFormat="false" ht="20.85" hidden="false" customHeight="false" outlineLevel="0" collapsed="false">
      <c r="B17" s="12" t="s">
        <v>243</v>
      </c>
      <c r="C17" s="15" t="n">
        <f aca="false">C16/C7</f>
        <v>0.538461538461538</v>
      </c>
      <c r="D17" s="15" t="n">
        <f aca="false">D16/D7</f>
        <v>0.538461538461538</v>
      </c>
      <c r="E17" s="32" t="s">
        <v>244</v>
      </c>
    </row>
  </sheetData>
  <mergeCells count="2">
    <mergeCell ref="B1:E1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4" min="3" style="0" width="18"/>
  </cols>
  <sheetData>
    <row r="1" customFormat="false" ht="24" hidden="false" customHeight="true" outlineLevel="0" collapsed="false">
      <c r="B1" s="1" t="s">
        <v>245</v>
      </c>
      <c r="C1" s="1"/>
      <c r="D1" s="1"/>
    </row>
    <row r="3" customFormat="false" ht="22.35" hidden="false" customHeight="false" outlineLevel="0" collapsed="false">
      <c r="B3" s="19" t="s">
        <v>246</v>
      </c>
      <c r="C3" s="19" t="s">
        <v>152</v>
      </c>
      <c r="D3" s="19" t="s">
        <v>171</v>
      </c>
    </row>
    <row r="4" customFormat="false" ht="15" hidden="false" customHeight="false" outlineLevel="0" collapsed="false">
      <c r="B4" s="12" t="s">
        <v>247</v>
      </c>
      <c r="C4" s="36" t="n">
        <f aca="false">'Hoja de Costos'!C4</f>
        <v>28.6233410701818</v>
      </c>
      <c r="D4" s="36" t="n">
        <f aca="false">'Hoja de Costos'!D4</f>
        <v>33.5203570912583</v>
      </c>
    </row>
    <row r="5" customFormat="false" ht="15" hidden="false" customHeight="false" outlineLevel="0" collapsed="false">
      <c r="B5" s="12" t="s">
        <v>229</v>
      </c>
      <c r="C5" s="36" t="n">
        <f aca="false">'Hoja de Costos'!C5</f>
        <v>11.332327802916</v>
      </c>
      <c r="D5" s="36" t="n">
        <f aca="false">'Hoja de Costos'!D5</f>
        <v>9.29110105580694</v>
      </c>
    </row>
    <row r="6" customFormat="false" ht="15" hidden="false" customHeight="false" outlineLevel="0" collapsed="false">
      <c r="B6" s="12" t="s">
        <v>231</v>
      </c>
      <c r="C6" s="36" t="n">
        <f aca="false">'Hoja de Costos'!C6</f>
        <v>12.3300653594771</v>
      </c>
      <c r="D6" s="36" t="n">
        <f aca="false">'Hoja de Costos'!D6</f>
        <v>10.0882352941176</v>
      </c>
    </row>
    <row r="7" customFormat="false" ht="15" hidden="false" customHeight="false" outlineLevel="0" collapsed="false">
      <c r="B7" s="16" t="s">
        <v>248</v>
      </c>
      <c r="C7" s="30" t="n">
        <f aca="false">'Hoja de Costos'!C7</f>
        <v>52.285734232575</v>
      </c>
      <c r="D7" s="30" t="n">
        <f aca="false">'Hoja de Costos'!D7</f>
        <v>52.8996934411829</v>
      </c>
    </row>
    <row r="9" customFormat="false" ht="15" hidden="false" customHeight="true" outlineLevel="0" collapsed="false">
      <c r="B9" s="38" t="s">
        <v>249</v>
      </c>
      <c r="C9" s="38"/>
      <c r="D9" s="38"/>
    </row>
    <row r="10" customFormat="false" ht="15" hidden="false" customHeight="false" outlineLevel="0" collapsed="false">
      <c r="B10" s="12" t="s">
        <v>250</v>
      </c>
      <c r="C10" s="15" t="n">
        <f aca="false">C4/C7</f>
        <v>0.547440740582523</v>
      </c>
      <c r="D10" s="15" t="n">
        <f aca="false">D4/D7</f>
        <v>0.633658815594618</v>
      </c>
    </row>
    <row r="11" customFormat="false" ht="15" hidden="false" customHeight="false" outlineLevel="0" collapsed="false">
      <c r="B11" s="12" t="s">
        <v>251</v>
      </c>
      <c r="C11" s="15" t="n">
        <f aca="false">C5/C7</f>
        <v>0.216738427206704</v>
      </c>
      <c r="D11" s="15" t="n">
        <f aca="false">D5/D7</f>
        <v>0.175636198461856</v>
      </c>
    </row>
    <row r="12" customFormat="false" ht="15" hidden="false" customHeight="false" outlineLevel="0" collapsed="false">
      <c r="B12" s="12" t="s">
        <v>252</v>
      </c>
      <c r="C12" s="15" t="n">
        <f aca="false">C6/C7</f>
        <v>0.235820832210773</v>
      </c>
      <c r="D12" s="15" t="n">
        <f aca="false">D6/D7</f>
        <v>0.190704985943526</v>
      </c>
    </row>
    <row r="14" customFormat="false" ht="15" hidden="false" customHeight="true" outlineLevel="0" collapsed="false">
      <c r="B14" s="38" t="s">
        <v>253</v>
      </c>
      <c r="C14" s="38"/>
      <c r="D14" s="38"/>
    </row>
    <row r="15" customFormat="false" ht="15" hidden="false" customHeight="false" outlineLevel="0" collapsed="false">
      <c r="B15" s="12" t="s">
        <v>238</v>
      </c>
      <c r="C15" s="36" t="n">
        <f aca="false">'Hoja de Costos'!C13</f>
        <v>80.4395911270385</v>
      </c>
      <c r="D15" s="36" t="n">
        <f aca="false">'Hoja de Costos'!D13</f>
        <v>81.384143755666</v>
      </c>
    </row>
    <row r="16" customFormat="false" ht="15" hidden="false" customHeight="false" outlineLevel="0" collapsed="false">
      <c r="B16" s="16" t="s">
        <v>254</v>
      </c>
      <c r="C16" s="39" t="n">
        <f aca="false">'Hoja de Costos'!C15</f>
        <v>94.9187175299054</v>
      </c>
      <c r="D16" s="39" t="n">
        <f aca="false">'Hoja de Costos'!D15</f>
        <v>96.0332896316859</v>
      </c>
    </row>
    <row r="17" customFormat="false" ht="40.25" hidden="false" customHeight="false" outlineLevel="0" collapsed="false">
      <c r="B17" s="16" t="s">
        <v>255</v>
      </c>
      <c r="C17" s="30" t="n">
        <f aca="false">C15-C4</f>
        <v>51.8162500568566</v>
      </c>
      <c r="D17" s="30" t="n">
        <f aca="false">D15-D4</f>
        <v>47.8637866644077</v>
      </c>
      <c r="E17" s="40" t="s">
        <v>256</v>
      </c>
    </row>
    <row r="18" customFormat="false" ht="15" hidden="false" customHeight="false" outlineLevel="0" collapsed="false">
      <c r="B18" s="12" t="s">
        <v>257</v>
      </c>
      <c r="C18" s="15" t="n">
        <f aca="false">C17/C15</f>
        <v>0.64416351862136</v>
      </c>
      <c r="D18" s="15" t="n">
        <f aca="false">D17/D15</f>
        <v>0.588121769863498</v>
      </c>
    </row>
    <row r="20" customFormat="false" ht="42" hidden="false" customHeight="true" outlineLevel="0" collapsed="false">
      <c r="B20" s="11" t="s">
        <v>258</v>
      </c>
      <c r="C20" s="11"/>
      <c r="D20" s="11"/>
    </row>
  </sheetData>
  <mergeCells count="4">
    <mergeCell ref="B1:D1"/>
    <mergeCell ref="B9:D9"/>
    <mergeCell ref="B14:D14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2026-09-14T22:44:19Z</dcterms:created>
  <dc:creator>openpyxl</dc:creator>
  <dc:description/>
  <dc:language>en-US</dc:language>
  <cp:lastModifiedBy/>
  <dcterms:modified xsi:type="dcterms:W3CDTF">2026-09-14T22:44:19Z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