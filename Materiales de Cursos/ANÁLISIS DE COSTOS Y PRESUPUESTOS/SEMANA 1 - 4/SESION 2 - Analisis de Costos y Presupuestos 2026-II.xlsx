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esktop\CURSOS 2026 II\ANÁLISIS DE COSTOS Y PRESUPUESTOS\"/>
    </mc:Choice>
  </mc:AlternateContent>
  <xr:revisionPtr revIDLastSave="0" documentId="13_ncr:1_{984158DE-0D35-4864-825D-645E64ACAC4B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LAB 1" sheetId="2" r:id="rId1"/>
    <sheet name="LAB 2" sheetId="4" r:id="rId2"/>
    <sheet name="PROYECTO · FICHA" sheetId="6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7" i="6" l="1"/>
  <c r="F15" i="6"/>
  <c r="E15" i="6"/>
  <c r="D15" i="6"/>
  <c r="C15" i="6"/>
  <c r="C36" i="2"/>
</calcChain>
</file>

<file path=xl/sharedStrings.xml><?xml version="1.0" encoding="utf-8"?>
<sst xmlns="http://schemas.openxmlformats.org/spreadsheetml/2006/main" count="196" uniqueCount="178">
  <si>
    <t>N°</t>
  </si>
  <si>
    <t>CASO: Bodega y Distribuidora El Misti S.A.C.</t>
  </si>
  <si>
    <t>Concepto del desembolso</t>
  </si>
  <si>
    <t>Monto del mes (S/)</t>
  </si>
  <si>
    <t>Comportamiento</t>
  </si>
  <si>
    <t>Identificación</t>
  </si>
  <si>
    <t>Justificación</t>
  </si>
  <si>
    <t>Compra de mercadería para la venta (costo de adquisición)</t>
  </si>
  <si>
    <t>Alquiler del local comercial</t>
  </si>
  <si>
    <t>Sueldo base de los vendedores</t>
  </si>
  <si>
    <t>Comisión de vendedores (3 % sobre ventas)</t>
  </si>
  <si>
    <t>Sueldo del administrador</t>
  </si>
  <si>
    <t>Bolsas y material de embalaje por pedido</t>
  </si>
  <si>
    <t>Servicio de internet del local</t>
  </si>
  <si>
    <t>Energía eléctrica</t>
  </si>
  <si>
    <t>Combustible de la unidad de reparto</t>
  </si>
  <si>
    <t>Seguro anual del local (parte mensual)</t>
  </si>
  <si>
    <t>Depreciación de estanterías y mobiliario</t>
  </si>
  <si>
    <t>Publicidad en redes sociales (plan mensual)</t>
  </si>
  <si>
    <t>Merma por productos vencidos</t>
  </si>
  <si>
    <t>Mantenimiento de la unidad de reparto</t>
  </si>
  <si>
    <t>Útiles de oficina</t>
  </si>
  <si>
    <t>Agua</t>
  </si>
  <si>
    <t>Servicio de delivery tercerizado por pedido</t>
  </si>
  <si>
    <t>Honorarios del contador externo</t>
  </si>
  <si>
    <t>Impuesto predial (parte mensual)</t>
  </si>
  <si>
    <t>Descuento por pronto pago otorgado a clientes</t>
  </si>
  <si>
    <t>Alquiler del almacén</t>
  </si>
  <si>
    <t>Telefonía móvil de la fuerza de ventas</t>
  </si>
  <si>
    <t>Capacitación anual del personal (parte mensual)</t>
  </si>
  <si>
    <t>Comisión de la pasarela de pago (2,5 % de lo cobrado)</t>
  </si>
  <si>
    <t>Servicio de vigilancia del local</t>
  </si>
  <si>
    <t>TOTAL DE DESEMBOLSOS DEL MES</t>
  </si>
  <si>
    <t>Total del mes (S/)</t>
  </si>
  <si>
    <t>% del total</t>
  </si>
  <si>
    <t>Ítems clasificados</t>
  </si>
  <si>
    <t>Fijo</t>
  </si>
  <si>
    <t>Variable</t>
  </si>
  <si>
    <t>Semivariable</t>
  </si>
  <si>
    <t>Concepto</t>
  </si>
  <si>
    <t>3 000 cajas</t>
  </si>
  <si>
    <t>4 000 cajas (base)</t>
  </si>
  <si>
    <t>5 000 cajas</t>
  </si>
  <si>
    <t>Costo variable total</t>
  </si>
  <si>
    <t>Costo fijo total</t>
  </si>
  <si>
    <t>COSTO TOTAL</t>
  </si>
  <si>
    <t>Costo variable unitario</t>
  </si>
  <si>
    <t>Costo fijo unitario</t>
  </si>
  <si>
    <t>COSTO UNITARIO TOTAL</t>
  </si>
  <si>
    <t>Marque con la palabra ALTO el mes de mayor volumen de cajas vendidas y con BAJO el de menor volumen. Ojo: se decide mirando la columna de cajas, no la del costo.</t>
  </si>
  <si>
    <t>Mes</t>
  </si>
  <si>
    <t>Cajas vendidas</t>
  </si>
  <si>
    <t>Costo de energía (S/)</t>
  </si>
  <si>
    <t>Marca (ALTO / BAJO)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</si>
  <si>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</si>
  <si>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</si>
  <si>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</si>
  <si>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</si>
  <si>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</si>
  <si>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</si>
  <si>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</si>
  <si>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</si>
  <si>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</si>
  <si>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</si>
  <si>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</si>
  <si>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</si>
  <si>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Paso</t>
  </si>
  <si>
    <t>Fórmula que se aplica</t>
  </si>
  <si>
    <t>Resultado</t>
  </si>
  <si>
    <t>Unidad</t>
  </si>
  <si>
    <t>Comentario</t>
  </si>
  <si>
    <t>Cajas del punto alto</t>
  </si>
  <si>
    <t>Máximo de la columna de cajas</t>
  </si>
  <si>
    <t>cajas</t>
  </si>
  <si>
    <t>Cajas del punto bajo</t>
  </si>
  <si>
    <t>Mínimo de la columna de cajas</t>
  </si>
  <si>
    <t>Costo del punto alto</t>
  </si>
  <si>
    <t>Costo del mes de mayor volumen</t>
  </si>
  <si>
    <t>S/</t>
  </si>
  <si>
    <t>Se busca el costo que corresponde al volumen máximo.</t>
  </si>
  <si>
    <t>Costo del punto bajo</t>
  </si>
  <si>
    <t>Costo del mes de menor volumen</t>
  </si>
  <si>
    <t>Se busca el costo que corresponde al volumen mínimo.</t>
  </si>
  <si>
    <t>Diferencia de costo</t>
  </si>
  <si>
    <t>Costo alto menos costo bajo</t>
  </si>
  <si>
    <t>Diferencia de volumen</t>
  </si>
  <si>
    <t>Cajas alto menos cajas bajo</t>
  </si>
  <si>
    <t>TASA VARIABLE UNITARIA</t>
  </si>
  <si>
    <t>Diferencia de costo entre diferencia de volumen</t>
  </si>
  <si>
    <t>S/ por caja</t>
  </si>
  <si>
    <t>Lo que cuesta de energía cada caja adicional.</t>
  </si>
  <si>
    <t>COMPONENTE FIJO MENSUAL</t>
  </si>
  <si>
    <t>Costo del punto alto menos tasa variable por cajas del punto alto</t>
  </si>
  <si>
    <t>S/ al mes</t>
  </si>
  <si>
    <t>ECUACIÓN DEL COSTO TOTAL DE ENERGÍA:      Costo = componente fijo + (tasa variable × número de cajas)</t>
  </si>
  <si>
    <t>Escenario</t>
  </si>
  <si>
    <t>Cajas proyectadas</t>
  </si>
  <si>
    <t>Costo de energía proyectado (S/)</t>
  </si>
  <si>
    <t>Fórmula aplicada</t>
  </si>
  <si>
    <t>Mes de campaña escolar</t>
  </si>
  <si>
    <t>Componente fijo (D30) más tasa variable (D29) por las cajas</t>
  </si>
  <si>
    <t>Mes promedio del próximo año</t>
  </si>
  <si>
    <t>Mes de temporada baja</t>
  </si>
  <si>
    <t>PROYECTO INTEGRADOR · BLOQUE DE 40 MINUTOS DE LA SESIÓN 2</t>
  </si>
  <si>
    <t>Selección de la empresa real y levantamiento inicial de operaciones  ·  Punto 5.1 del informe</t>
  </si>
  <si>
    <t>QUÉ SE ENTREGA AL FINAL DE ESTOS 40 MINUTOS</t>
  </si>
  <si>
    <t>Tres cosas: la matriz de decisión de las tres empresas candidatas con su puntaje, la ficha de levantamiento inicial de la empresa elegida con lo que ya se sabe y lo que falta averiguar, y el compromiso de campo firmado por el equipo. El docente aprueba o rechaza la empresa en la misma sesión: sin aprobación no se puede avanzar a la sesión 3.</t>
  </si>
  <si>
    <t>Califique cada filtro de 1 a 5, donde 1 es que no cumple y 5 que cumple plenamente. El puntaje ponderado se calcula solo. Se elige la candidata de mayor puntaje, salvo que alguna tenga un 1 en acceso a información: ese filtro es eliminatorio.</t>
  </si>
  <si>
    <t>Filtro de elegibilidad</t>
  </si>
  <si>
    <t>Peso</t>
  </si>
  <si>
    <t>Candidata 1</t>
  </si>
  <si>
    <t>Candidata 2</t>
  </si>
  <si>
    <t>Candidata 3</t>
  </si>
  <si>
    <t>Nombre de la empresa candidata</t>
  </si>
  <si>
    <t>Acceso real a información de costos: ¿alguien del equipo puede conversar con el dueño y ver sus números? (ELIMINATORIO)</t>
  </si>
  <si>
    <t>Producto o servicio con costos identificables: ¿se puede saber cuánto cuesta producir o comprar una unidad?</t>
  </si>
  <si>
    <t>Disposición del propietario a colaborar durante diez semanas</t>
  </si>
  <si>
    <t>Cercanía geográfica y facilidad para visitarla más de una vez</t>
  </si>
  <si>
    <t>PUNTAJE PONDERADO</t>
  </si>
  <si>
    <t>Empresa elegida por el equipo</t>
  </si>
  <si>
    <t>Justificación de la elección en dos líneas</t>
  </si>
  <si>
    <t>PASO 2 · FICHA DE LEVANTAMIENTO INICIAL DE LA EMPRESA ELEGIDA (20 minutos)</t>
  </si>
  <si>
    <t>Complete lo que ya sabe. Lo que no sepa NO se inventa: se marca en la columna de estado como pendiente y se asigna un responsable y una fecha. Esa columna es la agenda de trabajo del equipo para la semana.</t>
  </si>
  <si>
    <t>Dato que se necesita</t>
  </si>
  <si>
    <t>Estado</t>
  </si>
  <si>
    <t>Responsable</t>
  </si>
  <si>
    <t>Fecha límite</t>
  </si>
  <si>
    <t>Respuesta o valor levantado</t>
  </si>
  <si>
    <t>Razón social o nombre comercial de la empresa</t>
  </si>
  <si>
    <t>Rubro y años de operación</t>
  </si>
  <si>
    <t>Dirección del local principal y del almacén, si lo tuviera</t>
  </si>
  <si>
    <t>Nombre y cargo de la persona que atenderá al equipo</t>
  </si>
  <si>
    <t>Portafolio: qué productos o servicios vende</t>
  </si>
  <si>
    <t>PRODUCTO O SERVICIO QUE SE VA A COSTEAR (uno solo)</t>
  </si>
  <si>
    <t>Objeto de costo declarado: unidad, línea, canal o cliente</t>
  </si>
  <si>
    <t>Precio de venta actual del producto elegido</t>
  </si>
  <si>
    <t>Unidades vendidas en un mes típico</t>
  </si>
  <si>
    <t>Principales proveedores y condiciones de pago</t>
  </si>
  <si>
    <t>Número de trabajadores y sus funciones</t>
  </si>
  <si>
    <t>Modalidad de contratación del personal</t>
  </si>
  <si>
    <t>Local propio o alquilado, y monto del alquiler</t>
  </si>
  <si>
    <t>¿Lleva registro de sus costos? ¿En qué formato?</t>
  </si>
  <si>
    <t>¿Tiene alguna propuesta de mejora o producto nuevo en mente?</t>
  </si>
  <si>
    <t>AVANCE DEL LEVANTAMIENTO</t>
  </si>
  <si>
    <t>PASO 3 · COMPROMISO DE CAMPO DEL EQUIPO (8 minutos)</t>
  </si>
  <si>
    <t>Compromiso</t>
  </si>
  <si>
    <t>Detalle</t>
  </si>
  <si>
    <t>Empresa elegida y aprobada por el docente</t>
  </si>
  <si>
    <t>Producto o servicio que se costeará</t>
  </si>
  <si>
    <t>Fecha y hora de la entrevista con el propietario</t>
  </si>
  <si>
    <t>Integrante que dirige la entrevista</t>
  </si>
  <si>
    <t>Documentos que se solicitarán: facturas, boletas, recibos de servicios, planilla</t>
  </si>
  <si>
    <t>Fecha de entrega del inventario completo de desembolsos (sesión 3, martes 25/08)</t>
  </si>
  <si>
    <t>Fecha de entrega del Avance 1, clasificación de costos (sesión 4, jueves 27/08)</t>
  </si>
  <si>
    <t>VISTO BUENO DEL DOCENTE</t>
  </si>
  <si>
    <t>Criterio de aprobación</t>
  </si>
  <si>
    <t>Cumple</t>
  </si>
  <si>
    <t>Observación del docente</t>
  </si>
  <si>
    <t>La empresa existe, opera actualmente y es verificable</t>
  </si>
  <si>
    <t>El equipo tiene acceso real a información de costos, no solo intención de conseguirla</t>
  </si>
  <si>
    <t>El producto o servicio elegido tiene costos identificables por unidad</t>
  </si>
  <si>
    <t>El objeto de costo está declarado y es uno solo</t>
  </si>
  <si>
    <t>La fecha de entrevista es realista y está dentro de la semana</t>
  </si>
  <si>
    <t>Regla del curso que se enuncia en esta sesión y rige hasta la semana 10: todo costo que entre al proyecto debe tener respaldo verificable, sea factura, boleta, cotización o registro fotográfico del precio. Un costo inventado invalida el capítulo 5 completo.</t>
  </si>
  <si>
    <t>La empresa comercializa abarrotes en cajas a bodegas del cono norte de Arequipa. En un mes típico vende 4 000 cajas. A continuación se presentan los 25 desembolsos del mes. 
OBJETO DE COSTO DECLARADO: una caja de abarrotes vendida. Toda la clasificación de la columna «identificación» se hace respecto de ese objeto y no de otro.</t>
  </si>
  <si>
    <t>Para cada concepto si el mes que viene la empresa vende el doble de cajas, ¿este monto sube, se queda igual o sube solo en parte? Sube = variable. Se queda igual = fijo. Sube en parte = semivariable.</t>
  </si>
  <si>
    <t>PARTE 2</t>
  </si>
  <si>
    <t>PARTE 1</t>
  </si>
  <si>
    <t>PARTE 3</t>
  </si>
  <si>
    <t xml:space="preserve">RESUMEN </t>
  </si>
  <si>
    <t>Gasto (sin clasificar)</t>
  </si>
  <si>
    <t>Se toma como base un mes de 4 000 cajas. Los costos variables se recalculan en proporción al volumen; los fijos se mantienen. Los semivariables NO entran todavía en este cuadro.</t>
  </si>
  <si>
    <t xml:space="preserve">CASO: energía eléctrica de Bodega y Distribuidora El Misti S.A.C. </t>
  </si>
  <si>
    <t>Asumiendo que la energía eléctrica es clasificada como semivariable. Separa en sus dos componentes con los doce meses del año anterior. El método de puntos altos y bajos usa solo dos meses: el de mayor y el de menor NIVEL DE ACTIVIDAD, nunca el de mayor o menor costo.</t>
  </si>
  <si>
    <t>Costo del punto alto - cajas del punto alto * Tasa variable unitaria</t>
  </si>
  <si>
    <t>LABORATORIO 1 · CLASIFICACIÓN DE COSTOS Y EFECTO SOBRE EL COSTO UNITARIO</t>
  </si>
  <si>
    <t>LABORATORIO 2 · SEPARACIÓN DE UN COSTO SEMIVARIABLE POR PUNTOS ALTOS Y BAJOS</t>
  </si>
  <si>
    <t>PASO 1 · MATRIZ DE DECISIÓN DE LAS TRES CANDIDATAS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</si>
</sst>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000"/>
  </numFmts>
  <fonts count="9" x14ac:knownFonts="1">
    <font>
      <sz val="11"/>
      <color theme="1"/>
      <name val="Calibri"/>
      <family val="2"/>
      <charset val="1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ont="1" applyFill="1"/>
    <xf numFmtId="0" fontId="2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/>
    </xf>
    <xf numFmtId="4" fontId="4" fillId="0" borderId="2" xfId="0" applyNumberFormat="1" applyFont="1" applyFill="1" applyBorder="1" applyAlignment="1">
      <alignment horizontal="right" vertical="center" wrapText="1"/>
    </xf>
    <xf numFmtId="0" fontId="2" fillId="0" borderId="2" xfId="0" applyFont="1" applyFill="1" applyBorder="1" applyAlignment="1">
      <alignment horizontal="left" vertical="center" wrapText="1"/>
    </xf>
    <xf numFmtId="4" fontId="2" fillId="0" borderId="2" xfId="0" applyNumberFormat="1" applyFont="1" applyFill="1" applyBorder="1" applyAlignment="1">
      <alignment horizontal="right" vertical="center" wrapText="1"/>
    </xf>
    <xf numFmtId="164" fontId="4" fillId="0" borderId="2" xfId="0" applyNumberFormat="1" applyFont="1" applyFill="1" applyBorder="1" applyAlignment="1">
      <alignment horizontal="center" vertical="center" wrapText="1"/>
    </xf>
    <xf numFmtId="3" fontId="4" fillId="0" borderId="2" xfId="0" applyNumberFormat="1" applyFont="1" applyFill="1" applyBorder="1" applyAlignment="1">
      <alignment horizontal="righ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vertical="center"/>
    </xf>
    <xf numFmtId="0" fontId="4" fillId="0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 vertical="center" wrapText="1"/>
    </xf>
    <xf numFmtId="4" fontId="3" fillId="0" borderId="5" xfId="0" applyNumberFormat="1" applyFont="1" applyFill="1" applyBorder="1" applyAlignment="1">
      <alignment horizontal="right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wrapText="1"/>
    </xf>
    <xf numFmtId="4" fontId="3" fillId="0" borderId="2" xfId="0" applyNumberFormat="1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165" fontId="3" fillId="0" borderId="2" xfId="0" applyNumberFormat="1" applyFont="1" applyFill="1" applyBorder="1" applyAlignment="1">
      <alignment horizontal="right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left" vertical="center" wrapText="1"/>
    </xf>
    <xf numFmtId="3" fontId="7" fillId="0" borderId="2" xfId="0" applyNumberFormat="1" applyFont="1" applyFill="1" applyBorder="1" applyAlignment="1">
      <alignment horizontal="right" vertical="center" wrapText="1"/>
    </xf>
    <xf numFmtId="4" fontId="7" fillId="0" borderId="2" xfId="0" applyNumberFormat="1" applyFont="1" applyFill="1" applyBorder="1" applyAlignment="1">
      <alignment horizontal="right" vertical="center" wrapText="1"/>
    </xf>
    <xf numFmtId="0" fontId="7" fillId="0" borderId="0" xfId="0" applyFont="1" applyFill="1"/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left" vertical="center" wrapText="1"/>
    </xf>
    <xf numFmtId="9" fontId="7" fillId="0" borderId="2" xfId="0" applyNumberFormat="1" applyFont="1" applyFill="1" applyBorder="1" applyAlignment="1">
      <alignment horizontal="center" vertical="center" wrapText="1"/>
    </xf>
    <xf numFmtId="9" fontId="8" fillId="0" borderId="2" xfId="0" applyNumberFormat="1" applyFont="1" applyFill="1" applyBorder="1" applyAlignment="1">
      <alignment horizontal="center" vertical="center" wrapText="1"/>
    </xf>
    <xf numFmtId="2" fontId="8" fillId="0" borderId="2" xfId="0" applyNumberFormat="1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left" vertical="center" wrapText="1"/>
    </xf>
    <xf numFmtId="164" fontId="8" fillId="0" borderId="2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DCE6F1"/>
      <rgbColor rgb="FF660066"/>
      <rgbColor rgb="FFFF8080"/>
      <rgbColor rgb="FF0066CC"/>
      <rgbColor rgb="FFE4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ED7D31"/>
      <rgbColor rgb="FF666699"/>
      <rgbColor rgb="FF70AD47"/>
      <rgbColor rgb="FF1F3864"/>
      <rgbColor rgb="FF339966"/>
      <rgbColor rgb="FF003300"/>
      <rgbColor rgb="FF333300"/>
      <rgbColor rgb="FF833C0C"/>
      <rgbColor rgb="FF993366"/>
      <rgbColor rgb="FF2E5C8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54"/>
  <sheetViews>
    <sheetView showGridLines="0" zoomScaleNormal="100" workbookViewId="0">
      <selection activeCell="A2" sqref="A2:F2"/>
    </sheetView>
  </sheetViews>
  <sheetFormatPr baseColWidth="10" defaultColWidth="8.6640625" defaultRowHeight="14.4" x14ac:dyDescent="0.3"/>
  <cols>
    <col min="1" max="1" width="6" style="2" customWidth="1"/>
    <col min="2" max="2" width="52" style="2" customWidth="1"/>
    <col min="3" max="3" width="14" style="2" customWidth="1"/>
    <col min="4" max="5" width="16" style="2" customWidth="1"/>
    <col min="6" max="6" width="52" style="2" customWidth="1"/>
    <col min="7" max="16384" width="8.6640625" style="2"/>
  </cols>
  <sheetData>
    <row r="1" spans="1:6" ht="27.75" customHeight="1" x14ac:dyDescent="0.3">
      <c r="A1" s="1" t="s">
        <v>175</v>
      </c>
      <c r="B1" s="1"/>
      <c r="C1" s="1"/>
      <c r="D1" s="1"/>
      <c r="E1" s="1"/>
      <c r="F1" s="1"/>
    </row>
    <row r="2" spans="1:6" ht="21.75" customHeight="1" x14ac:dyDescent="0.3">
      <c r="A2" s="13" t="s">
        <v>1</v>
      </c>
      <c r="B2" s="13"/>
      <c r="C2" s="13"/>
      <c r="D2" s="13"/>
      <c r="E2" s="13"/>
      <c r="F2" s="13"/>
    </row>
    <row r="3" spans="1:6" ht="31.5" customHeight="1" x14ac:dyDescent="0.3">
      <c r="A3" s="18" t="s">
        <v>164</v>
      </c>
      <c r="B3" s="18"/>
      <c r="C3" s="18"/>
      <c r="D3" s="18"/>
      <c r="E3" s="18"/>
      <c r="F3" s="18"/>
    </row>
    <row r="5" spans="1:6" ht="21.75" customHeight="1" x14ac:dyDescent="0.3">
      <c r="A5" s="15" t="s">
        <v>167</v>
      </c>
      <c r="B5" s="15"/>
      <c r="C5" s="15"/>
      <c r="D5" s="15"/>
      <c r="E5" s="15"/>
      <c r="F5" s="15"/>
    </row>
    <row r="6" spans="1:6" x14ac:dyDescent="0.3">
      <c r="A6" s="14" t="s">
        <v>165</v>
      </c>
      <c r="B6" s="14"/>
      <c r="C6" s="14"/>
      <c r="D6" s="14"/>
      <c r="E6" s="14"/>
      <c r="F6" s="14"/>
    </row>
    <row r="7" spans="1:6" ht="30" customHeight="1" x14ac:dyDescent="0.3">
      <c r="A7" s="16" t="s">
        <v>0</v>
      </c>
      <c r="B7" s="16" t="s">
        <v>2</v>
      </c>
      <c r="C7" s="16" t="s">
        <v>3</v>
      </c>
      <c r="D7" s="16" t="s">
        <v>4</v>
      </c>
      <c r="E7" s="16" t="s">
        <v>5</v>
      </c>
      <c r="F7" s="16" t="s">
        <v>6</v>
      </c>
    </row>
    <row r="8" spans="1:6" ht="21.75" customHeight="1" x14ac:dyDescent="0.3">
      <c r="A8" s="4">
        <v>1</v>
      </c>
      <c r="B8" s="5" t="s">
        <v>7</v>
      </c>
      <c r="C8" s="6">
        <v>48000</v>
      </c>
      <c r="D8" s="4"/>
      <c r="E8" s="4"/>
      <c r="F8" s="5"/>
    </row>
    <row r="9" spans="1:6" ht="21.75" customHeight="1" x14ac:dyDescent="0.3">
      <c r="A9" s="4">
        <v>2</v>
      </c>
      <c r="B9" s="5" t="s">
        <v>8</v>
      </c>
      <c r="C9" s="6">
        <v>2800</v>
      </c>
      <c r="D9" s="4"/>
      <c r="E9" s="4"/>
      <c r="F9" s="5"/>
    </row>
    <row r="10" spans="1:6" ht="21.75" customHeight="1" x14ac:dyDescent="0.3">
      <c r="A10" s="4">
        <v>3</v>
      </c>
      <c r="B10" s="5" t="s">
        <v>9</v>
      </c>
      <c r="C10" s="6">
        <v>3000</v>
      </c>
      <c r="D10" s="4"/>
      <c r="E10" s="4"/>
      <c r="F10" s="5"/>
    </row>
    <row r="11" spans="1:6" ht="21.75" customHeight="1" x14ac:dyDescent="0.3">
      <c r="A11" s="4">
        <v>4</v>
      </c>
      <c r="B11" s="5" t="s">
        <v>10</v>
      </c>
      <c r="C11" s="6">
        <v>2400</v>
      </c>
      <c r="D11" s="4"/>
      <c r="E11" s="4"/>
      <c r="F11" s="5"/>
    </row>
    <row r="12" spans="1:6" ht="21.75" customHeight="1" x14ac:dyDescent="0.3">
      <c r="A12" s="4">
        <v>5</v>
      </c>
      <c r="B12" s="5" t="s">
        <v>11</v>
      </c>
      <c r="C12" s="6">
        <v>2500</v>
      </c>
      <c r="D12" s="4"/>
      <c r="E12" s="4"/>
      <c r="F12" s="5"/>
    </row>
    <row r="13" spans="1:6" ht="21.75" customHeight="1" x14ac:dyDescent="0.3">
      <c r="A13" s="4">
        <v>6</v>
      </c>
      <c r="B13" s="5" t="s">
        <v>12</v>
      </c>
      <c r="C13" s="6">
        <v>640</v>
      </c>
      <c r="D13" s="4"/>
      <c r="E13" s="4"/>
      <c r="F13" s="5"/>
    </row>
    <row r="14" spans="1:6" ht="21.75" customHeight="1" x14ac:dyDescent="0.3">
      <c r="A14" s="4">
        <v>7</v>
      </c>
      <c r="B14" s="5" t="s">
        <v>13</v>
      </c>
      <c r="C14" s="6">
        <v>180</v>
      </c>
      <c r="D14" s="4"/>
      <c r="E14" s="4"/>
      <c r="F14" s="5"/>
    </row>
    <row r="15" spans="1:6" ht="21.75" customHeight="1" x14ac:dyDescent="0.3">
      <c r="A15" s="4">
        <v>8</v>
      </c>
      <c r="B15" s="5" t="s">
        <v>14</v>
      </c>
      <c r="C15" s="6">
        <v>1040</v>
      </c>
      <c r="D15" s="4"/>
      <c r="E15" s="4"/>
      <c r="F15" s="5"/>
    </row>
    <row r="16" spans="1:6" ht="21.75" customHeight="1" x14ac:dyDescent="0.3">
      <c r="A16" s="4">
        <v>9</v>
      </c>
      <c r="B16" s="5" t="s">
        <v>15</v>
      </c>
      <c r="C16" s="6">
        <v>1350</v>
      </c>
      <c r="D16" s="4"/>
      <c r="E16" s="4"/>
      <c r="F16" s="5"/>
    </row>
    <row r="17" spans="1:6" ht="21.75" customHeight="1" x14ac:dyDescent="0.3">
      <c r="A17" s="4">
        <v>10</v>
      </c>
      <c r="B17" s="5" t="s">
        <v>16</v>
      </c>
      <c r="C17" s="6">
        <v>320</v>
      </c>
      <c r="D17" s="4"/>
      <c r="E17" s="4"/>
      <c r="F17" s="5"/>
    </row>
    <row r="18" spans="1:6" ht="21.75" customHeight="1" x14ac:dyDescent="0.3">
      <c r="A18" s="4">
        <v>11</v>
      </c>
      <c r="B18" s="5" t="s">
        <v>17</v>
      </c>
      <c r="C18" s="6">
        <v>210</v>
      </c>
      <c r="D18" s="4"/>
      <c r="E18" s="4"/>
      <c r="F18" s="5"/>
    </row>
    <row r="19" spans="1:6" ht="21.75" customHeight="1" x14ac:dyDescent="0.3">
      <c r="A19" s="4">
        <v>12</v>
      </c>
      <c r="B19" s="5" t="s">
        <v>18</v>
      </c>
      <c r="C19" s="6">
        <v>900</v>
      </c>
      <c r="D19" s="4"/>
      <c r="E19" s="4"/>
      <c r="F19" s="5"/>
    </row>
    <row r="20" spans="1:6" ht="21.75" customHeight="1" x14ac:dyDescent="0.3"/>
    <row r="21" spans="1:6" ht="21.75" customHeight="1" x14ac:dyDescent="0.3">
      <c r="A21" s="15" t="s">
        <v>166</v>
      </c>
      <c r="B21" s="15"/>
      <c r="C21" s="15"/>
      <c r="D21" s="15"/>
      <c r="E21" s="15"/>
      <c r="F21" s="15"/>
    </row>
    <row r="22" spans="1:6" ht="30" customHeight="1" x14ac:dyDescent="0.3">
      <c r="A22" s="16" t="s">
        <v>0</v>
      </c>
      <c r="B22" s="16" t="s">
        <v>2</v>
      </c>
      <c r="C22" s="16" t="s">
        <v>3</v>
      </c>
      <c r="D22" s="16" t="s">
        <v>4</v>
      </c>
      <c r="E22" s="16" t="s">
        <v>5</v>
      </c>
      <c r="F22" s="16" t="s">
        <v>6</v>
      </c>
    </row>
    <row r="23" spans="1:6" ht="21.75" customHeight="1" x14ac:dyDescent="0.3">
      <c r="A23" s="4">
        <v>13</v>
      </c>
      <c r="B23" s="5" t="s">
        <v>19</v>
      </c>
      <c r="C23" s="6">
        <v>780</v>
      </c>
      <c r="D23" s="4"/>
      <c r="E23" s="4"/>
      <c r="F23" s="5"/>
    </row>
    <row r="24" spans="1:6" ht="21.75" customHeight="1" x14ac:dyDescent="0.3">
      <c r="A24" s="4">
        <v>14</v>
      </c>
      <c r="B24" s="5" t="s">
        <v>20</v>
      </c>
      <c r="C24" s="6">
        <v>450</v>
      </c>
      <c r="D24" s="4"/>
      <c r="E24" s="4"/>
      <c r="F24" s="5"/>
    </row>
    <row r="25" spans="1:6" ht="21.75" customHeight="1" x14ac:dyDescent="0.3">
      <c r="A25" s="4">
        <v>15</v>
      </c>
      <c r="B25" s="5" t="s">
        <v>21</v>
      </c>
      <c r="C25" s="6">
        <v>130</v>
      </c>
      <c r="D25" s="4"/>
      <c r="E25" s="4"/>
      <c r="F25" s="5"/>
    </row>
    <row r="26" spans="1:6" ht="21.75" customHeight="1" x14ac:dyDescent="0.3">
      <c r="A26" s="4">
        <v>16</v>
      </c>
      <c r="B26" s="5" t="s">
        <v>22</v>
      </c>
      <c r="C26" s="6">
        <v>190</v>
      </c>
      <c r="D26" s="4"/>
      <c r="E26" s="4"/>
      <c r="F26" s="5"/>
    </row>
    <row r="27" spans="1:6" ht="21.75" customHeight="1" x14ac:dyDescent="0.3">
      <c r="A27" s="4">
        <v>17</v>
      </c>
      <c r="B27" s="5" t="s">
        <v>23</v>
      </c>
      <c r="C27" s="6">
        <v>1120</v>
      </c>
      <c r="D27" s="4"/>
      <c r="E27" s="4"/>
      <c r="F27" s="5"/>
    </row>
    <row r="28" spans="1:6" ht="21.75" customHeight="1" x14ac:dyDescent="0.3">
      <c r="A28" s="4">
        <v>18</v>
      </c>
      <c r="B28" s="5" t="s">
        <v>24</v>
      </c>
      <c r="C28" s="6">
        <v>600</v>
      </c>
      <c r="D28" s="4"/>
      <c r="E28" s="4"/>
      <c r="F28" s="5"/>
    </row>
    <row r="29" spans="1:6" ht="21.75" customHeight="1" x14ac:dyDescent="0.3">
      <c r="A29" s="4">
        <v>19</v>
      </c>
      <c r="B29" s="5" t="s">
        <v>25</v>
      </c>
      <c r="C29" s="6">
        <v>95</v>
      </c>
      <c r="D29" s="4"/>
      <c r="E29" s="4"/>
      <c r="F29" s="5"/>
    </row>
    <row r="30" spans="1:6" ht="21.75" customHeight="1" x14ac:dyDescent="0.3">
      <c r="A30" s="4">
        <v>20</v>
      </c>
      <c r="B30" s="5" t="s">
        <v>26</v>
      </c>
      <c r="C30" s="6">
        <v>520</v>
      </c>
      <c r="D30" s="4"/>
      <c r="E30" s="4"/>
      <c r="F30" s="5"/>
    </row>
    <row r="31" spans="1:6" ht="21.75" customHeight="1" x14ac:dyDescent="0.3">
      <c r="A31" s="4">
        <v>21</v>
      </c>
      <c r="B31" s="5" t="s">
        <v>27</v>
      </c>
      <c r="C31" s="6">
        <v>900</v>
      </c>
      <c r="D31" s="4"/>
      <c r="E31" s="4"/>
      <c r="F31" s="5"/>
    </row>
    <row r="32" spans="1:6" ht="21.75" customHeight="1" x14ac:dyDescent="0.3">
      <c r="A32" s="4">
        <v>22</v>
      </c>
      <c r="B32" s="5" t="s">
        <v>28</v>
      </c>
      <c r="C32" s="6">
        <v>240</v>
      </c>
      <c r="D32" s="4"/>
      <c r="E32" s="4"/>
      <c r="F32" s="5"/>
    </row>
    <row r="33" spans="1:6" ht="21.75" customHeight="1" x14ac:dyDescent="0.3">
      <c r="A33" s="4">
        <v>23</v>
      </c>
      <c r="B33" s="5" t="s">
        <v>29</v>
      </c>
      <c r="C33" s="6">
        <v>150</v>
      </c>
      <c r="D33" s="4"/>
      <c r="E33" s="4"/>
      <c r="F33" s="5"/>
    </row>
    <row r="34" spans="1:6" ht="21.75" customHeight="1" x14ac:dyDescent="0.3">
      <c r="A34" s="4">
        <v>24</v>
      </c>
      <c r="B34" s="5" t="s">
        <v>30</v>
      </c>
      <c r="C34" s="6">
        <v>1500</v>
      </c>
      <c r="D34" s="4"/>
      <c r="E34" s="4"/>
      <c r="F34" s="5"/>
    </row>
    <row r="35" spans="1:6" ht="21.75" customHeight="1" x14ac:dyDescent="0.3">
      <c r="A35" s="4">
        <v>25</v>
      </c>
      <c r="B35" s="5" t="s">
        <v>31</v>
      </c>
      <c r="C35" s="6">
        <v>700</v>
      </c>
      <c r="D35" s="4"/>
      <c r="E35" s="4"/>
      <c r="F35" s="5"/>
    </row>
    <row r="36" spans="1:6" ht="19.5" customHeight="1" x14ac:dyDescent="0.3">
      <c r="A36" s="3"/>
      <c r="B36" s="7" t="s">
        <v>32</v>
      </c>
      <c r="C36" s="8">
        <f>SUM(C8:C35)</f>
        <v>70715</v>
      </c>
      <c r="D36" s="3"/>
      <c r="E36" s="3"/>
      <c r="F36" s="7"/>
    </row>
    <row r="39" spans="1:6" ht="21.75" customHeight="1" x14ac:dyDescent="0.3">
      <c r="A39" s="11" t="s">
        <v>169</v>
      </c>
      <c r="B39" s="12"/>
    </row>
    <row r="40" spans="1:6" ht="30" customHeight="1" x14ac:dyDescent="0.3">
      <c r="A40" s="16"/>
      <c r="B40" s="16" t="s">
        <v>4</v>
      </c>
      <c r="C40" s="16" t="s">
        <v>33</v>
      </c>
      <c r="D40" s="16" t="s">
        <v>34</v>
      </c>
      <c r="E40" s="16" t="s">
        <v>35</v>
      </c>
    </row>
    <row r="41" spans="1:6" ht="19.5" customHeight="1" x14ac:dyDescent="0.3">
      <c r="A41" s="4"/>
      <c r="B41" s="5" t="s">
        <v>36</v>
      </c>
      <c r="C41" s="6"/>
      <c r="D41" s="9"/>
      <c r="E41" s="4"/>
    </row>
    <row r="42" spans="1:6" ht="19.5" customHeight="1" x14ac:dyDescent="0.3">
      <c r="A42" s="4"/>
      <c r="B42" s="5" t="s">
        <v>37</v>
      </c>
      <c r="C42" s="6"/>
      <c r="D42" s="9"/>
      <c r="E42" s="4"/>
    </row>
    <row r="43" spans="1:6" ht="19.5" customHeight="1" x14ac:dyDescent="0.3">
      <c r="A43" s="4"/>
      <c r="B43" s="5" t="s">
        <v>38</v>
      </c>
      <c r="C43" s="6"/>
      <c r="D43" s="9"/>
      <c r="E43" s="4"/>
    </row>
    <row r="44" spans="1:6" ht="19.5" customHeight="1" x14ac:dyDescent="0.3">
      <c r="A44" s="4"/>
      <c r="B44" s="5" t="s">
        <v>170</v>
      </c>
      <c r="C44" s="6"/>
      <c r="D44" s="4"/>
      <c r="E44" s="4"/>
    </row>
    <row r="46" spans="1:6" x14ac:dyDescent="0.3">
      <c r="A46" s="15" t="s">
        <v>168</v>
      </c>
      <c r="B46" s="15"/>
      <c r="C46" s="15"/>
      <c r="D46" s="15"/>
      <c r="E46" s="15"/>
      <c r="F46" s="15"/>
    </row>
    <row r="47" spans="1:6" x14ac:dyDescent="0.3">
      <c r="A47" s="18" t="s">
        <v>171</v>
      </c>
      <c r="B47" s="18"/>
      <c r="C47" s="18"/>
      <c r="D47" s="18"/>
      <c r="E47" s="18"/>
      <c r="F47" s="18"/>
    </row>
    <row r="48" spans="1:6" ht="30" customHeight="1" x14ac:dyDescent="0.3">
      <c r="A48" s="17"/>
      <c r="B48" s="17" t="s">
        <v>39</v>
      </c>
      <c r="C48" s="17" t="s">
        <v>40</v>
      </c>
      <c r="D48" s="17" t="s">
        <v>41</v>
      </c>
      <c r="E48" s="17" t="s">
        <v>42</v>
      </c>
    </row>
    <row r="49" spans="1:5" ht="19.5" customHeight="1" x14ac:dyDescent="0.3">
      <c r="A49" s="4"/>
      <c r="B49" s="5" t="s">
        <v>43</v>
      </c>
      <c r="C49" s="6"/>
      <c r="D49" s="6"/>
      <c r="E49" s="6"/>
    </row>
    <row r="50" spans="1:5" ht="19.5" customHeight="1" x14ac:dyDescent="0.3">
      <c r="A50" s="4"/>
      <c r="B50" s="5" t="s">
        <v>44</v>
      </c>
      <c r="C50" s="6"/>
      <c r="D50" s="6"/>
      <c r="E50" s="6"/>
    </row>
    <row r="51" spans="1:5" ht="19.5" customHeight="1" x14ac:dyDescent="0.3">
      <c r="A51" s="3"/>
      <c r="B51" s="7" t="s">
        <v>45</v>
      </c>
      <c r="C51" s="8"/>
      <c r="D51" s="8"/>
      <c r="E51" s="8"/>
    </row>
    <row r="52" spans="1:5" ht="19.5" customHeight="1" x14ac:dyDescent="0.3">
      <c r="A52" s="4"/>
      <c r="B52" s="5" t="s">
        <v>46</v>
      </c>
      <c r="C52" s="6"/>
      <c r="D52" s="6"/>
      <c r="E52" s="6"/>
    </row>
    <row r="53" spans="1:5" ht="19.5" customHeight="1" x14ac:dyDescent="0.3">
      <c r="A53" s="4"/>
      <c r="B53" s="5" t="s">
        <v>47</v>
      </c>
      <c r="C53" s="6"/>
      <c r="D53" s="6"/>
      <c r="E53" s="6"/>
    </row>
    <row r="54" spans="1:5" ht="19.5" customHeight="1" x14ac:dyDescent="0.3">
      <c r="A54" s="3"/>
      <c r="B54" s="7" t="s">
        <v>48</v>
      </c>
      <c r="C54" s="8"/>
      <c r="D54" s="8"/>
      <c r="E54" s="8"/>
    </row>
  </sheetData>
  <mergeCells count="9">
    <mergeCell ref="A39:B39"/>
    <mergeCell ref="A21:F21"/>
    <mergeCell ref="A46:F46"/>
    <mergeCell ref="A47:F47"/>
    <mergeCell ref="A1:F1"/>
    <mergeCell ref="A2:F2"/>
    <mergeCell ref="A3:F3"/>
    <mergeCell ref="A5:F5"/>
    <mergeCell ref="A6:F6"/>
  </mergeCells>
  <dataValidations count="2">
    <dataValidation type="list" allowBlank="1" sqref="D23:D35 D8:D19" xr:uid="{00000000-0002-0000-0100-000000000000}">
      <formula1>"Fijo,Variable,Semivariable"</formula1>
      <formula2>0</formula2>
    </dataValidation>
    <dataValidation type="list" allowBlank="1" sqref="E23:E35 E8:E19" xr:uid="{00000000-0002-0000-0100-000001000000}">
      <formula1>"Directo,Indirecto"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37"/>
  <sheetViews>
    <sheetView showGridLines="0" zoomScaleNormal="100" workbookViewId="0">
      <selection activeCell="C16" sqref="C16"/>
    </sheetView>
  </sheetViews>
  <sheetFormatPr baseColWidth="10" defaultColWidth="8.6640625" defaultRowHeight="14.4" x14ac:dyDescent="0.3"/>
  <cols>
    <col min="1" max="1" width="6" style="2" customWidth="1"/>
    <col min="2" max="2" width="26" style="2" customWidth="1"/>
    <col min="3" max="4" width="18" style="2" customWidth="1"/>
    <col min="5" max="5" width="22.33203125" style="2" customWidth="1"/>
    <col min="6" max="6" width="52" style="2" customWidth="1"/>
    <col min="7" max="16384" width="8.6640625" style="2"/>
  </cols>
  <sheetData>
    <row r="1" spans="1:6" ht="27.75" customHeight="1" x14ac:dyDescent="0.3">
      <c r="A1" s="1" t="s">
        <v>176</v>
      </c>
      <c r="B1" s="1"/>
      <c r="C1" s="1"/>
      <c r="D1" s="1"/>
      <c r="E1" s="1"/>
      <c r="F1" s="1"/>
    </row>
    <row r="2" spans="1:6" ht="21.75" customHeight="1" x14ac:dyDescent="0.3">
      <c r="A2" s="13" t="s">
        <v>172</v>
      </c>
      <c r="B2" s="13"/>
      <c r="C2" s="13"/>
      <c r="D2" s="13"/>
      <c r="E2" s="13"/>
      <c r="F2" s="13"/>
    </row>
    <row r="3" spans="1:6" ht="31.5" customHeight="1" x14ac:dyDescent="0.3">
      <c r="A3" s="18" t="s">
        <v>173</v>
      </c>
      <c r="B3" s="18"/>
      <c r="C3" s="18"/>
      <c r="D3" s="18"/>
      <c r="E3" s="18"/>
      <c r="F3" s="18"/>
    </row>
    <row r="5" spans="1:6" ht="21.75" customHeight="1" x14ac:dyDescent="0.3">
      <c r="A5" s="35" t="s">
        <v>167</v>
      </c>
      <c r="B5" s="19"/>
      <c r="C5" s="19"/>
      <c r="D5" s="19"/>
      <c r="E5" s="19"/>
      <c r="F5" s="19"/>
    </row>
    <row r="6" spans="1:6" ht="24" customHeight="1" x14ac:dyDescent="0.3">
      <c r="A6" s="18" t="s">
        <v>49</v>
      </c>
      <c r="B6" s="18"/>
      <c r="C6" s="18"/>
      <c r="D6" s="18"/>
      <c r="E6" s="18"/>
      <c r="F6" s="18"/>
    </row>
    <row r="7" spans="1:6" ht="30" customHeight="1" x14ac:dyDescent="0.3">
      <c r="A7" s="17" t="s">
        <v>0</v>
      </c>
      <c r="B7" s="17" t="s">
        <v>50</v>
      </c>
      <c r="C7" s="17" t="s">
        <v>51</v>
      </c>
      <c r="D7" s="17" t="s">
        <v>52</v>
      </c>
      <c r="E7" s="17" t="s">
        <v>53</v>
      </c>
    </row>
    <row r="8" spans="1:6" ht="19.5" customHeight="1" x14ac:dyDescent="0.3">
      <c r="A8" s="4">
        <v>1</v>
      </c>
      <c r="B8" s="5" t="s">
        <v>54</v>
      </c>
      <c r="C8" s="10">
        <v>1850</v>
      </c>
      <c r="D8" s="6">
        <v>972</v>
      </c>
      <c r="E8" s="4"/>
    </row>
    <row r="9" spans="1:6" ht="19.5" customHeight="1" x14ac:dyDescent="0.3">
      <c r="A9" s="4">
        <v>2</v>
      </c>
      <c r="B9" s="5" t="s">
        <v>55</v>
      </c>
      <c r="C9" s="10">
        <v>2100</v>
      </c>
      <c r="D9" s="6">
        <v>1060</v>
      </c>
      <c r="E9" s="4"/>
    </row>
    <row r="10" spans="1:6" ht="19.5" customHeight="1" x14ac:dyDescent="0.3">
      <c r="A10" s="4">
        <v>3</v>
      </c>
      <c r="B10" s="5" t="s">
        <v>56</v>
      </c>
      <c r="C10" s="10">
        <v>2480</v>
      </c>
      <c r="D10" s="6">
        <v>1170</v>
      </c>
      <c r="E10" s="4"/>
    </row>
    <row r="11" spans="1:6" ht="19.5" customHeight="1" x14ac:dyDescent="0.3">
      <c r="A11" s="4">
        <v>4</v>
      </c>
      <c r="B11" s="5" t="s">
        <v>57</v>
      </c>
      <c r="C11" s="10">
        <v>1200</v>
      </c>
      <c r="D11" s="6">
        <v>764</v>
      </c>
      <c r="E11" s="4"/>
    </row>
    <row r="12" spans="1:6" ht="19.5" customHeight="1" x14ac:dyDescent="0.3">
      <c r="A12" s="4">
        <v>5</v>
      </c>
      <c r="B12" s="5" t="s">
        <v>58</v>
      </c>
      <c r="C12" s="10">
        <v>1640</v>
      </c>
      <c r="D12" s="6">
        <v>910</v>
      </c>
      <c r="E12" s="4"/>
    </row>
    <row r="13" spans="1:6" ht="19.5" customHeight="1" x14ac:dyDescent="0.3">
      <c r="A13" s="4">
        <v>6</v>
      </c>
      <c r="B13" s="5" t="s">
        <v>59</v>
      </c>
      <c r="C13" s="10">
        <v>2050</v>
      </c>
      <c r="D13" s="6">
        <v>1030</v>
      </c>
      <c r="E13" s="4"/>
    </row>
    <row r="14" spans="1:6" ht="19.5" customHeight="1" x14ac:dyDescent="0.3">
      <c r="A14" s="4">
        <v>7</v>
      </c>
      <c r="B14" s="5" t="s">
        <v>60</v>
      </c>
      <c r="C14" s="10">
        <v>2760</v>
      </c>
      <c r="D14" s="6">
        <v>1258</v>
      </c>
      <c r="E14" s="4"/>
    </row>
    <row r="15" spans="1:6" ht="19.5" customHeight="1" x14ac:dyDescent="0.3">
      <c r="A15" s="4">
        <v>8</v>
      </c>
      <c r="B15" s="5" t="s">
        <v>61</v>
      </c>
      <c r="C15" s="10">
        <v>3000</v>
      </c>
      <c r="D15" s="6">
        <v>1340</v>
      </c>
      <c r="E15" s="4"/>
    </row>
    <row r="16" spans="1:6" ht="19.5" customHeight="1" x14ac:dyDescent="0.3">
      <c r="A16" s="4">
        <v>9</v>
      </c>
      <c r="B16" s="5" t="s">
        <v>62</v>
      </c>
      <c r="C16" s="10">
        <v>2300</v>
      </c>
      <c r="D16" s="6">
        <v>1120</v>
      </c>
      <c r="E16" s="4"/>
    </row>
    <row r="17" spans="1:6" ht="19.5" customHeight="1" x14ac:dyDescent="0.3">
      <c r="A17" s="4">
        <v>10</v>
      </c>
      <c r="B17" s="5" t="s">
        <v>63</v>
      </c>
      <c r="C17" s="10">
        <v>1950</v>
      </c>
      <c r="D17" s="6">
        <v>1008</v>
      </c>
      <c r="E17" s="4"/>
    </row>
    <row r="18" spans="1:6" ht="19.5" customHeight="1" x14ac:dyDescent="0.3">
      <c r="A18" s="4">
        <v>11</v>
      </c>
      <c r="B18" s="5" t="s">
        <v>64</v>
      </c>
      <c r="C18" s="10">
        <v>2620</v>
      </c>
      <c r="D18" s="6">
        <v>1215</v>
      </c>
      <c r="E18" s="4"/>
    </row>
    <row r="19" spans="1:6" ht="19.5" customHeight="1" x14ac:dyDescent="0.3">
      <c r="A19" s="4">
        <v>12</v>
      </c>
      <c r="B19" s="5" t="s">
        <v>65</v>
      </c>
      <c r="C19" s="10">
        <v>2900</v>
      </c>
      <c r="D19" s="6">
        <v>1305</v>
      </c>
      <c r="E19" s="4"/>
    </row>
    <row r="21" spans="1:6" ht="21.75" customHeight="1" x14ac:dyDescent="0.3">
      <c r="A21" s="35" t="s">
        <v>166</v>
      </c>
      <c r="B21" s="35"/>
      <c r="C21" s="35"/>
      <c r="D21" s="35"/>
      <c r="E21" s="35"/>
      <c r="F21" s="35"/>
    </row>
    <row r="22" spans="1:6" ht="30" customHeight="1" x14ac:dyDescent="0.3">
      <c r="A22" s="21"/>
      <c r="B22" s="21" t="s">
        <v>66</v>
      </c>
      <c r="C22" s="21" t="s">
        <v>67</v>
      </c>
      <c r="D22" s="21" t="s">
        <v>68</v>
      </c>
      <c r="E22" s="21" t="s">
        <v>69</v>
      </c>
      <c r="F22" s="21" t="s">
        <v>70</v>
      </c>
    </row>
    <row r="23" spans="1:6" ht="21.75" customHeight="1" x14ac:dyDescent="0.3">
      <c r="A23" s="20"/>
      <c r="B23" s="22" t="s">
        <v>71</v>
      </c>
      <c r="C23" s="22" t="s">
        <v>72</v>
      </c>
      <c r="D23" s="23"/>
      <c r="E23" s="24" t="s">
        <v>73</v>
      </c>
      <c r="F23" s="22"/>
    </row>
    <row r="24" spans="1:6" ht="21.75" customHeight="1" x14ac:dyDescent="0.3">
      <c r="A24" s="4"/>
      <c r="B24" s="25" t="s">
        <v>74</v>
      </c>
      <c r="C24" s="25" t="s">
        <v>75</v>
      </c>
      <c r="D24" s="26"/>
      <c r="E24" s="27" t="s">
        <v>73</v>
      </c>
      <c r="F24" s="25"/>
    </row>
    <row r="25" spans="1:6" ht="21.75" customHeight="1" x14ac:dyDescent="0.3">
      <c r="A25" s="4"/>
      <c r="B25" s="25" t="s">
        <v>76</v>
      </c>
      <c r="C25" s="25" t="s">
        <v>77</v>
      </c>
      <c r="D25" s="26"/>
      <c r="E25" s="27" t="s">
        <v>78</v>
      </c>
      <c r="F25" s="25" t="s">
        <v>79</v>
      </c>
    </row>
    <row r="26" spans="1:6" ht="21.75" customHeight="1" x14ac:dyDescent="0.3">
      <c r="A26" s="4"/>
      <c r="B26" s="25" t="s">
        <v>80</v>
      </c>
      <c r="C26" s="25" t="s">
        <v>81</v>
      </c>
      <c r="D26" s="26"/>
      <c r="E26" s="27" t="s">
        <v>78</v>
      </c>
      <c r="F26" s="25" t="s">
        <v>82</v>
      </c>
    </row>
    <row r="27" spans="1:6" ht="21.75" customHeight="1" x14ac:dyDescent="0.3">
      <c r="A27" s="4"/>
      <c r="B27" s="25" t="s">
        <v>83</v>
      </c>
      <c r="C27" s="25" t="s">
        <v>84</v>
      </c>
      <c r="D27" s="26"/>
      <c r="E27" s="27" t="s">
        <v>78</v>
      </c>
      <c r="F27" s="25"/>
    </row>
    <row r="28" spans="1:6" ht="21.75" customHeight="1" x14ac:dyDescent="0.3">
      <c r="A28" s="4"/>
      <c r="B28" s="25" t="s">
        <v>85</v>
      </c>
      <c r="C28" s="25" t="s">
        <v>86</v>
      </c>
      <c r="D28" s="26"/>
      <c r="E28" s="27" t="s">
        <v>73</v>
      </c>
      <c r="F28" s="25"/>
    </row>
    <row r="29" spans="1:6" ht="21.75" customHeight="1" x14ac:dyDescent="0.3">
      <c r="A29" s="4"/>
      <c r="B29" s="25" t="s">
        <v>87</v>
      </c>
      <c r="C29" s="25" t="s">
        <v>88</v>
      </c>
      <c r="D29" s="28"/>
      <c r="E29" s="27" t="s">
        <v>89</v>
      </c>
      <c r="F29" s="25" t="s">
        <v>90</v>
      </c>
    </row>
    <row r="30" spans="1:6" ht="21.75" customHeight="1" x14ac:dyDescent="0.3">
      <c r="A30" s="4"/>
      <c r="B30" s="25" t="s">
        <v>91</v>
      </c>
      <c r="C30" s="25" t="s">
        <v>92</v>
      </c>
      <c r="D30" s="26"/>
      <c r="E30" s="27" t="s">
        <v>93</v>
      </c>
      <c r="F30" s="25" t="s">
        <v>174</v>
      </c>
    </row>
    <row r="32" spans="1:6" ht="21.75" customHeight="1" x14ac:dyDescent="0.3">
      <c r="A32" s="35" t="s">
        <v>168</v>
      </c>
      <c r="B32" s="35"/>
      <c r="C32" s="35"/>
      <c r="D32" s="35"/>
      <c r="E32" s="35"/>
      <c r="F32" s="35"/>
    </row>
    <row r="33" spans="1:6" ht="24" customHeight="1" x14ac:dyDescent="0.3">
      <c r="A33" s="34" t="s">
        <v>94</v>
      </c>
      <c r="B33" s="34"/>
      <c r="C33" s="34"/>
      <c r="D33" s="34"/>
      <c r="E33" s="34"/>
      <c r="F33" s="34"/>
    </row>
    <row r="34" spans="1:6" ht="30" customHeight="1" x14ac:dyDescent="0.3">
      <c r="A34" s="17"/>
      <c r="B34" s="17" t="s">
        <v>95</v>
      </c>
      <c r="C34" s="17" t="s">
        <v>96</v>
      </c>
      <c r="D34" s="17" t="s">
        <v>97</v>
      </c>
      <c r="E34" s="17" t="s">
        <v>98</v>
      </c>
      <c r="F34" s="33"/>
    </row>
    <row r="35" spans="1:6" s="33" customFormat="1" ht="29.4" customHeight="1" x14ac:dyDescent="0.25">
      <c r="A35" s="29"/>
      <c r="B35" s="30" t="s">
        <v>99</v>
      </c>
      <c r="C35" s="31">
        <v>3400</v>
      </c>
      <c r="D35" s="32"/>
      <c r="E35" s="30" t="s">
        <v>100</v>
      </c>
    </row>
    <row r="36" spans="1:6" s="33" customFormat="1" ht="29.4" customHeight="1" x14ac:dyDescent="0.25">
      <c r="A36" s="29"/>
      <c r="B36" s="30" t="s">
        <v>101</v>
      </c>
      <c r="C36" s="31">
        <v>2450</v>
      </c>
      <c r="D36" s="32"/>
      <c r="E36" s="30" t="s">
        <v>100</v>
      </c>
    </row>
    <row r="37" spans="1:6" s="33" customFormat="1" ht="29.4" customHeight="1" x14ac:dyDescent="0.25">
      <c r="A37" s="29"/>
      <c r="B37" s="30" t="s">
        <v>102</v>
      </c>
      <c r="C37" s="31">
        <v>1100</v>
      </c>
      <c r="D37" s="32"/>
      <c r="E37" s="30" t="s">
        <v>100</v>
      </c>
    </row>
  </sheetData>
  <mergeCells count="5">
    <mergeCell ref="A33:F33"/>
    <mergeCell ref="A1:F1"/>
    <mergeCell ref="A2:F2"/>
    <mergeCell ref="A3:F3"/>
    <mergeCell ref="A6:F6"/>
  </mergeCells>
  <dataValidations count="1">
    <dataValidation type="list" allowBlank="1" sqref="E8:E19" xr:uid="{00000000-0002-0000-0300-000000000000}">
      <formula1>"ALTO,BAJO"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56"/>
  <sheetViews>
    <sheetView showGridLines="0" tabSelected="1" topLeftCell="A19" zoomScaleNormal="100" workbookViewId="0">
      <selection activeCell="C45" sqref="C45:F45"/>
    </sheetView>
  </sheetViews>
  <sheetFormatPr baseColWidth="10" defaultColWidth="8.6640625" defaultRowHeight="12" x14ac:dyDescent="0.25"/>
  <cols>
    <col min="1" max="1" width="6" style="33" customWidth="1"/>
    <col min="2" max="2" width="40.21875" style="33" customWidth="1"/>
    <col min="3" max="5" width="20" style="33" customWidth="1"/>
    <col min="6" max="6" width="46" style="33" customWidth="1"/>
    <col min="7" max="16384" width="8.6640625" style="33"/>
  </cols>
  <sheetData>
    <row r="1" spans="1:6" ht="27.75" customHeight="1" x14ac:dyDescent="0.25">
      <c r="A1" s="38" t="s">
        <v>103</v>
      </c>
      <c r="B1" s="38"/>
      <c r="C1" s="38"/>
      <c r="D1" s="38"/>
      <c r="E1" s="38"/>
      <c r="F1" s="38"/>
    </row>
    <row r="2" spans="1:6" ht="27.75" customHeight="1" x14ac:dyDescent="0.25">
      <c r="A2" s="38" t="s">
        <v>104</v>
      </c>
      <c r="B2" s="38"/>
      <c r="C2" s="38"/>
      <c r="D2" s="38"/>
      <c r="E2" s="38"/>
      <c r="F2" s="38"/>
    </row>
    <row r="4" spans="1:6" ht="21.75" customHeight="1" x14ac:dyDescent="0.25">
      <c r="A4" s="39" t="s">
        <v>105</v>
      </c>
      <c r="B4" s="39"/>
      <c r="C4" s="39"/>
      <c r="D4" s="39"/>
      <c r="E4" s="39"/>
      <c r="F4" s="39"/>
    </row>
    <row r="5" spans="1:6" ht="31.5" customHeight="1" x14ac:dyDescent="0.25">
      <c r="A5" s="36" t="s">
        <v>106</v>
      </c>
      <c r="B5" s="36"/>
      <c r="C5" s="36"/>
      <c r="D5" s="36"/>
      <c r="E5" s="36"/>
      <c r="F5" s="36"/>
    </row>
    <row r="7" spans="1:6" ht="21.75" customHeight="1" x14ac:dyDescent="0.25">
      <c r="A7" s="40" t="s">
        <v>177</v>
      </c>
      <c r="B7" s="40"/>
      <c r="C7" s="40"/>
      <c r="D7" s="40"/>
      <c r="E7" s="40"/>
      <c r="F7" s="40"/>
    </row>
    <row r="8" spans="1:6" ht="27.75" customHeight="1" x14ac:dyDescent="0.25">
      <c r="A8" s="37" t="s">
        <v>107</v>
      </c>
      <c r="B8" s="37"/>
      <c r="C8" s="37"/>
      <c r="D8" s="37"/>
      <c r="E8" s="37"/>
      <c r="F8" s="37"/>
    </row>
    <row r="9" spans="1:6" ht="30" customHeight="1" x14ac:dyDescent="0.25">
      <c r="A9" s="41"/>
      <c r="B9" s="41" t="s">
        <v>108</v>
      </c>
      <c r="C9" s="41" t="s">
        <v>109</v>
      </c>
      <c r="D9" s="41" t="s">
        <v>110</v>
      </c>
      <c r="E9" s="41" t="s">
        <v>111</v>
      </c>
      <c r="F9" s="41" t="s">
        <v>112</v>
      </c>
    </row>
    <row r="10" spans="1:6" ht="21.75" customHeight="1" x14ac:dyDescent="0.25">
      <c r="A10" s="41"/>
      <c r="B10" s="42" t="s">
        <v>113</v>
      </c>
      <c r="C10" s="41"/>
      <c r="D10" s="41"/>
      <c r="E10" s="41"/>
      <c r="F10" s="41"/>
    </row>
    <row r="11" spans="1:6" ht="31.5" customHeight="1" x14ac:dyDescent="0.25">
      <c r="A11" s="29"/>
      <c r="B11" s="30" t="s">
        <v>114</v>
      </c>
      <c r="C11" s="43">
        <v>0.35</v>
      </c>
      <c r="D11" s="29"/>
      <c r="E11" s="29"/>
      <c r="F11" s="29"/>
    </row>
    <row r="12" spans="1:6" ht="31.5" customHeight="1" x14ac:dyDescent="0.25">
      <c r="A12" s="29"/>
      <c r="B12" s="30" t="s">
        <v>115</v>
      </c>
      <c r="C12" s="43">
        <v>0.25</v>
      </c>
      <c r="D12" s="29"/>
      <c r="E12" s="29"/>
      <c r="F12" s="29"/>
    </row>
    <row r="13" spans="1:6" ht="31.5" customHeight="1" x14ac:dyDescent="0.25">
      <c r="A13" s="29"/>
      <c r="B13" s="30" t="s">
        <v>116</v>
      </c>
      <c r="C13" s="43">
        <v>0.2</v>
      </c>
      <c r="D13" s="29"/>
      <c r="E13" s="29"/>
      <c r="F13" s="29"/>
    </row>
    <row r="14" spans="1:6" ht="31.5" customHeight="1" x14ac:dyDescent="0.25">
      <c r="A14" s="29"/>
      <c r="B14" s="30" t="s">
        <v>117</v>
      </c>
      <c r="C14" s="43">
        <v>0.2</v>
      </c>
      <c r="D14" s="29"/>
      <c r="E14" s="29"/>
      <c r="F14" s="29"/>
    </row>
    <row r="15" spans="1:6" ht="21.75" customHeight="1" x14ac:dyDescent="0.25">
      <c r="A15" s="41"/>
      <c r="B15" s="42" t="s">
        <v>118</v>
      </c>
      <c r="C15" s="44">
        <f>SUM(C11:C14)</f>
        <v>1</v>
      </c>
      <c r="D15" s="45">
        <f>SUMPRODUCT($C$11:$C$14,D11:D14)</f>
        <v>0</v>
      </c>
      <c r="E15" s="45">
        <f>SUMPRODUCT($C$11:$C$14,E11:E14)</f>
        <v>0</v>
      </c>
      <c r="F15" s="45">
        <f>SUMPRODUCT($C$11:$C$14,F11:F14)</f>
        <v>0</v>
      </c>
    </row>
    <row r="16" spans="1:6" ht="21.75" customHeight="1" x14ac:dyDescent="0.25">
      <c r="A16" s="29"/>
      <c r="B16" s="30" t="s">
        <v>119</v>
      </c>
      <c r="C16" s="29"/>
      <c r="D16" s="46"/>
      <c r="E16" s="46"/>
      <c r="F16" s="46"/>
    </row>
    <row r="17" spans="1:6" ht="33.75" customHeight="1" x14ac:dyDescent="0.25">
      <c r="A17" s="29"/>
      <c r="B17" s="30" t="s">
        <v>120</v>
      </c>
      <c r="C17" s="29"/>
      <c r="D17" s="46"/>
      <c r="E17" s="46"/>
      <c r="F17" s="46"/>
    </row>
    <row r="19" spans="1:6" ht="21.75" customHeight="1" x14ac:dyDescent="0.25">
      <c r="A19" s="40" t="s">
        <v>121</v>
      </c>
      <c r="B19" s="40"/>
      <c r="C19" s="40"/>
      <c r="D19" s="40"/>
      <c r="E19" s="40"/>
      <c r="F19" s="40"/>
    </row>
    <row r="20" spans="1:6" ht="27.75" customHeight="1" x14ac:dyDescent="0.25">
      <c r="A20" s="37" t="s">
        <v>122</v>
      </c>
      <c r="B20" s="37"/>
      <c r="C20" s="37"/>
      <c r="D20" s="37"/>
      <c r="E20" s="37"/>
      <c r="F20" s="37"/>
    </row>
    <row r="21" spans="1:6" ht="30" customHeight="1" x14ac:dyDescent="0.25">
      <c r="A21" s="41" t="s">
        <v>0</v>
      </c>
      <c r="B21" s="41" t="s">
        <v>123</v>
      </c>
      <c r="C21" s="41" t="s">
        <v>124</v>
      </c>
      <c r="D21" s="41" t="s">
        <v>125</v>
      </c>
      <c r="E21" s="41" t="s">
        <v>126</v>
      </c>
      <c r="F21" s="41" t="s">
        <v>127</v>
      </c>
    </row>
    <row r="22" spans="1:6" ht="21.75" customHeight="1" x14ac:dyDescent="0.25">
      <c r="A22" s="29">
        <v>1</v>
      </c>
      <c r="B22" s="30" t="s">
        <v>128</v>
      </c>
      <c r="C22" s="29"/>
      <c r="D22" s="29"/>
      <c r="E22" s="29"/>
      <c r="F22" s="30"/>
    </row>
    <row r="23" spans="1:6" ht="21.75" customHeight="1" x14ac:dyDescent="0.25">
      <c r="A23" s="29">
        <v>2</v>
      </c>
      <c r="B23" s="30" t="s">
        <v>129</v>
      </c>
      <c r="C23" s="29"/>
      <c r="D23" s="29"/>
      <c r="E23" s="29"/>
      <c r="F23" s="30"/>
    </row>
    <row r="24" spans="1:6" ht="21.75" customHeight="1" x14ac:dyDescent="0.25">
      <c r="A24" s="29">
        <v>3</v>
      </c>
      <c r="B24" s="30" t="s">
        <v>130</v>
      </c>
      <c r="C24" s="29"/>
      <c r="D24" s="29"/>
      <c r="E24" s="29"/>
      <c r="F24" s="30"/>
    </row>
    <row r="25" spans="1:6" ht="21.75" customHeight="1" x14ac:dyDescent="0.25">
      <c r="A25" s="29">
        <v>4</v>
      </c>
      <c r="B25" s="30" t="s">
        <v>131</v>
      </c>
      <c r="C25" s="29"/>
      <c r="D25" s="29"/>
      <c r="E25" s="29"/>
      <c r="F25" s="30"/>
    </row>
    <row r="26" spans="1:6" ht="21.75" customHeight="1" x14ac:dyDescent="0.25">
      <c r="A26" s="29">
        <v>5</v>
      </c>
      <c r="B26" s="30" t="s">
        <v>132</v>
      </c>
      <c r="C26" s="29"/>
      <c r="D26" s="29"/>
      <c r="E26" s="29"/>
      <c r="F26" s="30"/>
    </row>
    <row r="27" spans="1:6" ht="21.75" customHeight="1" x14ac:dyDescent="0.25">
      <c r="A27" s="29">
        <v>6</v>
      </c>
      <c r="B27" s="30" t="s">
        <v>133</v>
      </c>
      <c r="C27" s="29"/>
      <c r="D27" s="29"/>
      <c r="E27" s="29"/>
      <c r="F27" s="30"/>
    </row>
    <row r="28" spans="1:6" ht="21.75" customHeight="1" x14ac:dyDescent="0.25">
      <c r="A28" s="29">
        <v>7</v>
      </c>
      <c r="B28" s="30" t="s">
        <v>134</v>
      </c>
      <c r="C28" s="29"/>
      <c r="D28" s="29"/>
      <c r="E28" s="29"/>
      <c r="F28" s="30"/>
    </row>
    <row r="29" spans="1:6" ht="21.75" customHeight="1" x14ac:dyDescent="0.25">
      <c r="A29" s="29">
        <v>8</v>
      </c>
      <c r="B29" s="30" t="s">
        <v>135</v>
      </c>
      <c r="C29" s="29"/>
      <c r="D29" s="29"/>
      <c r="E29" s="29"/>
      <c r="F29" s="30"/>
    </row>
    <row r="30" spans="1:6" ht="21.75" customHeight="1" x14ac:dyDescent="0.25">
      <c r="A30" s="29">
        <v>9</v>
      </c>
      <c r="B30" s="30" t="s">
        <v>136</v>
      </c>
      <c r="C30" s="29"/>
      <c r="D30" s="29"/>
      <c r="E30" s="29"/>
      <c r="F30" s="30"/>
    </row>
    <row r="31" spans="1:6" ht="21.75" customHeight="1" x14ac:dyDescent="0.25">
      <c r="A31" s="29">
        <v>10</v>
      </c>
      <c r="B31" s="30" t="s">
        <v>137</v>
      </c>
      <c r="C31" s="29"/>
      <c r="D31" s="29"/>
      <c r="E31" s="29"/>
      <c r="F31" s="30"/>
    </row>
    <row r="32" spans="1:6" ht="21.75" customHeight="1" x14ac:dyDescent="0.25">
      <c r="A32" s="29">
        <v>11</v>
      </c>
      <c r="B32" s="30" t="s">
        <v>138</v>
      </c>
      <c r="C32" s="29"/>
      <c r="D32" s="29"/>
      <c r="E32" s="29"/>
      <c r="F32" s="30"/>
    </row>
    <row r="33" spans="1:6" ht="21.75" customHeight="1" x14ac:dyDescent="0.25">
      <c r="A33" s="29">
        <v>12</v>
      </c>
      <c r="B33" s="30" t="s">
        <v>139</v>
      </c>
      <c r="C33" s="29"/>
      <c r="D33" s="29"/>
      <c r="E33" s="29"/>
      <c r="F33" s="30"/>
    </row>
    <row r="34" spans="1:6" ht="21.75" customHeight="1" x14ac:dyDescent="0.25">
      <c r="A34" s="29">
        <v>13</v>
      </c>
      <c r="B34" s="30" t="s">
        <v>140</v>
      </c>
      <c r="C34" s="29"/>
      <c r="D34" s="29"/>
      <c r="E34" s="29"/>
      <c r="F34" s="30"/>
    </row>
    <row r="35" spans="1:6" ht="21.75" customHeight="1" x14ac:dyDescent="0.25">
      <c r="A35" s="29">
        <v>14</v>
      </c>
      <c r="B35" s="30" t="s">
        <v>141</v>
      </c>
      <c r="C35" s="29"/>
      <c r="D35" s="29"/>
      <c r="E35" s="29"/>
      <c r="F35" s="30"/>
    </row>
    <row r="36" spans="1:6" ht="21.75" customHeight="1" x14ac:dyDescent="0.25">
      <c r="A36" s="29">
        <v>15</v>
      </c>
      <c r="B36" s="30" t="s">
        <v>142</v>
      </c>
      <c r="C36" s="29"/>
      <c r="D36" s="29"/>
      <c r="E36" s="29"/>
      <c r="F36" s="30"/>
    </row>
    <row r="37" spans="1:6" ht="21.75" customHeight="1" x14ac:dyDescent="0.25">
      <c r="A37" s="41"/>
      <c r="B37" s="42" t="s">
        <v>143</v>
      </c>
      <c r="C37" s="47">
        <f>ROUND(COUNTIF(C22:C36,"Levantado")/15,3)</f>
        <v>0</v>
      </c>
      <c r="D37" s="41"/>
      <c r="E37" s="41"/>
      <c r="F37" s="42"/>
    </row>
    <row r="39" spans="1:6" ht="21.75" customHeight="1" x14ac:dyDescent="0.25">
      <c r="A39" s="40" t="s">
        <v>144</v>
      </c>
      <c r="B39" s="40"/>
      <c r="C39" s="40"/>
      <c r="D39" s="40"/>
      <c r="E39" s="40"/>
      <c r="F39" s="40"/>
    </row>
    <row r="40" spans="1:6" ht="30" customHeight="1" x14ac:dyDescent="0.25">
      <c r="A40" s="41"/>
      <c r="B40" s="41" t="s">
        <v>145</v>
      </c>
      <c r="C40" s="48" t="s">
        <v>146</v>
      </c>
      <c r="D40" s="49"/>
      <c r="E40" s="49"/>
      <c r="F40" s="50"/>
    </row>
    <row r="41" spans="1:6" ht="24" customHeight="1" x14ac:dyDescent="0.25">
      <c r="A41" s="29"/>
      <c r="B41" s="30" t="s">
        <v>147</v>
      </c>
      <c r="C41" s="46"/>
      <c r="D41" s="46"/>
      <c r="E41" s="46"/>
      <c r="F41" s="46"/>
    </row>
    <row r="42" spans="1:6" ht="24" customHeight="1" x14ac:dyDescent="0.25">
      <c r="A42" s="29"/>
      <c r="B42" s="30" t="s">
        <v>148</v>
      </c>
      <c r="C42" s="46"/>
      <c r="D42" s="46"/>
      <c r="E42" s="46"/>
      <c r="F42" s="46"/>
    </row>
    <row r="43" spans="1:6" ht="24" customHeight="1" x14ac:dyDescent="0.25">
      <c r="A43" s="29"/>
      <c r="B43" s="30" t="s">
        <v>149</v>
      </c>
      <c r="C43" s="46"/>
      <c r="D43" s="46"/>
      <c r="E43" s="46"/>
      <c r="F43" s="46"/>
    </row>
    <row r="44" spans="1:6" ht="24" customHeight="1" x14ac:dyDescent="0.25">
      <c r="A44" s="29"/>
      <c r="B44" s="30" t="s">
        <v>150</v>
      </c>
      <c r="C44" s="46"/>
      <c r="D44" s="46"/>
      <c r="E44" s="46"/>
      <c r="F44" s="46"/>
    </row>
    <row r="45" spans="1:6" ht="24" customHeight="1" x14ac:dyDescent="0.25">
      <c r="A45" s="29"/>
      <c r="B45" s="30" t="s">
        <v>151</v>
      </c>
      <c r="C45" s="46"/>
      <c r="D45" s="46"/>
      <c r="E45" s="46"/>
      <c r="F45" s="46"/>
    </row>
    <row r="46" spans="1:6" ht="24" customHeight="1" x14ac:dyDescent="0.25">
      <c r="A46" s="29"/>
      <c r="B46" s="30" t="s">
        <v>152</v>
      </c>
      <c r="C46" s="46"/>
      <c r="D46" s="46"/>
      <c r="E46" s="46"/>
      <c r="F46" s="46"/>
    </row>
    <row r="47" spans="1:6" ht="24" customHeight="1" x14ac:dyDescent="0.25">
      <c r="A47" s="29"/>
      <c r="B47" s="30" t="s">
        <v>153</v>
      </c>
      <c r="C47" s="46"/>
      <c r="D47" s="46"/>
      <c r="E47" s="46"/>
      <c r="F47" s="46"/>
    </row>
    <row r="49" spans="1:6" ht="21.75" customHeight="1" x14ac:dyDescent="0.25">
      <c r="A49" s="40" t="s">
        <v>154</v>
      </c>
      <c r="B49" s="40"/>
      <c r="C49" s="40"/>
      <c r="D49" s="40"/>
      <c r="E49" s="40"/>
      <c r="F49" s="40"/>
    </row>
    <row r="50" spans="1:6" ht="30" customHeight="1" x14ac:dyDescent="0.25">
      <c r="A50" s="41"/>
      <c r="B50" s="41" t="s">
        <v>155</v>
      </c>
      <c r="C50" s="41" t="s">
        <v>156</v>
      </c>
      <c r="D50" s="48" t="s">
        <v>157</v>
      </c>
      <c r="E50" s="49"/>
      <c r="F50" s="50"/>
    </row>
    <row r="51" spans="1:6" ht="24" customHeight="1" x14ac:dyDescent="0.25">
      <c r="A51" s="29"/>
      <c r="B51" s="30" t="s">
        <v>158</v>
      </c>
      <c r="C51" s="29"/>
      <c r="D51" s="46"/>
      <c r="E51" s="46"/>
      <c r="F51" s="46"/>
    </row>
    <row r="52" spans="1:6" ht="24" customHeight="1" x14ac:dyDescent="0.25">
      <c r="A52" s="29"/>
      <c r="B52" s="30" t="s">
        <v>159</v>
      </c>
      <c r="C52" s="29"/>
      <c r="D52" s="46"/>
      <c r="E52" s="46"/>
      <c r="F52" s="46"/>
    </row>
    <row r="53" spans="1:6" ht="24" customHeight="1" x14ac:dyDescent="0.25">
      <c r="A53" s="29"/>
      <c r="B53" s="30" t="s">
        <v>160</v>
      </c>
      <c r="C53" s="29"/>
      <c r="D53" s="46"/>
      <c r="E53" s="46"/>
      <c r="F53" s="46"/>
    </row>
    <row r="54" spans="1:6" ht="24" customHeight="1" x14ac:dyDescent="0.25">
      <c r="A54" s="29"/>
      <c r="B54" s="30" t="s">
        <v>161</v>
      </c>
      <c r="C54" s="29"/>
      <c r="D54" s="46"/>
      <c r="E54" s="46"/>
      <c r="F54" s="46"/>
    </row>
    <row r="55" spans="1:6" ht="24" customHeight="1" x14ac:dyDescent="0.25">
      <c r="A55" s="29"/>
      <c r="B55" s="30" t="s">
        <v>162</v>
      </c>
      <c r="C55" s="29"/>
      <c r="D55" s="46"/>
      <c r="E55" s="46"/>
      <c r="F55" s="46"/>
    </row>
    <row r="56" spans="1:6" ht="30" customHeight="1" x14ac:dyDescent="0.25">
      <c r="A56" s="37" t="s">
        <v>163</v>
      </c>
      <c r="B56" s="37"/>
      <c r="C56" s="37"/>
      <c r="D56" s="37"/>
      <c r="E56" s="37"/>
      <c r="F56" s="37"/>
    </row>
  </sheetData>
  <mergeCells count="27">
    <mergeCell ref="D52:F52"/>
    <mergeCell ref="D53:F53"/>
    <mergeCell ref="D54:F54"/>
    <mergeCell ref="D55:F55"/>
    <mergeCell ref="A56:F56"/>
    <mergeCell ref="C45:F45"/>
    <mergeCell ref="C46:F46"/>
    <mergeCell ref="C47:F47"/>
    <mergeCell ref="A49:F49"/>
    <mergeCell ref="D51:F51"/>
    <mergeCell ref="D50:F50"/>
    <mergeCell ref="A39:F39"/>
    <mergeCell ref="C41:F41"/>
    <mergeCell ref="C42:F42"/>
    <mergeCell ref="C43:F43"/>
    <mergeCell ref="C44:F44"/>
    <mergeCell ref="C40:F40"/>
    <mergeCell ref="A8:F8"/>
    <mergeCell ref="D16:F16"/>
    <mergeCell ref="D17:F17"/>
    <mergeCell ref="A19:F19"/>
    <mergeCell ref="A20:F20"/>
    <mergeCell ref="A1:F1"/>
    <mergeCell ref="A2:F2"/>
    <mergeCell ref="A4:F4"/>
    <mergeCell ref="A5:F5"/>
    <mergeCell ref="A7:F7"/>
  </mergeCells>
  <dataValidations count="3">
    <dataValidation type="list" allowBlank="1" sqref="D11:F14" xr:uid="{00000000-0002-0000-0500-000000000000}">
      <formula1>"1,2,3,4,5"</formula1>
      <formula2>0</formula2>
    </dataValidation>
    <dataValidation type="list" allowBlank="1" sqref="C22:C36" xr:uid="{00000000-0002-0000-0500-000001000000}">
      <formula1>"Levantado,Pendiente,No aplica"</formula1>
      <formula2>0</formula2>
    </dataValidation>
    <dataValidation type="list" allowBlank="1" sqref="C51:C55" xr:uid="{00000000-0002-0000-0500-000002000000}">
      <formula1>"Sí,No"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LAB 1</vt:lpstr>
      <vt:lpstr>LAB 2</vt:lpstr>
      <vt:lpstr>PROYECTO · FICHA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Usuario</cp:lastModifiedBy>
  <cp:revision>0</cp:revision>
  <dcterms:created xsi:type="dcterms:W3CDTF">2026-08-20T13:30:39Z</dcterms:created>
  <dcterms:modified xsi:type="dcterms:W3CDTF">2026-08-20T15:17:58Z</dcterms:modified>
  <dc:language>en-US</dc:language>
</cp:coreProperties>
</file>