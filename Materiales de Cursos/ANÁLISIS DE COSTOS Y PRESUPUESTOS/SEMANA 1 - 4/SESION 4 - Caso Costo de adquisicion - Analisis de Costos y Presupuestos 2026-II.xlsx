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caciones" sheetId="1" state="visible" r:id="rId3"/>
    <sheet name="Activida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<sst xmlns="http://schemas.openxmlformats.org/spreadsheetml/2006/main" count="165" uniqueCount="132">
  <si>
    <t xml:space="preserve">Análisis de Costos y Presupuestos — Sesión 4</t>
  </si>
  <si>
    <t xml:space="preserve">Actividad práctica: cálculo del costo de adquisición</t>
  </si>
  <si>
    <t xml:space="preserve">IES Thomas Jefferson — Marketing — III ciclo — 2026-II</t>
  </si>
  <si>
    <t xml:space="preserve">Qué se evalúa</t>
  </si>
  <si>
    <t xml:space="preserve">Determinar el costo de adquisición de existencias según la NIC 2, parrafos 11 y 15, distinguiendo</t>
  </si>
  <si>
    <t xml:space="preserve">las partidas que integran el costo de aquellas que constituyen gasto del periodo.</t>
  </si>
  <si>
    <t xml:space="preserve">Regla de cálculo</t>
  </si>
  <si>
    <t xml:space="preserve">Costo de adquisición = Precio de compra - descuentos comerciales - rebajas + aranceles de importación</t>
  </si>
  <si>
    <t xml:space="preserve">+ otros impuestos no recuperables + transportes + seguros + almacenamiento + otros costos directamente</t>
  </si>
  <si>
    <t xml:space="preserve">atribuibles a la adquisición.</t>
  </si>
  <si>
    <t xml:space="preserve">El IGV no forma parte del costo porque es recuperable como crédito fiscal.</t>
  </si>
  <si>
    <t xml:space="preserve">Los intereses de financiamiento, los gastos administrativos, los gastos de venta y las mermas anormales</t>
  </si>
  <si>
    <t xml:space="preserve">son gasto del periodo y no integran el costo de la mercadería.</t>
  </si>
  <si>
    <t xml:space="preserve">Indicaciones para el estudiante</t>
  </si>
  <si>
    <t xml:space="preserve">1. Trabaja en la hoja Actividad. Resuelve los siete ejercicios en el orden propuesto.</t>
  </si>
  <si>
    <t xml:space="preserve">2. Escribe solo en las celdas de fondo amarillo. No modifiques los datos del enunciado.</t>
  </si>
  <si>
    <t xml:space="preserve">3. Usa fórmulas de Excel en cada respuesta; no escribas el resultado calculado a mano.</t>
  </si>
  <si>
    <t xml:space="preserve">4. Expresa todos los importes en soles con dos decimales.</t>
  </si>
  <si>
    <t xml:space="preserve">5. En el ejercicio 7 responde SI o NO y justifica en una línea.</t>
  </si>
  <si>
    <t xml:space="preserve">6. El trabajo es individual y se entrega al final de la sesión.</t>
  </si>
  <si>
    <t xml:space="preserve">Leyenda de colores</t>
  </si>
  <si>
    <t xml:space="preserve">Fondo gris: título de ejercicio o encabezado de tabla.</t>
  </si>
  <si>
    <t xml:space="preserve">Fondo blanco: datos del enunciado, no se modifican.</t>
  </si>
  <si>
    <t xml:space="preserve">Fondo amarillo: celda de respuesta que debes completar.</t>
  </si>
  <si>
    <t xml:space="preserve">Ejemplo de formato esperado en una respuesta</t>
  </si>
  <si>
    <t xml:space="preserve">Si el valor de compra está en B20 y el flete en B21, la respuesta se escribe como  =B20+B21  y se muestra</t>
  </si>
  <si>
    <t xml:space="preserve">como 100,000.00</t>
  </si>
  <si>
    <t xml:space="preserve">EJERCICIO 1. Compra local de mercadería</t>
  </si>
  <si>
    <t xml:space="preserve">La empresa Los Comerciantes SAC adquiere 100 computadoras a un valor de compra de S/ 90,000.00 más IGV. Además contrata un servicio de transporte que traslada la mercadería desde el local del vendedor hasta su almacén por S/ 10,000.00 más IGV. Determina el costo de adquisición, el costo unitario y el desembolso total.</t>
  </si>
  <si>
    <t xml:space="preserve">Datos del enunciado</t>
  </si>
  <si>
    <t xml:space="preserve">Importe</t>
  </si>
  <si>
    <t xml:space="preserve">Observación</t>
  </si>
  <si>
    <t xml:space="preserve">Unidades adquiridas</t>
  </si>
  <si>
    <t xml:space="preserve">Valor de compra según factura</t>
  </si>
  <si>
    <t xml:space="preserve">Servicio de transporte hasta el almacén</t>
  </si>
  <si>
    <t xml:space="preserve">Tasa de IGV</t>
  </si>
  <si>
    <t xml:space="preserve">recuperable, no es costo</t>
  </si>
  <si>
    <t xml:space="preserve">Desarrollo</t>
  </si>
  <si>
    <t xml:space="preserve">Costo de adquisición de la mercadería</t>
  </si>
  <si>
    <t xml:space="preserve">Costo unitario por computadora</t>
  </si>
  <si>
    <t xml:space="preserve">IGV de la compra</t>
  </si>
  <si>
    <t xml:space="preserve">IGV del transporte</t>
  </si>
  <si>
    <t xml:space="preserve">Desembolso total de la operación</t>
  </si>
  <si>
    <t xml:space="preserve">EJERCICIO 2. Descuentos comerciales y rebajas</t>
  </si>
  <si>
    <t xml:space="preserve">Distribuidora Andina EIRL compra 500 cajas de conservas a un precio de lista de S/ 40.00 por caja. El proveedor concede un descuento comercial del 8 por ciento sobre el precio de lista y, por el volumen adquirido, una rebaja adicional del 2 por ciento sobre el valor ya descontado. La empresa paga un flete de S/ 1,200.00, estiba y desestiba por S/ 350.00 y un seguro de transporte de S/ 250.00. Determina el costo de adquisición y el costo unitario por caja.</t>
  </si>
  <si>
    <t xml:space="preserve">Cajas adquiridas</t>
  </si>
  <si>
    <t xml:space="preserve">Precio de lista por caja</t>
  </si>
  <si>
    <t xml:space="preserve">Descuento comercial</t>
  </si>
  <si>
    <t xml:space="preserve">Rebaja por volumen</t>
  </si>
  <si>
    <t xml:space="preserve">Flete</t>
  </si>
  <si>
    <t xml:space="preserve">Estiba y desestiba</t>
  </si>
  <si>
    <t xml:space="preserve">Seguro de transporte</t>
  </si>
  <si>
    <t xml:space="preserve">Valor bruto de la compra</t>
  </si>
  <si>
    <t xml:space="preserve">Descuento comercial obtenido</t>
  </si>
  <si>
    <t xml:space="preserve">Valor neto después del descuento</t>
  </si>
  <si>
    <t xml:space="preserve">Rebaja por volumen obtenida</t>
  </si>
  <si>
    <t xml:space="preserve">Precio de compra neto</t>
  </si>
  <si>
    <t xml:space="preserve">Costos adicionales atribuibles</t>
  </si>
  <si>
    <t xml:space="preserve">Costo de adquisición</t>
  </si>
  <si>
    <t xml:space="preserve">Costo unitario por caja</t>
  </si>
  <si>
    <t xml:space="preserve">EJERCICIO 3. Partidas que integran el costo y partidas que son gasto</t>
  </si>
  <si>
    <t xml:space="preserve">Comercial El Misti SAC compra 300 llantas a S/ 260.00 cada una más IGV. Durante el mes registra además los desembolsos que figuran en la tabla. Clasifica cada partida, calcula el costo de adquisición y el costo unitario. Escribe 1 en la columna Integra el costo cuando la partida forme parte del costo y 0 cuando sea gasto del periodo.</t>
  </si>
  <si>
    <t xml:space="preserve">Integra el costo</t>
  </si>
  <si>
    <t xml:space="preserve">Costo computable</t>
  </si>
  <si>
    <t xml:space="preserve">Motivo</t>
  </si>
  <si>
    <t xml:space="preserve">Llantas adquiridas</t>
  </si>
  <si>
    <t xml:space="preserve">Precio de compra por llanta</t>
  </si>
  <si>
    <t xml:space="preserve">Flete del proveedor al almacén</t>
  </si>
  <si>
    <t xml:space="preserve">Seguro de la carga en tránsito</t>
  </si>
  <si>
    <t xml:space="preserve">Servicio de descarga y estiba</t>
  </si>
  <si>
    <t xml:space="preserve">Intereses por financiar la compra a 60 días</t>
  </si>
  <si>
    <t xml:space="preserve">Sueldo del personal administrativo del mes</t>
  </si>
  <si>
    <t xml:space="preserve">Publicidad del producto</t>
  </si>
  <si>
    <t xml:space="preserve">Merma anormal por mal manipuleo</t>
  </si>
  <si>
    <t xml:space="preserve">Costo unitario por llanta</t>
  </si>
  <si>
    <t xml:space="preserve">Total registrado como gasto del periodo</t>
  </si>
  <si>
    <t xml:space="preserve">EJERCICIO 4. Prorrateo de costos comunes entre dos productos</t>
  </si>
  <si>
    <t xml:space="preserve">Importadora del Sur SAC recibe en una misma factura dos productos. El flete y el seguro son comunes a toda la compra y deben distribuirse en función del valor de compra de cada producto. Determina el costo de adquisición y el costo unitario de cada uno.</t>
  </si>
  <si>
    <t xml:space="preserve">Producto A</t>
  </si>
  <si>
    <t xml:space="preserve">Producto B</t>
  </si>
  <si>
    <t xml:space="preserve">Total</t>
  </si>
  <si>
    <t xml:space="preserve">Flete común de toda la compra</t>
  </si>
  <si>
    <t xml:space="preserve">Seguro común de toda la compra</t>
  </si>
  <si>
    <t xml:space="preserve">Participación sobre el valor de compra</t>
  </si>
  <si>
    <t xml:space="preserve">Flete asignado</t>
  </si>
  <si>
    <t xml:space="preserve">Seguro asignado</t>
  </si>
  <si>
    <t xml:space="preserve">Costo unitario</t>
  </si>
  <si>
    <t xml:space="preserve">EJERCICIO 5. Mercadería importada</t>
  </si>
  <si>
    <t xml:space="preserve">Textiles Arequipa SAC importa 1,000 chompas. Determina el valor CIF, el arancel y el costo de adquisición en soles. Considera que el IGV de importación es recuperable y por lo tanto no integra el costo.</t>
  </si>
  <si>
    <t xml:space="preserve">Unidades importadas</t>
  </si>
  <si>
    <t xml:space="preserve">Valor FOB en dólares</t>
  </si>
  <si>
    <t xml:space="preserve">Flete internacional en dólares</t>
  </si>
  <si>
    <t xml:space="preserve">Seguro internacional en dólares</t>
  </si>
  <si>
    <t xml:space="preserve">Tipo de cambio</t>
  </si>
  <si>
    <t xml:space="preserve">Tasa de arancel ad valorem</t>
  </si>
  <si>
    <t xml:space="preserve">Gastos de agencia de aduana en soles</t>
  </si>
  <si>
    <t xml:space="preserve">Transporte del puerto al almacén en soles</t>
  </si>
  <si>
    <t xml:space="preserve">Tasa de IGV de importación</t>
  </si>
  <si>
    <t xml:space="preserve">Valor CIF en dólares</t>
  </si>
  <si>
    <t xml:space="preserve">Valor CIF en soles</t>
  </si>
  <si>
    <t xml:space="preserve">Arancel ad valorem en soles</t>
  </si>
  <si>
    <t xml:space="preserve">Costo unitario por chompa</t>
  </si>
  <si>
    <t xml:space="preserve">IGV de importación, solo referencial</t>
  </si>
  <si>
    <t xml:space="preserve">EJERCICIO 6. Del costo de adquisición al precio de venta</t>
  </si>
  <si>
    <t xml:space="preserve">Con el costo unitario obtenido en el ejercicio 5, Textiles Arequipa SAC desea aplicar un margen del 35 por ciento sobre el costo y considera un gasto de venta de S/ 4.50 por unidad. Determina el precio de venta sin IGV, el IGV y el precio al público.</t>
  </si>
  <si>
    <t xml:space="preserve">Costo unitario del ejercicio 5</t>
  </si>
  <si>
    <t xml:space="preserve">viene del ejercicio anterior</t>
  </si>
  <si>
    <t xml:space="preserve">Gasto de venta por unidad</t>
  </si>
  <si>
    <t xml:space="preserve">Margen sobre el costo</t>
  </si>
  <si>
    <t xml:space="preserve">Costo unitario más gasto de venta</t>
  </si>
  <si>
    <t xml:space="preserve">Utilidad esperada por unidad</t>
  </si>
  <si>
    <t xml:space="preserve">Precio de venta sin IGV</t>
  </si>
  <si>
    <t xml:space="preserve">IGV del precio de venta</t>
  </si>
  <si>
    <t xml:space="preserve">Precio al público</t>
  </si>
  <si>
    <t xml:space="preserve">EJERCICIO 7. Clasificación de partidas</t>
  </si>
  <si>
    <t xml:space="preserve">Indica con SI o NO si cada partida integra el costo de adquisición de las existencias y justifica tu respuesta en una línea.</t>
  </si>
  <si>
    <t xml:space="preserve">Partida</t>
  </si>
  <si>
    <t xml:space="preserve">SI o NO</t>
  </si>
  <si>
    <t xml:space="preserve">Justificación</t>
  </si>
  <si>
    <t xml:space="preserve">1. Precio de compra según factura del proveedor</t>
  </si>
  <si>
    <t xml:space="preserve">2. IGV de la compra</t>
  </si>
  <si>
    <t xml:space="preserve">3. Flete del local del proveedor al almacén</t>
  </si>
  <si>
    <t xml:space="preserve">4. Descuento comercial obtenido del proveedor</t>
  </si>
  <si>
    <t xml:space="preserve">5. Arancel ad valorem de una importación</t>
  </si>
  <si>
    <t xml:space="preserve">6. Seguro de la mercadería en tránsito</t>
  </si>
  <si>
    <t xml:space="preserve">7. Intereses por el financiamiento del proveedor</t>
  </si>
  <si>
    <t xml:space="preserve">8. Sueldo del contador de la empresa</t>
  </si>
  <si>
    <t xml:space="preserve">9. Comisión de la agencia de aduana</t>
  </si>
  <si>
    <t xml:space="preserve">10. Publicidad del producto en redes sociales</t>
  </si>
  <si>
    <t xml:space="preserve">11. Estiba y desestiba en el almacén de destino</t>
  </si>
  <si>
    <t xml:space="preserve">12. Merma anormal ocurrida por mal manipuleo</t>
  </si>
  <si>
    <t xml:space="preserve">Referencia: NIC 2 Inventarios, párrafos 11 y 15. Los datos de todos los ejercicios son supuestos elaborados para fines académicos.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</si>
</sst>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0"/>
    <numFmt numFmtId="167" formatCode="0.0%"/>
    <numFmt numFmtId="168" formatCode="#,##0.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8"/>
  </cols>
  <sheetData>
    <row r="2" customFormat="false" ht="16.15" hidden="false" customHeight="false" outlineLevel="0" collapsed="false">
      <c r="B2" s="1" t="s">
        <v>0</v>
      </c>
    </row>
    <row r="3" customFormat="false" ht="16.15" hidden="false" customHeight="false" outlineLevel="0" collapsed="false">
      <c r="B3" s="1" t="s">
        <v>1</v>
      </c>
    </row>
    <row r="4" customFormat="false" ht="15" hidden="false" customHeight="false" outlineLevel="0" collapsed="false">
      <c r="B4" s="2" t="s">
        <v>2</v>
      </c>
    </row>
    <row r="5" customFormat="false" ht="15" hidden="false" customHeight="false" outlineLevel="0" collapsed="false">
      <c r="B5" s="2"/>
    </row>
    <row r="6" customFormat="false" ht="15" hidden="false" customHeight="false" outlineLevel="0" collapsed="false">
      <c r="B6" s="3" t="s">
        <v>3</v>
      </c>
    </row>
    <row r="7" customFormat="false" ht="15" hidden="false" customHeight="false" outlineLevel="0" collapsed="false">
      <c r="B7" s="2" t="s">
        <v>4</v>
      </c>
    </row>
    <row r="8" customFormat="false" ht="15" hidden="false" customHeight="false" outlineLevel="0" collapsed="false">
      <c r="B8" s="2" t="s">
        <v>5</v>
      </c>
    </row>
    <row r="9" customFormat="false" ht="15" hidden="false" customHeight="false" outlineLevel="0" collapsed="false">
      <c r="B9" s="2"/>
    </row>
    <row r="10" customFormat="false" ht="15" hidden="false" customHeight="false" outlineLevel="0" collapsed="false">
      <c r="B10" s="3" t="s">
        <v>6</v>
      </c>
    </row>
    <row r="11" customFormat="false" ht="15" hidden="false" customHeight="false" outlineLevel="0" collapsed="false">
      <c r="B11" s="2" t="s">
        <v>7</v>
      </c>
    </row>
    <row r="12" customFormat="false" ht="15" hidden="false" customHeight="false" outlineLevel="0" collapsed="false">
      <c r="B12" s="2" t="s">
        <v>8</v>
      </c>
    </row>
    <row r="13" customFormat="false" ht="15" hidden="false" customHeight="false" outlineLevel="0" collapsed="false">
      <c r="B13" s="2" t="s">
        <v>9</v>
      </c>
    </row>
    <row r="14" customFormat="false" ht="15" hidden="false" customHeight="false" outlineLevel="0" collapsed="false">
      <c r="B14" s="2"/>
    </row>
    <row r="15" customFormat="false" ht="15" hidden="false" customHeight="false" outlineLevel="0" collapsed="false">
      <c r="B15" s="2" t="s">
        <v>10</v>
      </c>
    </row>
    <row r="16" customFormat="false" ht="15" hidden="false" customHeight="false" outlineLevel="0" collapsed="false">
      <c r="B16" s="2" t="s">
        <v>11</v>
      </c>
    </row>
    <row r="17" customFormat="false" ht="15" hidden="false" customHeight="false" outlineLevel="0" collapsed="false">
      <c r="B17" s="2" t="s">
        <v>12</v>
      </c>
    </row>
    <row r="18" customFormat="false" ht="15" hidden="false" customHeight="false" outlineLevel="0" collapsed="false">
      <c r="B18" s="2"/>
    </row>
    <row r="19" customFormat="false" ht="15" hidden="false" customHeight="false" outlineLevel="0" collapsed="false">
      <c r="B19" s="3" t="s">
        <v>13</v>
      </c>
    </row>
    <row r="20" customFormat="false" ht="15" hidden="false" customHeight="false" outlineLevel="0" collapsed="false">
      <c r="B20" s="2" t="s">
        <v>14</v>
      </c>
    </row>
    <row r="21" customFormat="false" ht="15" hidden="false" customHeight="false" outlineLevel="0" collapsed="false">
      <c r="B21" s="2" t="s">
        <v>15</v>
      </c>
    </row>
    <row r="22" customFormat="false" ht="15" hidden="false" customHeight="false" outlineLevel="0" collapsed="false">
      <c r="B22" s="2" t="s">
        <v>16</v>
      </c>
    </row>
    <row r="23" customFormat="false" ht="15" hidden="false" customHeight="false" outlineLevel="0" collapsed="false">
      <c r="B23" s="2" t="s">
        <v>17</v>
      </c>
    </row>
    <row r="24" customFormat="false" ht="15" hidden="false" customHeight="false" outlineLevel="0" collapsed="false">
      <c r="B24" s="2" t="s">
        <v>18</v>
      </c>
    </row>
    <row r="25" customFormat="false" ht="15" hidden="false" customHeight="false" outlineLevel="0" collapsed="false">
      <c r="B25" s="2" t="s">
        <v>19</v>
      </c>
    </row>
    <row r="26" customFormat="false" ht="15" hidden="false" customHeight="false" outlineLevel="0" collapsed="false">
      <c r="B26" s="2"/>
    </row>
    <row r="27" customFormat="false" ht="15" hidden="false" customHeight="false" outlineLevel="0" collapsed="false">
      <c r="B27" s="3" t="s">
        <v>20</v>
      </c>
    </row>
    <row r="28" customFormat="false" ht="15" hidden="false" customHeight="false" outlineLevel="0" collapsed="false">
      <c r="B28" s="2" t="s">
        <v>21</v>
      </c>
    </row>
    <row r="29" customFormat="false" ht="15" hidden="false" customHeight="false" outlineLevel="0" collapsed="false">
      <c r="B29" s="2" t="s">
        <v>22</v>
      </c>
    </row>
    <row r="30" customFormat="false" ht="15" hidden="false" customHeight="false" outlineLevel="0" collapsed="false">
      <c r="B30" s="2" t="s">
        <v>23</v>
      </c>
    </row>
    <row r="31" customFormat="false" ht="15" hidden="false" customHeight="false" outlineLevel="0" collapsed="false">
      <c r="B31" s="2"/>
    </row>
    <row r="32" customFormat="false" ht="15" hidden="false" customHeight="false" outlineLevel="0" collapsed="false">
      <c r="B32" s="3" t="s">
        <v>24</v>
      </c>
    </row>
    <row r="33" customFormat="false" ht="15" hidden="false" customHeight="false" outlineLevel="0" collapsed="false">
      <c r="B33" s="2" t="s">
        <v>25</v>
      </c>
    </row>
    <row r="34" customFormat="false" ht="15" hidden="false" customHeight="false" outlineLevel="0" collapsed="false">
      <c r="B34" s="2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8"/>
    <col collapsed="false" customWidth="true" hidden="false" outlineLevel="0" max="5" min="3" style="0" width="16"/>
    <col collapsed="false" customWidth="true" hidden="false" outlineLevel="0" max="6" min="6" style="0" width="46"/>
  </cols>
  <sheetData>
    <row r="2" customFormat="false" ht="19.5" hidden="false" customHeight="true" outlineLevel="0" collapsed="false">
      <c r="B2" s="4" t="s">
        <v>27</v>
      </c>
      <c r="C2" s="4"/>
      <c r="D2" s="4"/>
      <c r="E2" s="4"/>
      <c r="F2" s="4"/>
    </row>
    <row r="3" customFormat="false" ht="48.75" hidden="false" customHeight="true" outlineLevel="0" collapsed="false">
      <c r="B3" s="5" t="s">
        <v>28</v>
      </c>
      <c r="C3" s="5"/>
      <c r="D3" s="5"/>
      <c r="E3" s="5"/>
      <c r="F3" s="5"/>
    </row>
    <row r="5" customFormat="false" ht="15" hidden="false" customHeight="false" outlineLevel="0" collapsed="false">
      <c r="B5" s="6" t="s">
        <v>29</v>
      </c>
      <c r="C5" s="7" t="s">
        <v>30</v>
      </c>
      <c r="D5" s="7" t="s">
        <v>31</v>
      </c>
    </row>
    <row r="6" customFormat="false" ht="15" hidden="false" customHeight="false" outlineLevel="0" collapsed="false">
      <c r="B6" s="8" t="s">
        <v>32</v>
      </c>
      <c r="C6" s="9" t="n">
        <v>100</v>
      </c>
    </row>
    <row r="7" customFormat="false" ht="15" hidden="false" customHeight="false" outlineLevel="0" collapsed="false">
      <c r="B7" s="8" t="s">
        <v>33</v>
      </c>
      <c r="C7" s="10" t="n">
        <v>90000</v>
      </c>
    </row>
    <row r="8" customFormat="false" ht="15" hidden="false" customHeight="false" outlineLevel="0" collapsed="false">
      <c r="B8" s="8" t="s">
        <v>34</v>
      </c>
      <c r="C8" s="10" t="n">
        <v>10000</v>
      </c>
    </row>
    <row r="9" customFormat="false" ht="15" hidden="false" customHeight="false" outlineLevel="0" collapsed="false">
      <c r="B9" s="8" t="s">
        <v>35</v>
      </c>
      <c r="C9" s="11" t="n">
        <v>0.18</v>
      </c>
      <c r="D9" s="12" t="s">
        <v>36</v>
      </c>
    </row>
    <row r="11" customFormat="false" ht="15" hidden="false" customHeight="false" outlineLevel="0" collapsed="false">
      <c r="B11" s="6" t="s">
        <v>37</v>
      </c>
      <c r="C11" s="7" t="s">
        <v>30</v>
      </c>
    </row>
    <row r="12" customFormat="false" ht="15" hidden="false" customHeight="false" outlineLevel="0" collapsed="false">
      <c r="B12" s="8" t="s">
        <v>38</v>
      </c>
      <c r="C12" s="13"/>
    </row>
    <row r="13" customFormat="false" ht="15" hidden="false" customHeight="false" outlineLevel="0" collapsed="false">
      <c r="B13" s="8" t="s">
        <v>39</v>
      </c>
      <c r="C13" s="13"/>
    </row>
    <row r="14" customFormat="false" ht="15" hidden="false" customHeight="false" outlineLevel="0" collapsed="false">
      <c r="B14" s="8" t="s">
        <v>40</v>
      </c>
      <c r="C14" s="13"/>
    </row>
    <row r="15" customFormat="false" ht="15" hidden="false" customHeight="false" outlineLevel="0" collapsed="false">
      <c r="B15" s="8" t="s">
        <v>41</v>
      </c>
      <c r="C15" s="13"/>
    </row>
    <row r="16" customFormat="false" ht="15" hidden="false" customHeight="false" outlineLevel="0" collapsed="false">
      <c r="B16" s="8" t="s">
        <v>42</v>
      </c>
      <c r="C16" s="13"/>
    </row>
    <row r="19" customFormat="false" ht="19.5" hidden="false" customHeight="true" outlineLevel="0" collapsed="false">
      <c r="B19" s="4" t="s">
        <v>43</v>
      </c>
      <c r="C19" s="4"/>
      <c r="D19" s="4"/>
      <c r="E19" s="4"/>
      <c r="F19" s="4"/>
    </row>
    <row r="20" customFormat="false" ht="63.75" hidden="false" customHeight="true" outlineLevel="0" collapsed="false">
      <c r="B20" s="5" t="s">
        <v>44</v>
      </c>
      <c r="C20" s="5"/>
      <c r="D20" s="5"/>
      <c r="E20" s="5"/>
      <c r="F20" s="5"/>
    </row>
    <row r="22" customFormat="false" ht="15" hidden="false" customHeight="false" outlineLevel="0" collapsed="false">
      <c r="B22" s="6" t="s">
        <v>29</v>
      </c>
      <c r="C22" s="7" t="s">
        <v>30</v>
      </c>
      <c r="D22" s="7" t="s">
        <v>31</v>
      </c>
    </row>
    <row r="23" customFormat="false" ht="15" hidden="false" customHeight="false" outlineLevel="0" collapsed="false">
      <c r="B23" s="8" t="s">
        <v>45</v>
      </c>
      <c r="C23" s="9" t="n">
        <v>500</v>
      </c>
    </row>
    <row r="24" customFormat="false" ht="15" hidden="false" customHeight="false" outlineLevel="0" collapsed="false">
      <c r="B24" s="8" t="s">
        <v>46</v>
      </c>
      <c r="C24" s="10" t="n">
        <v>40</v>
      </c>
    </row>
    <row r="25" customFormat="false" ht="15" hidden="false" customHeight="false" outlineLevel="0" collapsed="false">
      <c r="B25" s="8" t="s">
        <v>47</v>
      </c>
      <c r="C25" s="11" t="n">
        <v>0.08</v>
      </c>
    </row>
    <row r="26" customFormat="false" ht="15" hidden="false" customHeight="false" outlineLevel="0" collapsed="false">
      <c r="B26" s="8" t="s">
        <v>48</v>
      </c>
      <c r="C26" s="11" t="n">
        <v>0.02</v>
      </c>
    </row>
    <row r="27" customFormat="false" ht="15" hidden="false" customHeight="false" outlineLevel="0" collapsed="false">
      <c r="B27" s="8" t="s">
        <v>49</v>
      </c>
      <c r="C27" s="10" t="n">
        <v>1200</v>
      </c>
    </row>
    <row r="28" customFormat="false" ht="15" hidden="false" customHeight="false" outlineLevel="0" collapsed="false">
      <c r="B28" s="8" t="s">
        <v>50</v>
      </c>
      <c r="C28" s="10" t="n">
        <v>350</v>
      </c>
    </row>
    <row r="29" customFormat="false" ht="15" hidden="false" customHeight="false" outlineLevel="0" collapsed="false">
      <c r="B29" s="8" t="s">
        <v>51</v>
      </c>
      <c r="C29" s="10" t="n">
        <v>250</v>
      </c>
    </row>
    <row r="31" customFormat="false" ht="15" hidden="false" customHeight="false" outlineLevel="0" collapsed="false">
      <c r="B31" s="6" t="s">
        <v>37</v>
      </c>
      <c r="C31" s="7" t="s">
        <v>30</v>
      </c>
    </row>
    <row r="32" customFormat="false" ht="15" hidden="false" customHeight="false" outlineLevel="0" collapsed="false">
      <c r="B32" s="8" t="s">
        <v>52</v>
      </c>
      <c r="C32" s="13"/>
    </row>
    <row r="33" customFormat="false" ht="15" hidden="false" customHeight="false" outlineLevel="0" collapsed="false">
      <c r="B33" s="8" t="s">
        <v>53</v>
      </c>
      <c r="C33" s="13"/>
    </row>
    <row r="34" customFormat="false" ht="15" hidden="false" customHeight="false" outlineLevel="0" collapsed="false">
      <c r="B34" s="8" t="s">
        <v>54</v>
      </c>
      <c r="C34" s="13"/>
    </row>
    <row r="35" customFormat="false" ht="15" hidden="false" customHeight="false" outlineLevel="0" collapsed="false">
      <c r="B35" s="8" t="s">
        <v>55</v>
      </c>
      <c r="C35" s="13"/>
    </row>
    <row r="36" customFormat="false" ht="15" hidden="false" customHeight="false" outlineLevel="0" collapsed="false">
      <c r="B36" s="8" t="s">
        <v>56</v>
      </c>
      <c r="C36" s="13"/>
    </row>
    <row r="37" customFormat="false" ht="15" hidden="false" customHeight="false" outlineLevel="0" collapsed="false">
      <c r="B37" s="8" t="s">
        <v>57</v>
      </c>
      <c r="C37" s="13"/>
    </row>
    <row r="38" customFormat="false" ht="15" hidden="false" customHeight="false" outlineLevel="0" collapsed="false">
      <c r="B38" s="8" t="s">
        <v>58</v>
      </c>
      <c r="C38" s="13"/>
    </row>
    <row r="39" customFormat="false" ht="15" hidden="false" customHeight="false" outlineLevel="0" collapsed="false">
      <c r="B39" s="8" t="s">
        <v>59</v>
      </c>
      <c r="C39" s="13"/>
    </row>
    <row r="42" customFormat="false" ht="19.5" hidden="false" customHeight="true" outlineLevel="0" collapsed="false">
      <c r="B42" s="4" t="s">
        <v>60</v>
      </c>
      <c r="C42" s="4"/>
      <c r="D42" s="4"/>
      <c r="E42" s="4"/>
      <c r="F42" s="4"/>
    </row>
    <row r="43" customFormat="false" ht="48.75" hidden="false" customHeight="true" outlineLevel="0" collapsed="false">
      <c r="B43" s="5" t="s">
        <v>61</v>
      </c>
      <c r="C43" s="5"/>
      <c r="D43" s="5"/>
      <c r="E43" s="5"/>
      <c r="F43" s="5"/>
    </row>
    <row r="45" customFormat="false" ht="26.85" hidden="false" customHeight="false" outlineLevel="0" collapsed="false">
      <c r="B45" s="6" t="s">
        <v>29</v>
      </c>
      <c r="C45" s="7" t="s">
        <v>30</v>
      </c>
      <c r="D45" s="7" t="s">
        <v>62</v>
      </c>
      <c r="E45" s="7" t="s">
        <v>63</v>
      </c>
      <c r="F45" s="7" t="s">
        <v>64</v>
      </c>
    </row>
    <row r="46" customFormat="false" ht="15" hidden="false" customHeight="false" outlineLevel="0" collapsed="false">
      <c r="B46" s="8" t="s">
        <v>65</v>
      </c>
      <c r="C46" s="9" t="n">
        <v>300</v>
      </c>
    </row>
    <row r="47" customFormat="false" ht="15" hidden="false" customHeight="false" outlineLevel="0" collapsed="false">
      <c r="B47" s="8" t="s">
        <v>66</v>
      </c>
      <c r="C47" s="10" t="n">
        <v>260</v>
      </c>
    </row>
    <row r="48" customFormat="false" ht="15" hidden="false" customHeight="false" outlineLevel="0" collapsed="false">
      <c r="B48" s="8" t="s">
        <v>33</v>
      </c>
      <c r="C48" s="10" t="n">
        <f aca="false">C46*C47</f>
        <v>78000</v>
      </c>
      <c r="D48" s="14"/>
      <c r="E48" s="13"/>
      <c r="F48" s="15"/>
    </row>
    <row r="49" customFormat="false" ht="15" hidden="false" customHeight="false" outlineLevel="0" collapsed="false">
      <c r="B49" s="8" t="s">
        <v>67</v>
      </c>
      <c r="C49" s="10" t="n">
        <v>2400</v>
      </c>
      <c r="D49" s="14"/>
      <c r="E49" s="13"/>
      <c r="F49" s="15"/>
    </row>
    <row r="50" customFormat="false" ht="15" hidden="false" customHeight="false" outlineLevel="0" collapsed="false">
      <c r="B50" s="8" t="s">
        <v>68</v>
      </c>
      <c r="C50" s="10" t="n">
        <v>600</v>
      </c>
      <c r="D50" s="14"/>
      <c r="E50" s="13"/>
      <c r="F50" s="15"/>
    </row>
    <row r="51" customFormat="false" ht="15" hidden="false" customHeight="false" outlineLevel="0" collapsed="false">
      <c r="B51" s="8" t="s">
        <v>69</v>
      </c>
      <c r="C51" s="10" t="n">
        <v>500</v>
      </c>
      <c r="D51" s="14"/>
      <c r="E51" s="13"/>
      <c r="F51" s="15"/>
    </row>
    <row r="52" customFormat="false" ht="15" hidden="false" customHeight="false" outlineLevel="0" collapsed="false">
      <c r="B52" s="8" t="s">
        <v>70</v>
      </c>
      <c r="C52" s="10" t="n">
        <v>900</v>
      </c>
      <c r="D52" s="14"/>
      <c r="E52" s="13"/>
      <c r="F52" s="15"/>
    </row>
    <row r="53" customFormat="false" ht="15" hidden="false" customHeight="false" outlineLevel="0" collapsed="false">
      <c r="B53" s="8" t="s">
        <v>71</v>
      </c>
      <c r="C53" s="10" t="n">
        <v>3000</v>
      </c>
      <c r="D53" s="14"/>
      <c r="E53" s="13"/>
      <c r="F53" s="15"/>
    </row>
    <row r="54" customFormat="false" ht="15" hidden="false" customHeight="false" outlineLevel="0" collapsed="false">
      <c r="B54" s="8" t="s">
        <v>72</v>
      </c>
      <c r="C54" s="10" t="n">
        <v>1500</v>
      </c>
      <c r="D54" s="14"/>
      <c r="E54" s="13"/>
      <c r="F54" s="15"/>
    </row>
    <row r="55" customFormat="false" ht="15" hidden="false" customHeight="false" outlineLevel="0" collapsed="false">
      <c r="B55" s="8" t="s">
        <v>73</v>
      </c>
      <c r="C55" s="10" t="n">
        <v>700</v>
      </c>
      <c r="D55" s="14"/>
      <c r="E55" s="13"/>
      <c r="F55" s="15"/>
    </row>
    <row r="57" customFormat="false" ht="15" hidden="false" customHeight="false" outlineLevel="0" collapsed="false">
      <c r="B57" s="6" t="s">
        <v>37</v>
      </c>
      <c r="C57" s="7" t="s">
        <v>30</v>
      </c>
    </row>
    <row r="58" customFormat="false" ht="15" hidden="false" customHeight="false" outlineLevel="0" collapsed="false">
      <c r="B58" s="8" t="s">
        <v>58</v>
      </c>
      <c r="C58" s="13"/>
    </row>
    <row r="59" customFormat="false" ht="15" hidden="false" customHeight="false" outlineLevel="0" collapsed="false">
      <c r="B59" s="8" t="s">
        <v>74</v>
      </c>
      <c r="C59" s="13"/>
    </row>
    <row r="60" customFormat="false" ht="15" hidden="false" customHeight="false" outlineLevel="0" collapsed="false">
      <c r="B60" s="8" t="s">
        <v>75</v>
      </c>
      <c r="C60" s="13"/>
    </row>
    <row r="63" customFormat="false" ht="19.5" hidden="false" customHeight="true" outlineLevel="0" collapsed="false">
      <c r="B63" s="4" t="s">
        <v>76</v>
      </c>
      <c r="C63" s="4"/>
      <c r="D63" s="4"/>
      <c r="E63" s="4"/>
      <c r="F63" s="4"/>
    </row>
    <row r="64" customFormat="false" ht="33.75" hidden="false" customHeight="true" outlineLevel="0" collapsed="false">
      <c r="B64" s="5" t="s">
        <v>77</v>
      </c>
      <c r="C64" s="5"/>
      <c r="D64" s="5"/>
      <c r="E64" s="5"/>
      <c r="F64" s="5"/>
    </row>
    <row r="66" customFormat="false" ht="15" hidden="false" customHeight="false" outlineLevel="0" collapsed="false">
      <c r="B66" s="6" t="s">
        <v>29</v>
      </c>
      <c r="C66" s="7" t="s">
        <v>78</v>
      </c>
      <c r="D66" s="7" t="s">
        <v>79</v>
      </c>
      <c r="E66" s="7" t="s">
        <v>80</v>
      </c>
    </row>
    <row r="67" customFormat="false" ht="15" hidden="false" customHeight="false" outlineLevel="0" collapsed="false">
      <c r="B67" s="8" t="s">
        <v>32</v>
      </c>
      <c r="C67" s="9" t="n">
        <v>200</v>
      </c>
      <c r="D67" s="9" t="n">
        <v>300</v>
      </c>
      <c r="E67" s="9" t="n">
        <f aca="false">C67+D67</f>
        <v>500</v>
      </c>
    </row>
    <row r="68" customFormat="false" ht="15" hidden="false" customHeight="false" outlineLevel="0" collapsed="false">
      <c r="B68" s="8" t="s">
        <v>33</v>
      </c>
      <c r="C68" s="10" t="n">
        <v>24000</v>
      </c>
      <c r="D68" s="10" t="n">
        <v>36000</v>
      </c>
      <c r="E68" s="10" t="n">
        <f aca="false">C68+D68</f>
        <v>60000</v>
      </c>
    </row>
    <row r="69" customFormat="false" ht="15" hidden="false" customHeight="false" outlineLevel="0" collapsed="false">
      <c r="B69" s="8" t="s">
        <v>81</v>
      </c>
      <c r="C69" s="10" t="n">
        <v>3000</v>
      </c>
    </row>
    <row r="70" customFormat="false" ht="15" hidden="false" customHeight="false" outlineLevel="0" collapsed="false">
      <c r="B70" s="8" t="s">
        <v>82</v>
      </c>
      <c r="C70" s="10" t="n">
        <v>1200</v>
      </c>
    </row>
    <row r="72" customFormat="false" ht="15" hidden="false" customHeight="false" outlineLevel="0" collapsed="false">
      <c r="B72" s="6" t="s">
        <v>37</v>
      </c>
      <c r="C72" s="7" t="s">
        <v>78</v>
      </c>
      <c r="D72" s="7" t="s">
        <v>79</v>
      </c>
      <c r="E72" s="7" t="s">
        <v>80</v>
      </c>
    </row>
    <row r="73" customFormat="false" ht="15" hidden="false" customHeight="false" outlineLevel="0" collapsed="false">
      <c r="B73" s="8" t="s">
        <v>83</v>
      </c>
      <c r="C73" s="16"/>
      <c r="D73" s="16"/>
      <c r="E73" s="16"/>
    </row>
    <row r="74" customFormat="false" ht="15" hidden="false" customHeight="false" outlineLevel="0" collapsed="false">
      <c r="B74" s="8" t="s">
        <v>84</v>
      </c>
      <c r="C74" s="13"/>
      <c r="D74" s="13"/>
      <c r="E74" s="13"/>
    </row>
    <row r="75" customFormat="false" ht="15" hidden="false" customHeight="false" outlineLevel="0" collapsed="false">
      <c r="B75" s="8" t="s">
        <v>85</v>
      </c>
      <c r="C75" s="13"/>
      <c r="D75" s="13"/>
      <c r="E75" s="13"/>
    </row>
    <row r="76" customFormat="false" ht="15" hidden="false" customHeight="false" outlineLevel="0" collapsed="false">
      <c r="B76" s="8" t="s">
        <v>58</v>
      </c>
      <c r="C76" s="13"/>
      <c r="D76" s="13"/>
      <c r="E76" s="13"/>
    </row>
    <row r="77" customFormat="false" ht="15" hidden="false" customHeight="false" outlineLevel="0" collapsed="false">
      <c r="B77" s="8" t="s">
        <v>86</v>
      </c>
      <c r="C77" s="13"/>
      <c r="D77" s="13"/>
    </row>
    <row r="80" customFormat="false" ht="19.5" hidden="false" customHeight="true" outlineLevel="0" collapsed="false">
      <c r="B80" s="4" t="s">
        <v>87</v>
      </c>
      <c r="C80" s="4"/>
      <c r="D80" s="4"/>
      <c r="E80" s="4"/>
      <c r="F80" s="4"/>
    </row>
    <row r="81" customFormat="false" ht="33.75" hidden="false" customHeight="true" outlineLevel="0" collapsed="false">
      <c r="B81" s="5" t="s">
        <v>88</v>
      </c>
      <c r="C81" s="5"/>
      <c r="D81" s="5"/>
      <c r="E81" s="5"/>
      <c r="F81" s="5"/>
    </row>
    <row r="83" customFormat="false" ht="15" hidden="false" customHeight="false" outlineLevel="0" collapsed="false">
      <c r="B83" s="6" t="s">
        <v>29</v>
      </c>
      <c r="C83" s="7" t="s">
        <v>30</v>
      </c>
      <c r="D83" s="7" t="s">
        <v>31</v>
      </c>
    </row>
    <row r="84" customFormat="false" ht="15" hidden="false" customHeight="false" outlineLevel="0" collapsed="false">
      <c r="B84" s="8" t="s">
        <v>89</v>
      </c>
      <c r="C84" s="9" t="n">
        <v>1000</v>
      </c>
    </row>
    <row r="85" customFormat="false" ht="15" hidden="false" customHeight="false" outlineLevel="0" collapsed="false">
      <c r="B85" s="8" t="s">
        <v>90</v>
      </c>
      <c r="C85" s="10" t="n">
        <v>12000</v>
      </c>
    </row>
    <row r="86" customFormat="false" ht="15" hidden="false" customHeight="false" outlineLevel="0" collapsed="false">
      <c r="B86" s="8" t="s">
        <v>91</v>
      </c>
      <c r="C86" s="10" t="n">
        <v>900</v>
      </c>
    </row>
    <row r="87" customFormat="false" ht="15" hidden="false" customHeight="false" outlineLevel="0" collapsed="false">
      <c r="B87" s="8" t="s">
        <v>92</v>
      </c>
      <c r="C87" s="10" t="n">
        <v>300</v>
      </c>
    </row>
    <row r="88" customFormat="false" ht="15" hidden="false" customHeight="false" outlineLevel="0" collapsed="false">
      <c r="B88" s="8" t="s">
        <v>93</v>
      </c>
      <c r="C88" s="17" t="n">
        <v>3.75</v>
      </c>
    </row>
    <row r="89" customFormat="false" ht="15" hidden="false" customHeight="false" outlineLevel="0" collapsed="false">
      <c r="B89" s="8" t="s">
        <v>94</v>
      </c>
      <c r="C89" s="11" t="n">
        <v>0.06</v>
      </c>
    </row>
    <row r="90" customFormat="false" ht="15" hidden="false" customHeight="false" outlineLevel="0" collapsed="false">
      <c r="B90" s="8" t="s">
        <v>95</v>
      </c>
      <c r="C90" s="10" t="n">
        <v>1800</v>
      </c>
    </row>
    <row r="91" customFormat="false" ht="15" hidden="false" customHeight="false" outlineLevel="0" collapsed="false">
      <c r="B91" s="8" t="s">
        <v>96</v>
      </c>
      <c r="C91" s="10" t="n">
        <v>2200</v>
      </c>
    </row>
    <row r="92" customFormat="false" ht="15" hidden="false" customHeight="false" outlineLevel="0" collapsed="false">
      <c r="B92" s="8" t="s">
        <v>97</v>
      </c>
      <c r="C92" s="11" t="n">
        <v>0.18</v>
      </c>
      <c r="D92" s="12" t="s">
        <v>36</v>
      </c>
    </row>
    <row r="94" customFormat="false" ht="15" hidden="false" customHeight="false" outlineLevel="0" collapsed="false">
      <c r="B94" s="6" t="s">
        <v>37</v>
      </c>
      <c r="C94" s="7" t="s">
        <v>30</v>
      </c>
    </row>
    <row r="95" customFormat="false" ht="15" hidden="false" customHeight="false" outlineLevel="0" collapsed="false">
      <c r="B95" s="8" t="s">
        <v>98</v>
      </c>
      <c r="C95" s="13"/>
    </row>
    <row r="96" customFormat="false" ht="15" hidden="false" customHeight="false" outlineLevel="0" collapsed="false">
      <c r="B96" s="8" t="s">
        <v>99</v>
      </c>
      <c r="C96" s="13"/>
    </row>
    <row r="97" customFormat="false" ht="15" hidden="false" customHeight="false" outlineLevel="0" collapsed="false">
      <c r="B97" s="8" t="s">
        <v>100</v>
      </c>
      <c r="C97" s="13"/>
    </row>
    <row r="98" customFormat="false" ht="15" hidden="false" customHeight="false" outlineLevel="0" collapsed="false">
      <c r="B98" s="8" t="s">
        <v>58</v>
      </c>
      <c r="C98" s="13"/>
    </row>
    <row r="99" customFormat="false" ht="15" hidden="false" customHeight="false" outlineLevel="0" collapsed="false">
      <c r="B99" s="8" t="s">
        <v>101</v>
      </c>
      <c r="C99" s="13"/>
    </row>
    <row r="100" customFormat="false" ht="15" hidden="false" customHeight="false" outlineLevel="0" collapsed="false">
      <c r="B100" s="8" t="s">
        <v>102</v>
      </c>
      <c r="C100" s="13"/>
    </row>
    <row r="103" customFormat="false" ht="19.5" hidden="false" customHeight="true" outlineLevel="0" collapsed="false">
      <c r="B103" s="4" t="s">
        <v>103</v>
      </c>
      <c r="C103" s="4"/>
      <c r="D103" s="4"/>
      <c r="E103" s="4"/>
      <c r="F103" s="4"/>
    </row>
    <row r="104" customFormat="false" ht="33.75" hidden="false" customHeight="true" outlineLevel="0" collapsed="false">
      <c r="B104" s="5" t="s">
        <v>104</v>
      </c>
      <c r="C104" s="5"/>
      <c r="D104" s="5"/>
      <c r="E104" s="5"/>
      <c r="F104" s="5"/>
    </row>
    <row r="106" customFormat="false" ht="15" hidden="false" customHeight="false" outlineLevel="0" collapsed="false">
      <c r="B106" s="6" t="s">
        <v>29</v>
      </c>
      <c r="C106" s="7" t="s">
        <v>30</v>
      </c>
      <c r="D106" s="7" t="s">
        <v>31</v>
      </c>
    </row>
    <row r="107" customFormat="false" ht="15" hidden="false" customHeight="false" outlineLevel="0" collapsed="false">
      <c r="B107" s="8" t="s">
        <v>105</v>
      </c>
      <c r="C107" s="10" t="n">
        <f aca="false">C99</f>
        <v>0</v>
      </c>
      <c r="D107" s="12" t="s">
        <v>106</v>
      </c>
    </row>
    <row r="108" customFormat="false" ht="15" hidden="false" customHeight="false" outlineLevel="0" collapsed="false">
      <c r="B108" s="8" t="s">
        <v>107</v>
      </c>
      <c r="C108" s="10" t="n">
        <v>4.5</v>
      </c>
    </row>
    <row r="109" customFormat="false" ht="15" hidden="false" customHeight="false" outlineLevel="0" collapsed="false">
      <c r="B109" s="8" t="s">
        <v>108</v>
      </c>
      <c r="C109" s="11" t="n">
        <v>0.35</v>
      </c>
    </row>
    <row r="110" customFormat="false" ht="15" hidden="false" customHeight="false" outlineLevel="0" collapsed="false">
      <c r="B110" s="8" t="s">
        <v>35</v>
      </c>
      <c r="C110" s="11" t="n">
        <v>0.18</v>
      </c>
    </row>
    <row r="112" customFormat="false" ht="15" hidden="false" customHeight="false" outlineLevel="0" collapsed="false">
      <c r="B112" s="6" t="s">
        <v>37</v>
      </c>
      <c r="C112" s="7" t="s">
        <v>30</v>
      </c>
    </row>
    <row r="113" customFormat="false" ht="15" hidden="false" customHeight="false" outlineLevel="0" collapsed="false">
      <c r="B113" s="8" t="s">
        <v>109</v>
      </c>
      <c r="C113" s="13"/>
    </row>
    <row r="114" customFormat="false" ht="15" hidden="false" customHeight="false" outlineLevel="0" collapsed="false">
      <c r="B114" s="8" t="s">
        <v>110</v>
      </c>
      <c r="C114" s="13"/>
    </row>
    <row r="115" customFormat="false" ht="15" hidden="false" customHeight="false" outlineLevel="0" collapsed="false">
      <c r="B115" s="8" t="s">
        <v>111</v>
      </c>
      <c r="C115" s="13"/>
    </row>
    <row r="116" customFormat="false" ht="15" hidden="false" customHeight="false" outlineLevel="0" collapsed="false">
      <c r="B116" s="8" t="s">
        <v>112</v>
      </c>
      <c r="C116" s="13"/>
    </row>
    <row r="117" customFormat="false" ht="15" hidden="false" customHeight="false" outlineLevel="0" collapsed="false">
      <c r="B117" s="8" t="s">
        <v>113</v>
      </c>
      <c r="C117" s="13"/>
    </row>
    <row r="120" customFormat="false" ht="19.5" hidden="false" customHeight="true" outlineLevel="0" collapsed="false">
      <c r="B120" s="4" t="s">
        <v>114</v>
      </c>
      <c r="C120" s="4"/>
      <c r="D120" s="4"/>
      <c r="E120" s="4"/>
      <c r="F120" s="4"/>
    </row>
    <row r="121" customFormat="false" ht="18.75" hidden="false" customHeight="true" outlineLevel="0" collapsed="false">
      <c r="B121" s="5" t="s">
        <v>115</v>
      </c>
      <c r="C121" s="5"/>
      <c r="D121" s="5"/>
      <c r="E121" s="5"/>
      <c r="F121" s="5"/>
    </row>
    <row r="123" customFormat="false" ht="15" hidden="false" customHeight="false" outlineLevel="0" collapsed="false">
      <c r="B123" s="6" t="s">
        <v>116</v>
      </c>
      <c r="C123" s="7" t="s">
        <v>117</v>
      </c>
      <c r="D123" s="7"/>
      <c r="E123" s="7"/>
      <c r="F123" s="7" t="s">
        <v>118</v>
      </c>
    </row>
    <row r="124" customFormat="false" ht="15" hidden="false" customHeight="false" outlineLevel="0" collapsed="false">
      <c r="B124" s="8" t="s">
        <v>119</v>
      </c>
      <c r="C124" s="14"/>
      <c r="F124" s="15"/>
    </row>
    <row r="125" customFormat="false" ht="15" hidden="false" customHeight="false" outlineLevel="0" collapsed="false">
      <c r="B125" s="8" t="s">
        <v>120</v>
      </c>
      <c r="C125" s="14"/>
      <c r="F125" s="15"/>
    </row>
    <row r="126" customFormat="false" ht="15" hidden="false" customHeight="false" outlineLevel="0" collapsed="false">
      <c r="B126" s="8" t="s">
        <v>121</v>
      </c>
      <c r="C126" s="14"/>
      <c r="F126" s="15"/>
    </row>
    <row r="127" customFormat="false" ht="15" hidden="false" customHeight="false" outlineLevel="0" collapsed="false">
      <c r="B127" s="8" t="s">
        <v>122</v>
      </c>
      <c r="C127" s="14"/>
      <c r="F127" s="15"/>
    </row>
    <row r="128" customFormat="false" ht="15" hidden="false" customHeight="false" outlineLevel="0" collapsed="false">
      <c r="B128" s="8" t="s">
        <v>123</v>
      </c>
      <c r="C128" s="14"/>
      <c r="F128" s="15"/>
    </row>
    <row r="129" customFormat="false" ht="15" hidden="false" customHeight="false" outlineLevel="0" collapsed="false">
      <c r="B129" s="8" t="s">
        <v>124</v>
      </c>
      <c r="C129" s="14"/>
      <c r="F129" s="15"/>
    </row>
    <row r="130" customFormat="false" ht="15" hidden="false" customHeight="false" outlineLevel="0" collapsed="false">
      <c r="B130" s="8" t="s">
        <v>125</v>
      </c>
      <c r="C130" s="14"/>
      <c r="F130" s="15"/>
    </row>
    <row r="131" customFormat="false" ht="15" hidden="false" customHeight="false" outlineLevel="0" collapsed="false">
      <c r="B131" s="8" t="s">
        <v>126</v>
      </c>
      <c r="C131" s="14"/>
      <c r="F131" s="15"/>
    </row>
    <row r="132" customFormat="false" ht="15" hidden="false" customHeight="false" outlineLevel="0" collapsed="false">
      <c r="B132" s="8" t="s">
        <v>127</v>
      </c>
      <c r="C132" s="14"/>
      <c r="F132" s="15"/>
    </row>
    <row r="133" customFormat="false" ht="15" hidden="false" customHeight="false" outlineLevel="0" collapsed="false">
      <c r="B133" s="8" t="s">
        <v>128</v>
      </c>
      <c r="C133" s="14"/>
      <c r="F133" s="15"/>
    </row>
    <row r="134" customFormat="false" ht="15" hidden="false" customHeight="false" outlineLevel="0" collapsed="false">
      <c r="B134" s="8" t="s">
        <v>129</v>
      </c>
      <c r="C134" s="14"/>
      <c r="F134" s="15"/>
    </row>
    <row r="135" customFormat="false" ht="15" hidden="false" customHeight="false" outlineLevel="0" collapsed="false">
      <c r="B135" s="8" t="s">
        <v>130</v>
      </c>
      <c r="C135" s="14"/>
      <c r="F135" s="15"/>
    </row>
    <row r="138" customFormat="false" ht="15" hidden="false" customHeight="false" outlineLevel="0" collapsed="false">
      <c r="B138" s="18" t="s">
        <v>131</v>
      </c>
      <c r="C138" s="18"/>
      <c r="D138" s="18"/>
      <c r="E138" s="18"/>
      <c r="F138" s="18"/>
    </row>
  </sheetData>
  <mergeCells count="15">
    <mergeCell ref="B2:F2"/>
    <mergeCell ref="B3:F3"/>
    <mergeCell ref="B19:F19"/>
    <mergeCell ref="B20:F20"/>
    <mergeCell ref="B42:F42"/>
    <mergeCell ref="B43:F43"/>
    <mergeCell ref="B63:F63"/>
    <mergeCell ref="B64:F64"/>
    <mergeCell ref="B80:F80"/>
    <mergeCell ref="B81:F81"/>
    <mergeCell ref="B103:F103"/>
    <mergeCell ref="B104:F104"/>
    <mergeCell ref="B120:F120"/>
    <mergeCell ref="B121:F121"/>
    <mergeCell ref="B138:F1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2026-08-27T18:41:36Z</dcterms:created>
  <dc:creator>openpyxl</dc:creator>
  <dc:description/>
  <dc:language>en-US</dc:language>
  <cp:lastModifiedBy/>
  <dcterms:modified xsi:type="dcterms:W3CDTF">2026-08-27T18:41:36Z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