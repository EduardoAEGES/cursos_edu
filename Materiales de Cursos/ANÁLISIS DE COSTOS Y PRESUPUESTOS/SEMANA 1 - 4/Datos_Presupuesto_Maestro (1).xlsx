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1. Revelado de Fotos" sheetId="2" state="visible" r:id="rId4"/>
    <sheet name="2. Pijamas" sheetId="3" state="visible" r:id="rId5"/>
    <sheet name="3. Curso de Guión" sheetId="4" state="visible" r:id="rId6"/>
    <sheet name="4. Restobar Cervecero" sheetId="5" state="visible" r:id="rId7"/>
    <sheet name="5. Chocolate Blanco" sheetId="6" state="visible" r:id="rId8"/>
    <sheet name="6. Queque de Manzan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<sst xmlns="http://schemas.openxmlformats.org/spreadsheetml/2006/main" count="850" uniqueCount="334">
  <si>
    <t xml:space="preserve">Datos base para el presupuesto maestro</t>
  </si>
  <si>
    <t xml:space="preserve">Este libro reúne, por actividad (una por pestaña), las seis tablas de datos que sirven de insumo para construir paso a paso el presupuesto maestro, la estructura de costos, el costeo unitario y el punto de equilibrio.</t>
  </si>
  <si>
    <t xml:space="preserve">Contenido de cada pestaña</t>
  </si>
  <si>
    <t xml:space="preserve">•</t>
  </si>
  <si>
    <t xml:space="preserve">Resumen de costos y parámetros (enlaza los totales de abajo)</t>
  </si>
  <si>
    <t xml:space="preserve">1) Insumos (compra comercial + IGV) / materiales directos</t>
  </si>
  <si>
    <t xml:space="preserve">2) Lista de activos fijos</t>
  </si>
  <si>
    <t xml:space="preserve">3) Cantidad y características del personal</t>
  </si>
  <si>
    <t xml:space="preserve">4) Detalle de costos indirectos</t>
  </si>
  <si>
    <t xml:space="preserve">5) Detalle de gastos administrativos</t>
  </si>
  <si>
    <t xml:space="preserve">6) Detalle de gastos de ventas</t>
  </si>
  <si>
    <t xml:space="preserve">Código de colores</t>
  </si>
  <si>
    <t xml:space="preserve">Texto azul</t>
  </si>
  <si>
    <t xml:space="preserve">Dato de entrada / editable.</t>
  </si>
  <si>
    <t xml:space="preserve">Texto negro</t>
  </si>
  <si>
    <t xml:space="preserve">Resultado calculado por fórmula.</t>
  </si>
  <si>
    <t xml:space="preserve">Texto verde</t>
  </si>
  <si>
    <t xml:space="preserve">Enlace a otra tabla de la misma hoja (depreciación).</t>
  </si>
  <si>
    <t xml:space="preserve">Relleno amarillo</t>
  </si>
  <si>
    <t xml:space="preserve">Dato a completar o valor que el estudiante debe calcular.</t>
  </si>
  <si>
    <t xml:space="preserve">Notas importantes</t>
  </si>
  <si>
    <t xml:space="preserve">—</t>
  </si>
  <si>
    <t xml:space="preserve">Todas las cifras son referenciales y deben validarse con cotizaciones reales.</t>
  </si>
  <si>
    <t xml:space="preserve">Insumos (compra comercial): el precio de compra INCLUYE IGV. El estudiante lo convierte a precio sin IGV (÷ 1.18), obtiene el costo por unidad de medida (÷ contenido) y el costo por unidad de producto (× consumo). Esas celdas están en amarillo.</t>
  </si>
  <si>
    <t xml:space="preserve">El IGV general de estas tablas no se incluye en los demás gastos; se tratará en el análisis de precios y márgenes.</t>
  </si>
  <si>
    <t xml:space="preserve">Cargas sociales: supuesto de 30% (editable) según régimen laboral.</t>
  </si>
  <si>
    <t xml:space="preserve">Curso de guión: no consume insumos directos. Restobar: vende cerveza (reventa) y postre; el costo por unidad lo determina el estudiante.</t>
  </si>
  <si>
    <t xml:space="preserve">El presupuesto maestro, el costeo unitario y el punto de equilibrio se construirán sobre esta misma data.</t>
  </si>
  <si>
    <t xml:space="preserve">Servicio de revelado de fotos a color</t>
  </si>
  <si>
    <t xml:space="preserve">Unidad de costeo: Por foto impresa (10×15 cm)   |   Periodo: Mensual</t>
  </si>
  <si>
    <t xml:space="preserve">RESUMEN DE COSTOS Y PARÁMETROS  (base para el presupuesto maestro)</t>
  </si>
  <si>
    <t xml:space="preserve">Precio de venta referencial (S/)</t>
  </si>
  <si>
    <t xml:space="preserve">Costo de insumos por unidad (S/)</t>
  </si>
  <si>
    <t xml:space="preserve">A calcular</t>
  </si>
  <si>
    <t xml:space="preserve">Inversión total en activos fijos (S/)</t>
  </si>
  <si>
    <t xml:space="preserve">Depreciación mensual de activos (S/)</t>
  </si>
  <si>
    <t xml:space="preserve">Costo total de personal (mensual) (S/)</t>
  </si>
  <si>
    <t xml:space="preserve">Total costos indirectos (mensual) (S/)</t>
  </si>
  <si>
    <t xml:space="preserve">Total gastos administrativos (S/)</t>
  </si>
  <si>
    <t xml:space="preserve">Total gastos de ventas (S/)</t>
  </si>
  <si>
    <t xml:space="preserve">IGV (%):</t>
  </si>
  <si>
    <t xml:space="preserve">1) INSUMOS – COMPRA COMERCIAL  (convertir el precio CON IGV a SIN IGV)</t>
  </si>
  <si>
    <t xml:space="preserve">Insumo</t>
  </si>
  <si>
    <t xml:space="preserve">Presentación de compra</t>
  </si>
  <si>
    <t xml:space="preserve">Contenido</t>
  </si>
  <si>
    <t xml:space="preserve">Unidad</t>
  </si>
  <si>
    <t xml:space="preserve">Precio CON IGV (S/)</t>
  </si>
  <si>
    <t xml:space="preserve">Precio SIN IGV (S/)</t>
  </si>
  <si>
    <t xml:space="preserve">Costo por unidad de medida SIN IGV (S/)</t>
  </si>
  <si>
    <t xml:space="preserve">Papel fotográfico 10×15 cm</t>
  </si>
  <si>
    <t xml:space="preserve">Caja</t>
  </si>
  <si>
    <t xml:space="preserve">hoja</t>
  </si>
  <si>
    <t xml:space="preserve">Referencial</t>
  </si>
  <si>
    <t xml:space="preserve">Tinta especial para impresora</t>
  </si>
  <si>
    <t xml:space="preserve">Cartucho</t>
  </si>
  <si>
    <t xml:space="preserve">foto</t>
  </si>
  <si>
    <t xml:space="preserve">Rinde ~1200 fotos</t>
  </si>
  <si>
    <t xml:space="preserve">Sobre / funda plástica</t>
  </si>
  <si>
    <t xml:space="preserve">Millar</t>
  </si>
  <si>
    <t xml:space="preserve">unidad</t>
  </si>
  <si>
    <t xml:space="preserve">1.b) CONSUMO Y COSTO POR UNIDAD DE PRODUCTO</t>
  </si>
  <si>
    <t xml:space="preserve">Consumo por unidad de producto</t>
  </si>
  <si>
    <t xml:space="preserve">Costo del insumo por unidad (S/)</t>
  </si>
  <si>
    <t xml:space="preserve">COSTO TOTAL DE INSUMOS POR UNIDAD</t>
  </si>
  <si>
    <t xml:space="preserve">A calcular por el estudiante (celdas amarillas):</t>
  </si>
  <si>
    <t xml:space="preserve">Precio SIN IGV = Precio CON IGV ÷ (1 + IGV)</t>
  </si>
  <si>
    <t xml:space="preserve">Costo por unidad de medida = Precio SIN IGV ÷ Contenido</t>
  </si>
  <si>
    <t xml:space="preserve">Costo del insumo por unidad = Costo por unidad de medida × Consumo por unidad</t>
  </si>
  <si>
    <t xml:space="preserve">2) LISTA DE ACTIVOS FIJOS</t>
  </si>
  <si>
    <t xml:space="preserve">Activo</t>
  </si>
  <si>
    <t xml:space="preserve">Cantidad</t>
  </si>
  <si>
    <t xml:space="preserve">Costo unitario (S/)</t>
  </si>
  <si>
    <t xml:space="preserve">Inversión total (S/)</t>
  </si>
  <si>
    <t xml:space="preserve">Vida útil (años)</t>
  </si>
  <si>
    <t xml:space="preserve">Deprec. anual (S/)</t>
  </si>
  <si>
    <t xml:space="preserve">Deprec. mensual (S/)</t>
  </si>
  <si>
    <t xml:space="preserve">Nota</t>
  </si>
  <si>
    <t xml:space="preserve">Impresora fotográfica (Epson L8050/L8160)</t>
  </si>
  <si>
    <t xml:space="preserve">Rango S/1,399–2,099</t>
  </si>
  <si>
    <t xml:space="preserve">Computadora / laptop para edición</t>
  </si>
  <si>
    <t xml:space="preserve">Equipo de gama media</t>
  </si>
  <si>
    <t xml:space="preserve">Mesa de trabajo y mobiliario</t>
  </si>
  <si>
    <t xml:space="preserve">Estimado</t>
  </si>
  <si>
    <t xml:space="preserve">TOTAL activos fijos</t>
  </si>
  <si>
    <t xml:space="preserve">3) CANTIDAD Y CARACTERÍSTICAS DEL PERSONAL  (mensual)</t>
  </si>
  <si>
    <t xml:space="preserve">Cargo</t>
  </si>
  <si>
    <t xml:space="preserve">Sueldo (S/)</t>
  </si>
  <si>
    <t xml:space="preserve">Cargas soc. (%)</t>
  </si>
  <si>
    <t xml:space="preserve">Cargas soc. (S/)</t>
  </si>
  <si>
    <t xml:space="preserve">Costo laboral (S/)</t>
  </si>
  <si>
    <t xml:space="preserve">Costo anual (S/)</t>
  </si>
  <si>
    <t xml:space="preserve">Perfil</t>
  </si>
  <si>
    <t xml:space="preserve">Operador/a de laboratorio fotográfico</t>
  </si>
  <si>
    <t xml:space="preserve">Fotografía digital, manejo de PC e impresoras</t>
  </si>
  <si>
    <t xml:space="preserve">TOTAL personal</t>
  </si>
  <si>
    <t xml:space="preserve">Cargas sociales (%): supuesto editable = EsSalud 9% + gratificaciones + CTS. Ajustar según régimen (RUS / MYPE / General).</t>
  </si>
  <si>
    <t xml:space="preserve">4) DETALLE DE COSTOS INDIRECTOS  (mensual)</t>
  </si>
  <si>
    <t xml:space="preserve">Concepto</t>
  </si>
  <si>
    <t xml:space="preserve">Detalle / base</t>
  </si>
  <si>
    <t xml:space="preserve">Monto (S/)</t>
  </si>
  <si>
    <t xml:space="preserve">Alquiler del local de producción</t>
  </si>
  <si>
    <t xml:space="preserve">Local ~50 m²</t>
  </si>
  <si>
    <t xml:space="preserve">≈ S/30/m²</t>
  </si>
  <si>
    <t xml:space="preserve">Electricidad (impresora y PC)</t>
  </si>
  <si>
    <t xml:space="preserve">Mensual</t>
  </si>
  <si>
    <t xml:space="preserve">No es insumo directo</t>
  </si>
  <si>
    <t xml:space="preserve">Agua e internet</t>
  </si>
  <si>
    <t xml:space="preserve">Servicios básicos</t>
  </si>
  <si>
    <t xml:space="preserve">Mantenimiento de equipos</t>
  </si>
  <si>
    <t xml:space="preserve">S/200/año</t>
  </si>
  <si>
    <t xml:space="preserve">Limpieza impresora</t>
  </si>
  <si>
    <t xml:space="preserve">Transporte / flete de insumos</t>
  </si>
  <si>
    <t xml:space="preserve">Compra de papel y tinta</t>
  </si>
  <si>
    <t xml:space="preserve">Depreciación de activos fijos</t>
  </si>
  <si>
    <t xml:space="preserve">Enlace a tabla de activos</t>
  </si>
  <si>
    <t xml:space="preserve">TOTAL costos indirectos</t>
  </si>
  <si>
    <t xml:space="preserve">5) DETALLE DE GASTOS ADMINISTRATIVOS  (mensual)</t>
  </si>
  <si>
    <t xml:space="preserve">Asesoría contable y tributaria</t>
  </si>
  <si>
    <t xml:space="preserve">Completar</t>
  </si>
  <si>
    <t xml:space="preserve">Seguro comercial</t>
  </si>
  <si>
    <t xml:space="preserve">Útiles de oficina</t>
  </si>
  <si>
    <t xml:space="preserve">Licencias y trámites municipales</t>
  </si>
  <si>
    <t xml:space="preserve">TOTAL gastos administrativos</t>
  </si>
  <si>
    <t xml:space="preserve">6) DETALLE DE GASTOS DE VENTAS  (mensual)</t>
  </si>
  <si>
    <t xml:space="preserve">Publicidad / redes sociales</t>
  </si>
  <si>
    <t xml:space="preserve">Promoción mensual</t>
  </si>
  <si>
    <t xml:space="preserve">Diseño de marca (amortizado)</t>
  </si>
  <si>
    <t xml:space="preserve">TOTAL gastos de ventas</t>
  </si>
  <si>
    <t xml:space="preserve">Fabricación de pijamas</t>
  </si>
  <si>
    <t xml:space="preserve">Unidad de costeo: Por pijama   |   Periodo: Mensual</t>
  </si>
  <si>
    <t xml:space="preserve">Tela de algodón</t>
  </si>
  <si>
    <t xml:space="preserve">Rollo</t>
  </si>
  <si>
    <t xml:space="preserve">m</t>
  </si>
  <si>
    <t xml:space="preserve">Gamarra – referencial</t>
  </si>
  <si>
    <t xml:space="preserve">Elástico de cintura</t>
  </si>
  <si>
    <t xml:space="preserve">Hilo de coser</t>
  </si>
  <si>
    <t xml:space="preserve">Cono</t>
  </si>
  <si>
    <t xml:space="preserve">Botones</t>
  </si>
  <si>
    <t xml:space="preserve">Según diseño</t>
  </si>
  <si>
    <t xml:space="preserve">Etiqueta</t>
  </si>
  <si>
    <t xml:space="preserve">Empaque plástico</t>
  </si>
  <si>
    <t xml:space="preserve">Bolsa</t>
  </si>
  <si>
    <t xml:space="preserve">Máquina de coser (Singer M2505)</t>
  </si>
  <si>
    <t xml:space="preserve">Micro taller</t>
  </si>
  <si>
    <t xml:space="preserve">Remalladora / overlock</t>
  </si>
  <si>
    <t xml:space="preserve">Acabados</t>
  </si>
  <si>
    <t xml:space="preserve">Plancha de vapor</t>
  </si>
  <si>
    <t xml:space="preserve">Mesa de corte</t>
  </si>
  <si>
    <t xml:space="preserve">Maniquí</t>
  </si>
  <si>
    <t xml:space="preserve">Confeccionista / modista</t>
  </si>
  <si>
    <t xml:space="preserve">Costura, manejo de máquina industrial</t>
  </si>
  <si>
    <t xml:space="preserve">Asistente de costura</t>
  </si>
  <si>
    <t xml:space="preserve">Apoyo en corte y acabados</t>
  </si>
  <si>
    <t xml:space="preserve">Alquiler del taller</t>
  </si>
  <si>
    <t xml:space="preserve">Taller ~30 m²</t>
  </si>
  <si>
    <t xml:space="preserve">Electricidad (máquinas)</t>
  </si>
  <si>
    <t xml:space="preserve">~3 kWh/día</t>
  </si>
  <si>
    <t xml:space="preserve">Agua y otros servicios</t>
  </si>
  <si>
    <t xml:space="preserve">Mantenimiento de máquinas</t>
  </si>
  <si>
    <t xml:space="preserve">Aceite, agujas</t>
  </si>
  <si>
    <t xml:space="preserve">Transporte / flete de compras</t>
  </si>
  <si>
    <t xml:space="preserve">Telas</t>
  </si>
  <si>
    <t xml:space="preserve">Publicidad / marca / carteles</t>
  </si>
  <si>
    <t xml:space="preserve">Perchas para exhibición</t>
  </si>
  <si>
    <t xml:space="preserve">Etiquetado / diseño de marca</t>
  </si>
  <si>
    <t xml:space="preserve">Curso de creación de guión (6 sesiones de 1.5 h)</t>
  </si>
  <si>
    <t xml:space="preserve">Unidad de costeo: Por curso (supuesto: 10 alumnos)   |   Periodo: Por curso</t>
  </si>
  <si>
    <t xml:space="preserve">Costo total de personal (por curso) (S/)</t>
  </si>
  <si>
    <t xml:space="preserve">Total costos indirectos (por curso) (S/)</t>
  </si>
  <si>
    <t xml:space="preserve">1) INSUMOS / MATERIALES DIRECTOS</t>
  </si>
  <si>
    <t xml:space="preserve">No aplica: el servicio no consume materiales directos (no se imprime; se entrega en digital).</t>
  </si>
  <si>
    <t xml:space="preserve">TOTAL insumos por unidad</t>
  </si>
  <si>
    <t xml:space="preserve">Proyector multimedia</t>
  </si>
  <si>
    <t xml:space="preserve">Laptop / equipo de cómputo</t>
  </si>
  <si>
    <t xml:space="preserve">Pizarra blanca</t>
  </si>
  <si>
    <t xml:space="preserve">Mesas y sillas (set)</t>
  </si>
  <si>
    <t xml:space="preserve">3) CANTIDAD Y CARACTERÍSTICAS DEL PERSONAL  (por curso)</t>
  </si>
  <si>
    <t xml:space="preserve">Instructor de guión</t>
  </si>
  <si>
    <t xml:space="preserve">Experiencia en cine/TV o literatura; didáctica</t>
  </si>
  <si>
    <t xml:space="preserve">4) DETALLE DE COSTOS INDIRECTOS  (por curso)</t>
  </si>
  <si>
    <t xml:space="preserve">Alquiler de aula</t>
  </si>
  <si>
    <t xml:space="preserve">9 h × S/20</t>
  </si>
  <si>
    <t xml:space="preserve">Coworking / centro cultural</t>
  </si>
  <si>
    <t xml:space="preserve">Mantenimiento de proyector</t>
  </si>
  <si>
    <t xml:space="preserve">Por curso</t>
  </si>
  <si>
    <t xml:space="preserve">Prorrateo por curso</t>
  </si>
  <si>
    <t xml:space="preserve">Plataforma / inscripciones</t>
  </si>
  <si>
    <t xml:space="preserve">Promoción por curso</t>
  </si>
  <si>
    <t xml:space="preserve">Diseño de material promocional</t>
  </si>
  <si>
    <t xml:space="preserve">Restobar de cerveza artesanal con juegos de mesa</t>
  </si>
  <si>
    <t xml:space="preserve">Unidad de costeo: A determinar por el estudiante (por cerveza servida y por porción de postre)   |   Periodo: Mensual</t>
  </si>
  <si>
    <t xml:space="preserve">A determinar</t>
  </si>
  <si>
    <t xml:space="preserve">1) CUADRO DE COSTOS DE MERCADO  (el estudiante determina el costo por unidad)</t>
  </si>
  <si>
    <t xml:space="preserve">Ítem</t>
  </si>
  <si>
    <t xml:space="preserve">Unidad de compra</t>
  </si>
  <si>
    <t xml:space="preserve">Precio de mercado (S/)</t>
  </si>
  <si>
    <t xml:space="preserve">Rendimiento / uso</t>
  </si>
  <si>
    <t xml:space="preserve">Cerveza artesanal (compra para reventa)</t>
  </si>
  <si>
    <t xml:space="preserve">Barril / keg de cerveza artesanal 30 L</t>
  </si>
  <si>
    <t xml:space="preserve">barril</t>
  </si>
  <si>
    <t xml:space="preserve">Rinde ~60 vasos de 500 ml</t>
  </si>
  <si>
    <t xml:space="preserve">Referencial mayorista</t>
  </si>
  <si>
    <t xml:space="preserve">Cerveza artesanal en botella 330 ml</t>
  </si>
  <si>
    <t xml:space="preserve">caja x 12</t>
  </si>
  <si>
    <t xml:space="preserve">Rinde 12 botellas</t>
  </si>
  <si>
    <t xml:space="preserve">≈ S/8 / botella</t>
  </si>
  <si>
    <t xml:space="preserve">CO₂ para chopera (recarga balón)</t>
  </si>
  <si>
    <t xml:space="preserve">recarga</t>
  </si>
  <si>
    <t xml:space="preserve">Varios barriles</t>
  </si>
  <si>
    <t xml:space="preserve">Postre: queque de manzana</t>
  </si>
  <si>
    <t xml:space="preserve">Queque de manzana (postre)</t>
  </si>
  <si>
    <t xml:space="preserve">porción</t>
  </si>
  <si>
    <t xml:space="preserve">Costeo detallado en la pestaña «6. Queque de Manzana»</t>
  </si>
  <si>
    <t xml:space="preserve">Ver pestaña de postres</t>
  </si>
  <si>
    <t xml:space="preserve">Costo por unidad de venta: lo determina el estudiante a partir de estos precios y rendimientos.</t>
  </si>
  <si>
    <t xml:space="preserve">Chopera / dispensador de cerveza (torre)</t>
  </si>
  <si>
    <t xml:space="preserve">Conservadora de barriles (kegerator)</t>
  </si>
  <si>
    <t xml:space="preserve">Refrigeradora / congeladora de insumos</t>
  </si>
  <si>
    <t xml:space="preserve">Horno para repostería</t>
  </si>
  <si>
    <t xml:space="preserve">Queque de manzana</t>
  </si>
  <si>
    <t xml:space="preserve">Batidora industrial</t>
  </si>
  <si>
    <t xml:space="preserve">Repostería</t>
  </si>
  <si>
    <t xml:space="preserve">Mesas (10 unidades)</t>
  </si>
  <si>
    <t xml:space="preserve">Salón</t>
  </si>
  <si>
    <t xml:space="preserve">Sillas (40 unidades)</t>
  </si>
  <si>
    <t xml:space="preserve">Colección de juegos de mesa</t>
  </si>
  <si>
    <t xml:space="preserve">Atractivo del local</t>
  </si>
  <si>
    <t xml:space="preserve">Barra / mostrador</t>
  </si>
  <si>
    <t xml:space="preserve">Mobiliario</t>
  </si>
  <si>
    <t xml:space="preserve">Vasos, chops y menaje</t>
  </si>
  <si>
    <t xml:space="preserve">Servicio</t>
  </si>
  <si>
    <t xml:space="preserve">Equipo de sonido</t>
  </si>
  <si>
    <t xml:space="preserve">Ambiente</t>
  </si>
  <si>
    <t xml:space="preserve">Televisor</t>
  </si>
  <si>
    <t xml:space="preserve">Caja registradora / POS</t>
  </si>
  <si>
    <t xml:space="preserve">Punto de venta</t>
  </si>
  <si>
    <t xml:space="preserve">Decoración e iluminación</t>
  </si>
  <si>
    <t xml:space="preserve">Ambientación</t>
  </si>
  <si>
    <t xml:space="preserve">Bartender / barra</t>
  </si>
  <si>
    <t xml:space="preserve">Manejo de chopera, atención en barra</t>
  </si>
  <si>
    <t xml:space="preserve">Mozo/a de salón</t>
  </si>
  <si>
    <t xml:space="preserve">Atención a mesas y clientes</t>
  </si>
  <si>
    <t xml:space="preserve">Repostero/a (queques)</t>
  </si>
  <si>
    <t xml:space="preserve">Repostería; queque de manzana</t>
  </si>
  <si>
    <t xml:space="preserve">Cajero/a – administrador/a</t>
  </si>
  <si>
    <t xml:space="preserve">Caja, control y administración</t>
  </si>
  <si>
    <t xml:space="preserve">Alquiler del local (zona comercial)</t>
  </si>
  <si>
    <t xml:space="preserve">Restobar</t>
  </si>
  <si>
    <t xml:space="preserve">Electricidad</t>
  </si>
  <si>
    <t xml:space="preserve">Chopera, refrigeración, horno</t>
  </si>
  <si>
    <t xml:space="preserve">Agua</t>
  </si>
  <si>
    <t xml:space="preserve">Gas (cocina / horno)</t>
  </si>
  <si>
    <t xml:space="preserve">Internet, música y cable</t>
  </si>
  <si>
    <t xml:space="preserve">Mantenimiento y limpieza</t>
  </si>
  <si>
    <t xml:space="preserve">Equipos y local</t>
  </si>
  <si>
    <t xml:space="preserve">Reposición de menaje / mermas</t>
  </si>
  <si>
    <t xml:space="preserve">Vasos, platos</t>
  </si>
  <si>
    <t xml:space="preserve">Licencia de funcionamiento (amortizada)</t>
  </si>
  <si>
    <t xml:space="preserve">Licencia de venta de alcohol</t>
  </si>
  <si>
    <t xml:space="preserve">Certificado de Defensa Civil</t>
  </si>
  <si>
    <t xml:space="preserve">Software de caja / útiles</t>
  </si>
  <si>
    <t xml:space="preserve">Promociones / happy hour</t>
  </si>
  <si>
    <t xml:space="preserve">Eventos / torneos de juegos de mesa</t>
  </si>
  <si>
    <t xml:space="preserve">Comisión de apps de delivery</t>
  </si>
  <si>
    <t xml:space="preserve">Diseño de marca y cartas / menús</t>
  </si>
  <si>
    <t xml:space="preserve">Fabricación de chocolate blanco con inclusiones</t>
  </si>
  <si>
    <t xml:space="preserve">Unidad de costeo: Por barra de 100 g   |   Periodo: Mensual</t>
  </si>
  <si>
    <t xml:space="preserve">Manteca de cacao</t>
  </si>
  <si>
    <t xml:space="preserve">kg</t>
  </si>
  <si>
    <t xml:space="preserve">Leche en polvo entera</t>
  </si>
  <si>
    <t xml:space="preserve">Saco</t>
  </si>
  <si>
    <t xml:space="preserve">Ejemplo: saco 20 kg S/250 c/IGV</t>
  </si>
  <si>
    <t xml:space="preserve">Azúcar granulada</t>
  </si>
  <si>
    <t xml:space="preserve">Lecitina y vainilla</t>
  </si>
  <si>
    <t xml:space="preserve">Crisps (barquillo / arroz inflado)</t>
  </si>
  <si>
    <t xml:space="preserve">Empaque (aluminio + papel)</t>
  </si>
  <si>
    <t xml:space="preserve">Temperadora de chocolate (5 kg)</t>
  </si>
  <si>
    <t xml:space="preserve">Semi-automática</t>
  </si>
  <si>
    <t xml:space="preserve">Moldes de silicona / aluminio (set)</t>
  </si>
  <si>
    <t xml:space="preserve">Mesón de trabajo e instalación de enfriamiento</t>
  </si>
  <si>
    <t xml:space="preserve">Termómetro digital</t>
  </si>
  <si>
    <t xml:space="preserve">Chocolatero/a</t>
  </si>
  <si>
    <t xml:space="preserve">Formación en chocolatería / pastelería</t>
  </si>
  <si>
    <t xml:space="preserve">Alquiler del local / cocina</t>
  </si>
  <si>
    <t xml:space="preserve">Cocina industrial</t>
  </si>
  <si>
    <t xml:space="preserve">Electricidad (fusión / temperado)</t>
  </si>
  <si>
    <t xml:space="preserve">≈ S/3.45 / batch</t>
  </si>
  <si>
    <t xml:space="preserve">Agua (proceso)</t>
  </si>
  <si>
    <t xml:space="preserve">Cajas de envío</t>
  </si>
  <si>
    <t xml:space="preserve">Registro sanitario (DIGESA)</t>
  </si>
  <si>
    <t xml:space="preserve">Publicidad / muestras</t>
  </si>
  <si>
    <t xml:space="preserve">Diseño gráfico de empaque (amortizado)</t>
  </si>
  <si>
    <t xml:space="preserve">S/300 / 12 meses</t>
  </si>
  <si>
    <t xml:space="preserve">Transporte / delivery a clientes</t>
  </si>
  <si>
    <t xml:space="preserve">Preparación de postres – Queque de manzana</t>
  </si>
  <si>
    <t xml:space="preserve">Unidad de costeo: Por queque (rinde ~10 porciones)   |   Periodo: Mensual</t>
  </si>
  <si>
    <t xml:space="preserve">Harina sin preparar</t>
  </si>
  <si>
    <t xml:space="preserve">Manzana</t>
  </si>
  <si>
    <t xml:space="preserve">Jaba</t>
  </si>
  <si>
    <t xml:space="preserve">Azúcar rubia</t>
  </si>
  <si>
    <t xml:space="preserve">Huevos</t>
  </si>
  <si>
    <t xml:space="preserve">Cubeta</t>
  </si>
  <si>
    <t xml:space="preserve">≈ S/0.60 c/u</t>
  </si>
  <si>
    <t xml:space="preserve">Mantequilla</t>
  </si>
  <si>
    <t xml:space="preserve">Leche</t>
  </si>
  <si>
    <t xml:space="preserve">litro</t>
  </si>
  <si>
    <t xml:space="preserve">Polvo de hornear</t>
  </si>
  <si>
    <t xml:space="preserve">Esencia de vainilla y canela</t>
  </si>
  <si>
    <t xml:space="preserve">Frasco</t>
  </si>
  <si>
    <t xml:space="preserve">Empaque / molde descartable</t>
  </si>
  <si>
    <t xml:space="preserve">Paquete</t>
  </si>
  <si>
    <t xml:space="preserve">Presentación</t>
  </si>
  <si>
    <t xml:space="preserve">Horno de repostería (semi-industrial)</t>
  </si>
  <si>
    <t xml:space="preserve">Cocción</t>
  </si>
  <si>
    <t xml:space="preserve">Batidora de pie / industrial</t>
  </si>
  <si>
    <t xml:space="preserve">Mezcla de masa</t>
  </si>
  <si>
    <t xml:space="preserve">Refrigeradora para insumos</t>
  </si>
  <si>
    <t xml:space="preserve">Conservación</t>
  </si>
  <si>
    <t xml:space="preserve">Balanza digital de cocina</t>
  </si>
  <si>
    <t xml:space="preserve">Pesado de insumos</t>
  </si>
  <si>
    <t xml:space="preserve">Moldes para queque (set)</t>
  </si>
  <si>
    <t xml:space="preserve">Moldeo</t>
  </si>
  <si>
    <t xml:space="preserve">Mesa de trabajo de acero inoxidable</t>
  </si>
  <si>
    <t xml:space="preserve">Área de preparación</t>
  </si>
  <si>
    <t xml:space="preserve">Utensilios (bowls, espátulas, rejillas)</t>
  </si>
  <si>
    <t xml:space="preserve">Menaje</t>
  </si>
  <si>
    <t xml:space="preserve">Repostero/a</t>
  </si>
  <si>
    <t xml:space="preserve">Repostería / pastelería; elaboración de queques</t>
  </si>
  <si>
    <t xml:space="preserve">Alquiler del área de cocina</t>
  </si>
  <si>
    <t xml:space="preserve">Electricidad (horno, batidora, refrig.)</t>
  </si>
  <si>
    <t xml:space="preserve">Gas (horno)</t>
  </si>
  <si>
    <t xml:space="preserve">Empaque de presentación / cajas</t>
  </si>
  <si>
    <t xml:space="preserve">Delivery / transporte a clientes</t>
  </si>
  <si>
    <t xml:space="preserve">Diseño de marca y etiquetas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</si>
</sst>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S/ &quot;#,##0.00"/>
    <numFmt numFmtId="166" formatCode="&quot;S/ &quot;#,##0"/>
    <numFmt numFmtId="167" formatCode="0.0%"/>
    <numFmt numFmtId="168" formatCode="#,##0.000"/>
    <numFmt numFmtId="169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8B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8B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BE9E7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FBE9E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2" customFormat="false" ht="25.5" hidden="false" customHeight="true" outlineLevel="0" collapsed="false">
      <c r="A2" s="1" t="s">
        <v>0</v>
      </c>
    </row>
    <row r="4" customFormat="false" ht="42" hidden="false" customHeight="true" outlineLevel="0" collapsed="false">
      <c r="B4" s="2" t="s">
        <v>1</v>
      </c>
    </row>
    <row r="6" customFormat="false" ht="19.5" hidden="false" customHeight="true" outlineLevel="0" collapsed="false">
      <c r="A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3</v>
      </c>
      <c r="C8" s="5" t="s">
        <v>5</v>
      </c>
    </row>
    <row r="9" customFormat="false" ht="15" hidden="false" customHeight="false" outlineLevel="0" collapsed="false">
      <c r="B9" s="4" t="s">
        <v>3</v>
      </c>
      <c r="C9" s="5" t="s">
        <v>6</v>
      </c>
    </row>
    <row r="10" customFormat="false" ht="15" hidden="false" customHeight="false" outlineLevel="0" collapsed="false">
      <c r="B10" s="4" t="s">
        <v>3</v>
      </c>
      <c r="C10" s="5" t="s">
        <v>7</v>
      </c>
    </row>
    <row r="11" customFormat="false" ht="15" hidden="false" customHeight="false" outlineLevel="0" collapsed="false">
      <c r="B11" s="4" t="s">
        <v>3</v>
      </c>
      <c r="C11" s="5" t="s">
        <v>8</v>
      </c>
    </row>
    <row r="12" customFormat="false" ht="15" hidden="false" customHeight="false" outlineLevel="0" collapsed="false">
      <c r="B12" s="4" t="s">
        <v>3</v>
      </c>
      <c r="C12" s="5" t="s">
        <v>9</v>
      </c>
    </row>
    <row r="13" customFormat="false" ht="15" hidden="false" customHeight="false" outlineLevel="0" collapsed="false">
      <c r="B13" s="4" t="s">
        <v>3</v>
      </c>
      <c r="C13" s="5" t="s">
        <v>10</v>
      </c>
    </row>
    <row r="15" customFormat="false" ht="19.5" hidden="false" customHeight="true" outlineLevel="0" collapsed="false">
      <c r="A15" s="3" t="s">
        <v>11</v>
      </c>
    </row>
    <row r="16" customFormat="false" ht="15" hidden="false" customHeight="false" outlineLevel="0" collapsed="false">
      <c r="B16" s="6" t="s">
        <v>12</v>
      </c>
      <c r="C16" s="2" t="s">
        <v>13</v>
      </c>
    </row>
    <row r="17" customFormat="false" ht="15" hidden="false" customHeight="false" outlineLevel="0" collapsed="false">
      <c r="B17" s="7" t="s">
        <v>14</v>
      </c>
      <c r="C17" s="2" t="s">
        <v>15</v>
      </c>
    </row>
    <row r="18" customFormat="false" ht="15" hidden="false" customHeight="false" outlineLevel="0" collapsed="false">
      <c r="B18" s="8" t="s">
        <v>16</v>
      </c>
      <c r="C18" s="2" t="s">
        <v>17</v>
      </c>
    </row>
    <row r="19" customFormat="false" ht="15" hidden="false" customHeight="false" outlineLevel="0" collapsed="false">
      <c r="B19" s="9" t="s">
        <v>18</v>
      </c>
      <c r="C19" s="2" t="s">
        <v>19</v>
      </c>
    </row>
    <row r="21" customFormat="false" ht="19.5" hidden="false" customHeight="true" outlineLevel="0" collapsed="false">
      <c r="A21" s="3" t="s">
        <v>20</v>
      </c>
    </row>
    <row r="22" customFormat="false" ht="43.5" hidden="false" customHeight="true" outlineLevel="0" collapsed="false">
      <c r="B22" s="4" t="s">
        <v>21</v>
      </c>
      <c r="C22" s="2" t="s">
        <v>22</v>
      </c>
    </row>
    <row r="23" customFormat="false" ht="43.5" hidden="false" customHeight="true" outlineLevel="0" collapsed="false">
      <c r="B23" s="4" t="s">
        <v>21</v>
      </c>
      <c r="C23" s="2" t="s">
        <v>23</v>
      </c>
    </row>
    <row r="24" customFormat="false" ht="43.5" hidden="false" customHeight="true" outlineLevel="0" collapsed="false">
      <c r="B24" s="4" t="s">
        <v>21</v>
      </c>
      <c r="C24" s="2" t="s">
        <v>24</v>
      </c>
    </row>
    <row r="25" customFormat="false" ht="43.5" hidden="false" customHeight="true" outlineLevel="0" collapsed="false">
      <c r="B25" s="4" t="s">
        <v>21</v>
      </c>
      <c r="C25" s="2" t="s">
        <v>25</v>
      </c>
    </row>
    <row r="26" customFormat="false" ht="43.5" hidden="false" customHeight="true" outlineLevel="0" collapsed="false">
      <c r="B26" s="4" t="s">
        <v>21</v>
      </c>
      <c r="C26" s="2" t="s">
        <v>26</v>
      </c>
    </row>
    <row r="27" customFormat="false" ht="43.5" hidden="false" customHeight="true" outlineLevel="0" collapsed="false">
      <c r="B27" s="4" t="s">
        <v>21</v>
      </c>
      <c r="C2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28</v>
      </c>
    </row>
    <row r="2" customFormat="false" ht="15.75" hidden="false" customHeight="true" outlineLevel="0" collapsed="false">
      <c r="A2" s="10" t="s">
        <v>29</v>
      </c>
    </row>
    <row r="4" customFormat="false" ht="19.5" hidden="false" customHeight="true" outlineLevel="0" collapsed="false">
      <c r="A4" s="3" t="s">
        <v>30</v>
      </c>
    </row>
    <row r="5" customFormat="false" ht="15" hidden="false" customHeight="false" outlineLevel="0" collapsed="false">
      <c r="A5" s="11" t="s">
        <v>31</v>
      </c>
      <c r="B5" s="12" t="n">
        <v>1</v>
      </c>
    </row>
    <row r="6" customFormat="false" ht="15" hidden="false" customHeight="false" outlineLevel="0" collapsed="false">
      <c r="A6" s="11" t="s">
        <v>32</v>
      </c>
      <c r="B6" s="13" t="s">
        <v>33</v>
      </c>
    </row>
    <row r="7" customFormat="false" ht="15" hidden="false" customHeight="false" outlineLevel="0" collapsed="false">
      <c r="A7" s="11" t="s">
        <v>34</v>
      </c>
      <c r="B7" s="14" t="n">
        <f aca="false">D38</f>
        <v>3798</v>
      </c>
    </row>
    <row r="8" customFormat="false" ht="15" hidden="false" customHeight="false" outlineLevel="0" collapsed="false">
      <c r="A8" s="11" t="s">
        <v>35</v>
      </c>
      <c r="B8" s="15" t="n">
        <f aca="false">G38</f>
        <v>69.5458333333333</v>
      </c>
    </row>
    <row r="9" customFormat="false" ht="15" hidden="false" customHeight="false" outlineLevel="0" collapsed="false">
      <c r="A9" s="11" t="s">
        <v>36</v>
      </c>
      <c r="B9" s="14" t="n">
        <f aca="false">F43</f>
        <v>1690</v>
      </c>
    </row>
    <row r="10" customFormat="false" ht="15" hidden="false" customHeight="false" outlineLevel="0" collapsed="false">
      <c r="A10" s="11" t="s">
        <v>37</v>
      </c>
      <c r="B10" s="15" t="n">
        <f aca="false">C54</f>
        <v>1705.54583333333</v>
      </c>
    </row>
    <row r="11" customFormat="false" ht="15" hidden="false" customHeight="false" outlineLevel="0" collapsed="false">
      <c r="A11" s="11" t="s">
        <v>38</v>
      </c>
      <c r="B11" s="15" t="n">
        <f aca="false">B62</f>
        <v>16.6666666666667</v>
      </c>
    </row>
    <row r="12" customFormat="false" ht="15" hidden="false" customHeight="false" outlineLevel="0" collapsed="false">
      <c r="A12" s="11" t="s">
        <v>39</v>
      </c>
      <c r="B12" s="15" t="n">
        <f aca="false">B68</f>
        <v>100</v>
      </c>
    </row>
    <row r="14" customFormat="false" ht="15" hidden="false" customHeight="false" outlineLevel="0" collapsed="false">
      <c r="A14" s="7" t="s">
        <v>40</v>
      </c>
      <c r="B14" s="16" t="n">
        <v>0.18</v>
      </c>
    </row>
    <row r="15" customFormat="false" ht="19.5" hidden="false" customHeight="true" outlineLevel="0" collapsed="false">
      <c r="A15" s="3" t="s">
        <v>41</v>
      </c>
    </row>
    <row r="16" customFormat="false" ht="43.5" hidden="false" customHeight="true" outlineLevel="0" collapsed="false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customFormat="false" ht="15" hidden="false" customHeight="false" outlineLevel="0" collapsed="false">
      <c r="A17" s="18" t="s">
        <v>49</v>
      </c>
      <c r="B17" s="19" t="s">
        <v>50</v>
      </c>
      <c r="C17" s="20" t="n">
        <v>500</v>
      </c>
      <c r="D17" s="19" t="s">
        <v>51</v>
      </c>
      <c r="E17" s="21" t="n">
        <v>90</v>
      </c>
      <c r="F17" s="22"/>
      <c r="G17" s="22"/>
      <c r="H17" s="10" t="s">
        <v>52</v>
      </c>
    </row>
    <row r="18" customFormat="false" ht="15" hidden="false" customHeight="false" outlineLevel="0" collapsed="false">
      <c r="A18" s="23" t="s">
        <v>53</v>
      </c>
      <c r="B18" s="24" t="s">
        <v>54</v>
      </c>
      <c r="C18" s="25" t="n">
        <v>1200</v>
      </c>
      <c r="D18" s="24" t="s">
        <v>55</v>
      </c>
      <c r="E18" s="26" t="n">
        <v>120</v>
      </c>
      <c r="F18" s="22"/>
      <c r="G18" s="22"/>
      <c r="H18" s="10" t="s">
        <v>56</v>
      </c>
    </row>
    <row r="19" customFormat="false" ht="15" hidden="false" customHeight="false" outlineLevel="0" collapsed="false">
      <c r="A19" s="18" t="s">
        <v>57</v>
      </c>
      <c r="B19" s="19" t="s">
        <v>58</v>
      </c>
      <c r="C19" s="20" t="n">
        <v>1000</v>
      </c>
      <c r="D19" s="19" t="s">
        <v>59</v>
      </c>
      <c r="E19" s="21" t="n">
        <v>120</v>
      </c>
      <c r="F19" s="22"/>
      <c r="G19" s="22"/>
      <c r="H19" s="10" t="s">
        <v>52</v>
      </c>
    </row>
    <row r="21" customFormat="false" ht="19.5" hidden="false" customHeight="true" outlineLevel="0" collapsed="false">
      <c r="A21" s="3" t="s">
        <v>60</v>
      </c>
    </row>
    <row r="22" customFormat="false" ht="31.5" hidden="false" customHeight="true" outlineLevel="0" collapsed="false">
      <c r="A22" s="17" t="s">
        <v>42</v>
      </c>
      <c r="B22" s="17" t="s">
        <v>61</v>
      </c>
      <c r="C22" s="17" t="s">
        <v>45</v>
      </c>
      <c r="D22" s="17" t="s">
        <v>62</v>
      </c>
    </row>
    <row r="23" customFormat="false" ht="15" hidden="false" customHeight="false" outlineLevel="0" collapsed="false">
      <c r="A23" s="18" t="s">
        <v>49</v>
      </c>
      <c r="B23" s="20" t="n">
        <v>1</v>
      </c>
      <c r="C23" s="19" t="s">
        <v>51</v>
      </c>
      <c r="D23" s="22"/>
    </row>
    <row r="24" customFormat="false" ht="15" hidden="false" customHeight="false" outlineLevel="0" collapsed="false">
      <c r="A24" s="23" t="s">
        <v>53</v>
      </c>
      <c r="B24" s="25" t="n">
        <v>1</v>
      </c>
      <c r="C24" s="24" t="s">
        <v>55</v>
      </c>
      <c r="D24" s="22"/>
    </row>
    <row r="25" customFormat="false" ht="15" hidden="false" customHeight="false" outlineLevel="0" collapsed="false">
      <c r="A25" s="18" t="s">
        <v>57</v>
      </c>
      <c r="B25" s="20" t="n">
        <v>1</v>
      </c>
      <c r="C25" s="19" t="s">
        <v>59</v>
      </c>
      <c r="D25" s="22"/>
    </row>
    <row r="26" customFormat="false" ht="15" hidden="false" customHeight="false" outlineLevel="0" collapsed="false">
      <c r="A26" s="27" t="s">
        <v>63</v>
      </c>
      <c r="B26" s="28"/>
      <c r="C26" s="28"/>
      <c r="D26" s="29"/>
    </row>
    <row r="28" customFormat="false" ht="15" hidden="false" customHeight="false" outlineLevel="0" collapsed="false">
      <c r="A28" s="30" t="s">
        <v>64</v>
      </c>
    </row>
    <row r="29" customFormat="false" ht="15" hidden="false" customHeight="false" outlineLevel="0" collapsed="false">
      <c r="A29" s="10" t="s">
        <v>65</v>
      </c>
    </row>
    <row r="30" customFormat="false" ht="15" hidden="false" customHeight="false" outlineLevel="0" collapsed="false">
      <c r="A30" s="10" t="s">
        <v>66</v>
      </c>
    </row>
    <row r="31" customFormat="false" ht="15" hidden="false" customHeight="false" outlineLevel="0" collapsed="false">
      <c r="A31" s="10" t="s">
        <v>67</v>
      </c>
    </row>
    <row r="33" customFormat="false" ht="19.5" hidden="false" customHeight="true" outlineLevel="0" collapsed="false">
      <c r="A33" s="3" t="s">
        <v>68</v>
      </c>
    </row>
    <row r="34" customFormat="false" ht="30" hidden="false" customHeight="true" outlineLevel="0" collapsed="false">
      <c r="A34" s="17" t="s">
        <v>69</v>
      </c>
      <c r="B34" s="17" t="s">
        <v>70</v>
      </c>
      <c r="C34" s="17" t="s">
        <v>71</v>
      </c>
      <c r="D34" s="17" t="s">
        <v>72</v>
      </c>
      <c r="E34" s="17" t="s">
        <v>73</v>
      </c>
      <c r="F34" s="17" t="s">
        <v>74</v>
      </c>
      <c r="G34" s="17" t="s">
        <v>75</v>
      </c>
      <c r="H34" s="31" t="s">
        <v>76</v>
      </c>
    </row>
    <row r="35" customFormat="false" ht="15" hidden="false" customHeight="false" outlineLevel="0" collapsed="false">
      <c r="A35" s="18" t="s">
        <v>77</v>
      </c>
      <c r="B35" s="32" t="n">
        <v>1</v>
      </c>
      <c r="C35" s="33" t="n">
        <v>1399</v>
      </c>
      <c r="D35" s="34" t="n">
        <f aca="false">B35*C35</f>
        <v>1399</v>
      </c>
      <c r="E35" s="32" t="n">
        <v>5</v>
      </c>
      <c r="F35" s="34" t="n">
        <f aca="false">IFERROR(D35/E35,0)</f>
        <v>279.8</v>
      </c>
      <c r="G35" s="35" t="n">
        <f aca="false">F35/12</f>
        <v>23.3166666666667</v>
      </c>
      <c r="H35" s="10" t="s">
        <v>78</v>
      </c>
    </row>
    <row r="36" customFormat="false" ht="15" hidden="false" customHeight="false" outlineLevel="0" collapsed="false">
      <c r="A36" s="23" t="s">
        <v>79</v>
      </c>
      <c r="B36" s="36" t="n">
        <v>1</v>
      </c>
      <c r="C36" s="37" t="n">
        <v>2099</v>
      </c>
      <c r="D36" s="38" t="n">
        <f aca="false">B36*C36</f>
        <v>2099</v>
      </c>
      <c r="E36" s="36" t="n">
        <v>4</v>
      </c>
      <c r="F36" s="38" t="n">
        <f aca="false">IFERROR(D36/E36,0)</f>
        <v>524.75</v>
      </c>
      <c r="G36" s="39" t="n">
        <f aca="false">F36/12</f>
        <v>43.7291666666667</v>
      </c>
      <c r="H36" s="10" t="s">
        <v>80</v>
      </c>
    </row>
    <row r="37" customFormat="false" ht="15" hidden="false" customHeight="false" outlineLevel="0" collapsed="false">
      <c r="A37" s="18" t="s">
        <v>81</v>
      </c>
      <c r="B37" s="32" t="n">
        <v>1</v>
      </c>
      <c r="C37" s="33" t="n">
        <v>300</v>
      </c>
      <c r="D37" s="34" t="n">
        <f aca="false">B37*C37</f>
        <v>300</v>
      </c>
      <c r="E37" s="32" t="n">
        <v>10</v>
      </c>
      <c r="F37" s="34" t="n">
        <f aca="false">IFERROR(D37/E37,0)</f>
        <v>30</v>
      </c>
      <c r="G37" s="35" t="n">
        <f aca="false">F37/12</f>
        <v>2.5</v>
      </c>
      <c r="H37" s="10" t="s">
        <v>82</v>
      </c>
    </row>
    <row r="38" customFormat="false" ht="15" hidden="false" customHeight="false" outlineLevel="0" collapsed="false">
      <c r="A38" s="27" t="s">
        <v>83</v>
      </c>
      <c r="B38" s="28"/>
      <c r="C38" s="28"/>
      <c r="D38" s="40" t="n">
        <f aca="false">SUM(D35:D37)</f>
        <v>3798</v>
      </c>
      <c r="E38" s="28"/>
      <c r="F38" s="40" t="n">
        <f aca="false">SUM(F35:F37)</f>
        <v>834.55</v>
      </c>
      <c r="G38" s="41" t="n">
        <f aca="false">SUM(G35:G37)</f>
        <v>69.5458333333333</v>
      </c>
    </row>
    <row r="40" customFormat="false" ht="19.5" hidden="false" customHeight="true" outlineLevel="0" collapsed="false">
      <c r="A40" s="3" t="s">
        <v>84</v>
      </c>
    </row>
    <row r="41" customFormat="false" ht="30" hidden="false" customHeight="true" outlineLevel="0" collapsed="false">
      <c r="A41" s="17" t="s">
        <v>85</v>
      </c>
      <c r="B41" s="17" t="s">
        <v>70</v>
      </c>
      <c r="C41" s="17" t="s">
        <v>86</v>
      </c>
      <c r="D41" s="17" t="s">
        <v>87</v>
      </c>
      <c r="E41" s="17" t="s">
        <v>88</v>
      </c>
      <c r="F41" s="17" t="s">
        <v>89</v>
      </c>
      <c r="G41" s="17" t="s">
        <v>90</v>
      </c>
      <c r="H41" s="31" t="s">
        <v>91</v>
      </c>
    </row>
    <row r="42" customFormat="false" ht="22.35" hidden="false" customHeight="false" outlineLevel="0" collapsed="false">
      <c r="A42" s="18" t="s">
        <v>92</v>
      </c>
      <c r="B42" s="32" t="n">
        <v>1</v>
      </c>
      <c r="C42" s="33" t="n">
        <v>1300</v>
      </c>
      <c r="D42" s="16" t="n">
        <v>0.3</v>
      </c>
      <c r="E42" s="34" t="n">
        <f aca="false">C42*D42</f>
        <v>390</v>
      </c>
      <c r="F42" s="34" t="n">
        <f aca="false">(C42+E42)*B42</f>
        <v>1690</v>
      </c>
      <c r="G42" s="34" t="n">
        <f aca="false">F42*12</f>
        <v>20280</v>
      </c>
      <c r="H42" s="42" t="s">
        <v>93</v>
      </c>
    </row>
    <row r="43" customFormat="false" ht="15" hidden="false" customHeight="false" outlineLevel="0" collapsed="false">
      <c r="A43" s="27" t="s">
        <v>94</v>
      </c>
      <c r="B43" s="28"/>
      <c r="C43" s="28"/>
      <c r="D43" s="28"/>
      <c r="E43" s="28"/>
      <c r="F43" s="40" t="n">
        <f aca="false">SUM(F42:F42)</f>
        <v>1690</v>
      </c>
      <c r="G43" s="40" t="n">
        <f aca="false">SUM(G42:G42)</f>
        <v>20280</v>
      </c>
    </row>
    <row r="44" customFormat="false" ht="15" hidden="false" customHeight="false" outlineLevel="0" collapsed="false">
      <c r="A44" s="43" t="s">
        <v>95</v>
      </c>
    </row>
    <row r="46" customFormat="false" ht="19.5" hidden="false" customHeight="true" outlineLevel="0" collapsed="false">
      <c r="A46" s="3" t="s">
        <v>96</v>
      </c>
    </row>
    <row r="47" customFormat="false" ht="15" hidden="false" customHeight="false" outlineLevel="0" collapsed="false">
      <c r="A47" s="17" t="s">
        <v>97</v>
      </c>
      <c r="B47" s="17" t="s">
        <v>98</v>
      </c>
      <c r="C47" s="17" t="s">
        <v>99</v>
      </c>
      <c r="D47" s="31" t="s">
        <v>76</v>
      </c>
    </row>
    <row r="48" customFormat="false" ht="15" hidden="false" customHeight="false" outlineLevel="0" collapsed="false">
      <c r="A48" s="18" t="s">
        <v>100</v>
      </c>
      <c r="B48" s="44" t="s">
        <v>101</v>
      </c>
      <c r="C48" s="21" t="n">
        <v>1500</v>
      </c>
      <c r="D48" s="10" t="s">
        <v>102</v>
      </c>
    </row>
    <row r="49" customFormat="false" ht="15" hidden="false" customHeight="false" outlineLevel="0" collapsed="false">
      <c r="A49" s="23" t="s">
        <v>103</v>
      </c>
      <c r="B49" s="45" t="s">
        <v>104</v>
      </c>
      <c r="C49" s="26" t="n">
        <v>20</v>
      </c>
      <c r="D49" s="10" t="s">
        <v>105</v>
      </c>
    </row>
    <row r="50" customFormat="false" ht="15" hidden="false" customHeight="false" outlineLevel="0" collapsed="false">
      <c r="A50" s="18" t="s">
        <v>106</v>
      </c>
      <c r="B50" s="44" t="s">
        <v>104</v>
      </c>
      <c r="C50" s="21" t="n">
        <v>50</v>
      </c>
      <c r="D50" s="10" t="s">
        <v>107</v>
      </c>
    </row>
    <row r="51" customFormat="false" ht="15" hidden="false" customHeight="false" outlineLevel="0" collapsed="false">
      <c r="A51" s="23" t="s">
        <v>108</v>
      </c>
      <c r="B51" s="45" t="s">
        <v>109</v>
      </c>
      <c r="C51" s="26" t="n">
        <v>16</v>
      </c>
      <c r="D51" s="10" t="s">
        <v>110</v>
      </c>
    </row>
    <row r="52" customFormat="false" ht="15" hidden="false" customHeight="false" outlineLevel="0" collapsed="false">
      <c r="A52" s="18" t="s">
        <v>111</v>
      </c>
      <c r="B52" s="44" t="s">
        <v>104</v>
      </c>
      <c r="C52" s="21" t="n">
        <v>50</v>
      </c>
      <c r="D52" s="10" t="s">
        <v>112</v>
      </c>
    </row>
    <row r="53" customFormat="false" ht="15" hidden="false" customHeight="false" outlineLevel="0" collapsed="false">
      <c r="A53" s="23" t="s">
        <v>113</v>
      </c>
      <c r="B53" s="45"/>
      <c r="C53" s="46" t="n">
        <f aca="false">G38</f>
        <v>69.5458333333333</v>
      </c>
      <c r="D53" s="10" t="s">
        <v>114</v>
      </c>
    </row>
    <row r="54" customFormat="false" ht="15" hidden="false" customHeight="false" outlineLevel="0" collapsed="false">
      <c r="A54" s="27" t="s">
        <v>115</v>
      </c>
      <c r="B54" s="28"/>
      <c r="C54" s="41" t="n">
        <f aca="false">SUM(C48:C53)</f>
        <v>1705.54583333333</v>
      </c>
    </row>
    <row r="56" customFormat="false" ht="19.5" hidden="false" customHeight="true" outlineLevel="0" collapsed="false">
      <c r="A56" s="3" t="s">
        <v>116</v>
      </c>
    </row>
    <row r="57" customFormat="false" ht="15" hidden="false" customHeight="false" outlineLevel="0" collapsed="false">
      <c r="A57" s="17" t="s">
        <v>97</v>
      </c>
      <c r="B57" s="17" t="s">
        <v>99</v>
      </c>
      <c r="C57" s="31" t="s">
        <v>76</v>
      </c>
    </row>
    <row r="58" customFormat="false" ht="15" hidden="false" customHeight="false" outlineLevel="0" collapsed="false">
      <c r="A58" s="18" t="s">
        <v>117</v>
      </c>
      <c r="B58" s="47" t="n">
        <v>0</v>
      </c>
      <c r="C58" s="10" t="s">
        <v>118</v>
      </c>
    </row>
    <row r="59" customFormat="false" ht="15" hidden="false" customHeight="false" outlineLevel="0" collapsed="false">
      <c r="A59" s="23" t="s">
        <v>119</v>
      </c>
      <c r="B59" s="26" t="n">
        <f aca="false">200/12</f>
        <v>16.6666666666667</v>
      </c>
      <c r="C59" s="10" t="s">
        <v>109</v>
      </c>
    </row>
    <row r="60" customFormat="false" ht="15" hidden="false" customHeight="false" outlineLevel="0" collapsed="false">
      <c r="A60" s="18" t="s">
        <v>120</v>
      </c>
      <c r="B60" s="47" t="n">
        <v>0</v>
      </c>
      <c r="C60" s="10" t="s">
        <v>118</v>
      </c>
    </row>
    <row r="61" customFormat="false" ht="15" hidden="false" customHeight="false" outlineLevel="0" collapsed="false">
      <c r="A61" s="23" t="s">
        <v>121</v>
      </c>
      <c r="B61" s="47" t="n">
        <v>0</v>
      </c>
      <c r="C61" s="10" t="s">
        <v>118</v>
      </c>
    </row>
    <row r="62" customFormat="false" ht="15" hidden="false" customHeight="false" outlineLevel="0" collapsed="false">
      <c r="A62" s="27" t="s">
        <v>122</v>
      </c>
      <c r="B62" s="41" t="n">
        <f aca="false">SUM(B58:B61)</f>
        <v>16.6666666666667</v>
      </c>
    </row>
    <row r="64" customFormat="false" ht="19.5" hidden="false" customHeight="true" outlineLevel="0" collapsed="false">
      <c r="A64" s="3" t="s">
        <v>123</v>
      </c>
    </row>
    <row r="65" customFormat="false" ht="15" hidden="false" customHeight="false" outlineLevel="0" collapsed="false">
      <c r="A65" s="17" t="s">
        <v>97</v>
      </c>
      <c r="B65" s="17" t="s">
        <v>99</v>
      </c>
      <c r="C65" s="31" t="s">
        <v>76</v>
      </c>
    </row>
    <row r="66" customFormat="false" ht="15" hidden="false" customHeight="false" outlineLevel="0" collapsed="false">
      <c r="A66" s="18" t="s">
        <v>124</v>
      </c>
      <c r="B66" s="21" t="n">
        <v>100</v>
      </c>
      <c r="C66" s="10" t="s">
        <v>125</v>
      </c>
    </row>
    <row r="67" customFormat="false" ht="15" hidden="false" customHeight="false" outlineLevel="0" collapsed="false">
      <c r="A67" s="23" t="s">
        <v>126</v>
      </c>
      <c r="B67" s="47" t="n">
        <v>0</v>
      </c>
      <c r="C67" s="10" t="s">
        <v>118</v>
      </c>
    </row>
    <row r="68" customFormat="false" ht="15" hidden="false" customHeight="false" outlineLevel="0" collapsed="false">
      <c r="A68" s="27" t="s">
        <v>127</v>
      </c>
      <c r="B68" s="41" t="n">
        <f aca="false">SUM(B66:B67)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128</v>
      </c>
    </row>
    <row r="2" customFormat="false" ht="15.75" hidden="false" customHeight="true" outlineLevel="0" collapsed="false">
      <c r="A2" s="10" t="s">
        <v>129</v>
      </c>
    </row>
    <row r="4" customFormat="false" ht="19.5" hidden="false" customHeight="true" outlineLevel="0" collapsed="false">
      <c r="A4" s="3" t="s">
        <v>30</v>
      </c>
    </row>
    <row r="5" customFormat="false" ht="15" hidden="false" customHeight="false" outlineLevel="0" collapsed="false">
      <c r="A5" s="11" t="s">
        <v>31</v>
      </c>
      <c r="B5" s="12" t="n">
        <v>70</v>
      </c>
    </row>
    <row r="6" customFormat="false" ht="15" hidden="false" customHeight="false" outlineLevel="0" collapsed="false">
      <c r="A6" s="11" t="s">
        <v>32</v>
      </c>
      <c r="B6" s="13" t="s">
        <v>33</v>
      </c>
    </row>
    <row r="7" customFormat="false" ht="15" hidden="false" customHeight="false" outlineLevel="0" collapsed="false">
      <c r="A7" s="11" t="s">
        <v>34</v>
      </c>
      <c r="B7" s="14" t="n">
        <f aca="false">D46</f>
        <v>2289</v>
      </c>
    </row>
    <row r="8" customFormat="false" ht="15" hidden="false" customHeight="false" outlineLevel="0" collapsed="false">
      <c r="A8" s="11" t="s">
        <v>35</v>
      </c>
      <c r="B8" s="15" t="n">
        <f aca="false">G46</f>
        <v>33.9833333333333</v>
      </c>
    </row>
    <row r="9" customFormat="false" ht="15" hidden="false" customHeight="false" outlineLevel="0" collapsed="false">
      <c r="A9" s="11" t="s">
        <v>36</v>
      </c>
      <c r="B9" s="14" t="n">
        <f aca="false">F52</f>
        <v>3380</v>
      </c>
    </row>
    <row r="10" customFormat="false" ht="15" hidden="false" customHeight="false" outlineLevel="0" collapsed="false">
      <c r="A10" s="11" t="s">
        <v>37</v>
      </c>
      <c r="B10" s="15" t="n">
        <f aca="false">C63</f>
        <v>1158.98333333333</v>
      </c>
    </row>
    <row r="11" customFormat="false" ht="15" hidden="false" customHeight="false" outlineLevel="0" collapsed="false">
      <c r="A11" s="11" t="s">
        <v>38</v>
      </c>
      <c r="B11" s="15" t="n">
        <f aca="false">B70</f>
        <v>0</v>
      </c>
    </row>
    <row r="12" customFormat="false" ht="15" hidden="false" customHeight="false" outlineLevel="0" collapsed="false">
      <c r="A12" s="11" t="s">
        <v>39</v>
      </c>
      <c r="B12" s="15" t="n">
        <f aca="false">B77</f>
        <v>100</v>
      </c>
    </row>
    <row r="14" customFormat="false" ht="15" hidden="false" customHeight="false" outlineLevel="0" collapsed="false">
      <c r="A14" s="7" t="s">
        <v>40</v>
      </c>
      <c r="B14" s="16" t="n">
        <v>0.18</v>
      </c>
    </row>
    <row r="15" customFormat="false" ht="19.5" hidden="false" customHeight="true" outlineLevel="0" collapsed="false">
      <c r="A15" s="3" t="s">
        <v>41</v>
      </c>
    </row>
    <row r="16" customFormat="false" ht="43.5" hidden="false" customHeight="true" outlineLevel="0" collapsed="false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customFormat="false" ht="15" hidden="false" customHeight="false" outlineLevel="0" collapsed="false">
      <c r="A17" s="18" t="s">
        <v>130</v>
      </c>
      <c r="B17" s="19" t="s">
        <v>131</v>
      </c>
      <c r="C17" s="20" t="n">
        <v>50</v>
      </c>
      <c r="D17" s="19" t="s">
        <v>132</v>
      </c>
      <c r="E17" s="21" t="n">
        <v>600</v>
      </c>
      <c r="F17" s="22"/>
      <c r="G17" s="22"/>
      <c r="H17" s="10" t="s">
        <v>133</v>
      </c>
    </row>
    <row r="18" customFormat="false" ht="15" hidden="false" customHeight="false" outlineLevel="0" collapsed="false">
      <c r="A18" s="23" t="s">
        <v>134</v>
      </c>
      <c r="B18" s="24" t="s">
        <v>131</v>
      </c>
      <c r="C18" s="25" t="n">
        <v>100</v>
      </c>
      <c r="D18" s="24" t="s">
        <v>132</v>
      </c>
      <c r="E18" s="26" t="n">
        <v>150</v>
      </c>
      <c r="F18" s="22"/>
      <c r="G18" s="22"/>
      <c r="H18" s="10" t="s">
        <v>52</v>
      </c>
    </row>
    <row r="19" customFormat="false" ht="15" hidden="false" customHeight="false" outlineLevel="0" collapsed="false">
      <c r="A19" s="18" t="s">
        <v>135</v>
      </c>
      <c r="B19" s="19" t="s">
        <v>136</v>
      </c>
      <c r="C19" s="20" t="n">
        <v>5000</v>
      </c>
      <c r="D19" s="19" t="s">
        <v>132</v>
      </c>
      <c r="E19" s="21" t="n">
        <v>12</v>
      </c>
      <c r="F19" s="22"/>
      <c r="G19" s="22"/>
      <c r="H19" s="10" t="s">
        <v>52</v>
      </c>
    </row>
    <row r="20" customFormat="false" ht="15" hidden="false" customHeight="false" outlineLevel="0" collapsed="false">
      <c r="A20" s="23" t="s">
        <v>137</v>
      </c>
      <c r="B20" s="24" t="s">
        <v>50</v>
      </c>
      <c r="C20" s="25" t="n">
        <v>144</v>
      </c>
      <c r="D20" s="24" t="s">
        <v>59</v>
      </c>
      <c r="E20" s="26" t="n">
        <v>36</v>
      </c>
      <c r="F20" s="22"/>
      <c r="G20" s="22"/>
      <c r="H20" s="10" t="s">
        <v>138</v>
      </c>
    </row>
    <row r="21" customFormat="false" ht="15" hidden="false" customHeight="false" outlineLevel="0" collapsed="false">
      <c r="A21" s="18" t="s">
        <v>139</v>
      </c>
      <c r="B21" s="19" t="s">
        <v>58</v>
      </c>
      <c r="C21" s="20" t="n">
        <v>1000</v>
      </c>
      <c r="D21" s="19" t="s">
        <v>59</v>
      </c>
      <c r="E21" s="21" t="n">
        <v>300</v>
      </c>
      <c r="F21" s="22"/>
      <c r="G21" s="22"/>
      <c r="H21" s="10" t="s">
        <v>52</v>
      </c>
    </row>
    <row r="22" customFormat="false" ht="15" hidden="false" customHeight="false" outlineLevel="0" collapsed="false">
      <c r="A22" s="23" t="s">
        <v>140</v>
      </c>
      <c r="B22" s="24" t="s">
        <v>58</v>
      </c>
      <c r="C22" s="25" t="n">
        <v>1000</v>
      </c>
      <c r="D22" s="24" t="s">
        <v>59</v>
      </c>
      <c r="E22" s="26" t="n">
        <v>120</v>
      </c>
      <c r="F22" s="22"/>
      <c r="G22" s="22"/>
      <c r="H22" s="10" t="s">
        <v>141</v>
      </c>
    </row>
    <row r="24" customFormat="false" ht="19.5" hidden="false" customHeight="true" outlineLevel="0" collapsed="false">
      <c r="A24" s="3" t="s">
        <v>60</v>
      </c>
    </row>
    <row r="25" customFormat="false" ht="31.5" hidden="false" customHeight="true" outlineLevel="0" collapsed="false">
      <c r="A25" s="17" t="s">
        <v>42</v>
      </c>
      <c r="B25" s="17" t="s">
        <v>61</v>
      </c>
      <c r="C25" s="17" t="s">
        <v>45</v>
      </c>
      <c r="D25" s="17" t="s">
        <v>62</v>
      </c>
    </row>
    <row r="26" customFormat="false" ht="15" hidden="false" customHeight="false" outlineLevel="0" collapsed="false">
      <c r="A26" s="18" t="s">
        <v>130</v>
      </c>
      <c r="B26" s="20" t="n">
        <v>2.5</v>
      </c>
      <c r="C26" s="19" t="s">
        <v>132</v>
      </c>
      <c r="D26" s="22"/>
    </row>
    <row r="27" customFormat="false" ht="15" hidden="false" customHeight="false" outlineLevel="0" collapsed="false">
      <c r="A27" s="23" t="s">
        <v>134</v>
      </c>
      <c r="B27" s="25" t="n">
        <v>1</v>
      </c>
      <c r="C27" s="24" t="s">
        <v>132</v>
      </c>
      <c r="D27" s="22"/>
    </row>
    <row r="28" customFormat="false" ht="15" hidden="false" customHeight="false" outlineLevel="0" collapsed="false">
      <c r="A28" s="18" t="s">
        <v>135</v>
      </c>
      <c r="B28" s="20" t="n">
        <v>10</v>
      </c>
      <c r="C28" s="19" t="s">
        <v>132</v>
      </c>
      <c r="D28" s="22"/>
    </row>
    <row r="29" customFormat="false" ht="15" hidden="false" customHeight="false" outlineLevel="0" collapsed="false">
      <c r="A29" s="23" t="s">
        <v>137</v>
      </c>
      <c r="B29" s="25" t="n">
        <v>4</v>
      </c>
      <c r="C29" s="24" t="s">
        <v>59</v>
      </c>
      <c r="D29" s="22"/>
    </row>
    <row r="30" customFormat="false" ht="15" hidden="false" customHeight="false" outlineLevel="0" collapsed="false">
      <c r="A30" s="18" t="s">
        <v>139</v>
      </c>
      <c r="B30" s="20" t="n">
        <v>1</v>
      </c>
      <c r="C30" s="19" t="s">
        <v>59</v>
      </c>
      <c r="D30" s="22"/>
    </row>
    <row r="31" customFormat="false" ht="15" hidden="false" customHeight="false" outlineLevel="0" collapsed="false">
      <c r="A31" s="23" t="s">
        <v>140</v>
      </c>
      <c r="B31" s="25" t="n">
        <v>1</v>
      </c>
      <c r="C31" s="24" t="s">
        <v>59</v>
      </c>
      <c r="D31" s="22"/>
    </row>
    <row r="32" customFormat="false" ht="15" hidden="false" customHeight="false" outlineLevel="0" collapsed="false">
      <c r="A32" s="27" t="s">
        <v>63</v>
      </c>
      <c r="B32" s="28"/>
      <c r="C32" s="28"/>
      <c r="D32" s="29"/>
    </row>
    <row r="34" customFormat="false" ht="15" hidden="false" customHeight="false" outlineLevel="0" collapsed="false">
      <c r="A34" s="30" t="s">
        <v>64</v>
      </c>
    </row>
    <row r="35" customFormat="false" ht="15" hidden="false" customHeight="false" outlineLevel="0" collapsed="false">
      <c r="A35" s="10" t="s">
        <v>65</v>
      </c>
    </row>
    <row r="36" customFormat="false" ht="15" hidden="false" customHeight="false" outlineLevel="0" collapsed="false">
      <c r="A36" s="10" t="s">
        <v>66</v>
      </c>
    </row>
    <row r="37" customFormat="false" ht="15" hidden="false" customHeight="false" outlineLevel="0" collapsed="false">
      <c r="A37" s="10" t="s">
        <v>67</v>
      </c>
    </row>
    <row r="39" customFormat="false" ht="19.5" hidden="false" customHeight="true" outlineLevel="0" collapsed="false">
      <c r="A39" s="3" t="s">
        <v>68</v>
      </c>
    </row>
    <row r="40" customFormat="false" ht="30" hidden="false" customHeight="true" outlineLevel="0" collapsed="false">
      <c r="A40" s="17" t="s">
        <v>69</v>
      </c>
      <c r="B40" s="17" t="s">
        <v>70</v>
      </c>
      <c r="C40" s="17" t="s">
        <v>71</v>
      </c>
      <c r="D40" s="17" t="s">
        <v>72</v>
      </c>
      <c r="E40" s="17" t="s">
        <v>73</v>
      </c>
      <c r="F40" s="17" t="s">
        <v>74</v>
      </c>
      <c r="G40" s="17" t="s">
        <v>75</v>
      </c>
      <c r="H40" s="31" t="s">
        <v>76</v>
      </c>
    </row>
    <row r="41" customFormat="false" ht="15" hidden="false" customHeight="false" outlineLevel="0" collapsed="false">
      <c r="A41" s="18" t="s">
        <v>142</v>
      </c>
      <c r="B41" s="32" t="n">
        <v>1</v>
      </c>
      <c r="C41" s="33" t="n">
        <v>789</v>
      </c>
      <c r="D41" s="34" t="n">
        <f aca="false">B41*C41</f>
        <v>789</v>
      </c>
      <c r="E41" s="32" t="n">
        <v>5</v>
      </c>
      <c r="F41" s="34" t="n">
        <f aca="false">IFERROR(D41/E41,0)</f>
        <v>157.8</v>
      </c>
      <c r="G41" s="35" t="n">
        <f aca="false">F41/12</f>
        <v>13.15</v>
      </c>
      <c r="H41" s="10" t="s">
        <v>143</v>
      </c>
    </row>
    <row r="42" customFormat="false" ht="15" hidden="false" customHeight="false" outlineLevel="0" collapsed="false">
      <c r="A42" s="23" t="s">
        <v>144</v>
      </c>
      <c r="B42" s="36" t="n">
        <v>1</v>
      </c>
      <c r="C42" s="37" t="n">
        <v>1000</v>
      </c>
      <c r="D42" s="38" t="n">
        <f aca="false">B42*C42</f>
        <v>1000</v>
      </c>
      <c r="E42" s="36" t="n">
        <v>5</v>
      </c>
      <c r="F42" s="38" t="n">
        <f aca="false">IFERROR(D42/E42,0)</f>
        <v>200</v>
      </c>
      <c r="G42" s="39" t="n">
        <f aca="false">F42/12</f>
        <v>16.6666666666667</v>
      </c>
      <c r="H42" s="10" t="s">
        <v>145</v>
      </c>
    </row>
    <row r="43" customFormat="false" ht="15" hidden="false" customHeight="false" outlineLevel="0" collapsed="false">
      <c r="A43" s="18" t="s">
        <v>146</v>
      </c>
      <c r="B43" s="32" t="n">
        <v>1</v>
      </c>
      <c r="C43" s="33" t="n">
        <v>200</v>
      </c>
      <c r="D43" s="34" t="n">
        <f aca="false">B43*C43</f>
        <v>200</v>
      </c>
      <c r="E43" s="32" t="n">
        <v>10</v>
      </c>
      <c r="F43" s="34" t="n">
        <f aca="false">IFERROR(D43/E43,0)</f>
        <v>20</v>
      </c>
      <c r="G43" s="35" t="n">
        <f aca="false">F43/12</f>
        <v>1.66666666666667</v>
      </c>
      <c r="H43" s="10" t="s">
        <v>82</v>
      </c>
    </row>
    <row r="44" customFormat="false" ht="15" hidden="false" customHeight="false" outlineLevel="0" collapsed="false">
      <c r="A44" s="23" t="s">
        <v>147</v>
      </c>
      <c r="B44" s="36" t="n">
        <v>1</v>
      </c>
      <c r="C44" s="37" t="n">
        <v>200</v>
      </c>
      <c r="D44" s="38" t="n">
        <f aca="false">B44*C44</f>
        <v>200</v>
      </c>
      <c r="E44" s="36" t="n">
        <v>10</v>
      </c>
      <c r="F44" s="38" t="n">
        <f aca="false">IFERROR(D44/E44,0)</f>
        <v>20</v>
      </c>
      <c r="G44" s="39" t="n">
        <f aca="false">F44/12</f>
        <v>1.66666666666667</v>
      </c>
      <c r="H44" s="10" t="s">
        <v>82</v>
      </c>
    </row>
    <row r="45" customFormat="false" ht="15" hidden="false" customHeight="false" outlineLevel="0" collapsed="false">
      <c r="A45" s="18" t="s">
        <v>148</v>
      </c>
      <c r="B45" s="32" t="n">
        <v>1</v>
      </c>
      <c r="C45" s="33" t="n">
        <v>100</v>
      </c>
      <c r="D45" s="34" t="n">
        <f aca="false">B45*C45</f>
        <v>100</v>
      </c>
      <c r="E45" s="32" t="n">
        <v>10</v>
      </c>
      <c r="F45" s="34" t="n">
        <f aca="false">IFERROR(D45/E45,0)</f>
        <v>10</v>
      </c>
      <c r="G45" s="35" t="n">
        <f aca="false">F45/12</f>
        <v>0.833333333333333</v>
      </c>
      <c r="H45" s="10" t="s">
        <v>82</v>
      </c>
    </row>
    <row r="46" customFormat="false" ht="15" hidden="false" customHeight="false" outlineLevel="0" collapsed="false">
      <c r="A46" s="27" t="s">
        <v>83</v>
      </c>
      <c r="B46" s="28"/>
      <c r="C46" s="28"/>
      <c r="D46" s="40" t="n">
        <f aca="false">SUM(D41:D45)</f>
        <v>2289</v>
      </c>
      <c r="E46" s="28"/>
      <c r="F46" s="40" t="n">
        <f aca="false">SUM(F41:F45)</f>
        <v>407.8</v>
      </c>
      <c r="G46" s="41" t="n">
        <f aca="false">SUM(G41:G45)</f>
        <v>33.9833333333333</v>
      </c>
    </row>
    <row r="48" customFormat="false" ht="19.5" hidden="false" customHeight="true" outlineLevel="0" collapsed="false">
      <c r="A48" s="3" t="s">
        <v>84</v>
      </c>
    </row>
    <row r="49" customFormat="false" ht="30" hidden="false" customHeight="true" outlineLevel="0" collapsed="false">
      <c r="A49" s="17" t="s">
        <v>85</v>
      </c>
      <c r="B49" s="17" t="s">
        <v>70</v>
      </c>
      <c r="C49" s="17" t="s">
        <v>86</v>
      </c>
      <c r="D49" s="17" t="s">
        <v>87</v>
      </c>
      <c r="E49" s="17" t="s">
        <v>88</v>
      </c>
      <c r="F49" s="17" t="s">
        <v>89</v>
      </c>
      <c r="G49" s="17" t="s">
        <v>90</v>
      </c>
      <c r="H49" s="31" t="s">
        <v>91</v>
      </c>
    </row>
    <row r="50" customFormat="false" ht="22.35" hidden="false" customHeight="false" outlineLevel="0" collapsed="false">
      <c r="A50" s="18" t="s">
        <v>149</v>
      </c>
      <c r="B50" s="32" t="n">
        <v>1</v>
      </c>
      <c r="C50" s="33" t="n">
        <v>1300</v>
      </c>
      <c r="D50" s="16" t="n">
        <v>0.3</v>
      </c>
      <c r="E50" s="34" t="n">
        <f aca="false">C50*D50</f>
        <v>390</v>
      </c>
      <c r="F50" s="34" t="n">
        <f aca="false">(C50+E50)*B50</f>
        <v>1690</v>
      </c>
      <c r="G50" s="34" t="n">
        <f aca="false">F50*12</f>
        <v>20280</v>
      </c>
      <c r="H50" s="42" t="s">
        <v>150</v>
      </c>
    </row>
    <row r="51" customFormat="false" ht="15" hidden="false" customHeight="false" outlineLevel="0" collapsed="false">
      <c r="A51" s="23" t="s">
        <v>151</v>
      </c>
      <c r="B51" s="36" t="n">
        <v>1</v>
      </c>
      <c r="C51" s="37" t="n">
        <v>1300</v>
      </c>
      <c r="D51" s="16" t="n">
        <v>0.3</v>
      </c>
      <c r="E51" s="38" t="n">
        <f aca="false">C51*D51</f>
        <v>390</v>
      </c>
      <c r="F51" s="38" t="n">
        <f aca="false">(C51+E51)*B51</f>
        <v>1690</v>
      </c>
      <c r="G51" s="38" t="n">
        <f aca="false">F51*12</f>
        <v>20280</v>
      </c>
      <c r="H51" s="42" t="s">
        <v>152</v>
      </c>
    </row>
    <row r="52" customFormat="false" ht="15" hidden="false" customHeight="false" outlineLevel="0" collapsed="false">
      <c r="A52" s="27" t="s">
        <v>94</v>
      </c>
      <c r="B52" s="28"/>
      <c r="C52" s="28"/>
      <c r="D52" s="28"/>
      <c r="E52" s="28"/>
      <c r="F52" s="40" t="n">
        <f aca="false">SUM(F50:F51)</f>
        <v>3380</v>
      </c>
      <c r="G52" s="40" t="n">
        <f aca="false">SUM(G50:G51)</f>
        <v>40560</v>
      </c>
    </row>
    <row r="53" customFormat="false" ht="15" hidden="false" customHeight="false" outlineLevel="0" collapsed="false">
      <c r="A53" s="43" t="s">
        <v>95</v>
      </c>
    </row>
    <row r="55" customFormat="false" ht="19.5" hidden="false" customHeight="true" outlineLevel="0" collapsed="false">
      <c r="A55" s="3" t="s">
        <v>96</v>
      </c>
    </row>
    <row r="56" customFormat="false" ht="15" hidden="false" customHeight="false" outlineLevel="0" collapsed="false">
      <c r="A56" s="17" t="s">
        <v>97</v>
      </c>
      <c r="B56" s="17" t="s">
        <v>98</v>
      </c>
      <c r="C56" s="17" t="s">
        <v>99</v>
      </c>
      <c r="D56" s="31" t="s">
        <v>76</v>
      </c>
    </row>
    <row r="57" customFormat="false" ht="15" hidden="false" customHeight="false" outlineLevel="0" collapsed="false">
      <c r="A57" s="18" t="s">
        <v>153</v>
      </c>
      <c r="B57" s="44" t="s">
        <v>154</v>
      </c>
      <c r="C57" s="21" t="n">
        <v>900</v>
      </c>
      <c r="D57" s="10" t="s">
        <v>102</v>
      </c>
    </row>
    <row r="58" customFormat="false" ht="15" hidden="false" customHeight="false" outlineLevel="0" collapsed="false">
      <c r="A58" s="23" t="s">
        <v>155</v>
      </c>
      <c r="B58" s="45" t="s">
        <v>104</v>
      </c>
      <c r="C58" s="26" t="n">
        <v>45</v>
      </c>
      <c r="D58" s="10" t="s">
        <v>156</v>
      </c>
    </row>
    <row r="59" customFormat="false" ht="15" hidden="false" customHeight="false" outlineLevel="0" collapsed="false">
      <c r="A59" s="18" t="s">
        <v>157</v>
      </c>
      <c r="B59" s="44" t="s">
        <v>104</v>
      </c>
      <c r="C59" s="21" t="n">
        <v>30</v>
      </c>
      <c r="D59" s="10" t="s">
        <v>82</v>
      </c>
    </row>
    <row r="60" customFormat="false" ht="15" hidden="false" customHeight="false" outlineLevel="0" collapsed="false">
      <c r="A60" s="23" t="s">
        <v>158</v>
      </c>
      <c r="B60" s="45" t="s">
        <v>104</v>
      </c>
      <c r="C60" s="26" t="n">
        <v>100</v>
      </c>
      <c r="D60" s="10" t="s">
        <v>159</v>
      </c>
    </row>
    <row r="61" customFormat="false" ht="15" hidden="false" customHeight="false" outlineLevel="0" collapsed="false">
      <c r="A61" s="18" t="s">
        <v>160</v>
      </c>
      <c r="B61" s="44" t="s">
        <v>104</v>
      </c>
      <c r="C61" s="21" t="n">
        <v>50</v>
      </c>
      <c r="D61" s="10" t="s">
        <v>161</v>
      </c>
    </row>
    <row r="62" customFormat="false" ht="15" hidden="false" customHeight="false" outlineLevel="0" collapsed="false">
      <c r="A62" s="23" t="s">
        <v>113</v>
      </c>
      <c r="B62" s="45"/>
      <c r="C62" s="46" t="n">
        <f aca="false">G46</f>
        <v>33.9833333333333</v>
      </c>
      <c r="D62" s="10" t="s">
        <v>114</v>
      </c>
    </row>
    <row r="63" customFormat="false" ht="15" hidden="false" customHeight="false" outlineLevel="0" collapsed="false">
      <c r="A63" s="27" t="s">
        <v>115</v>
      </c>
      <c r="B63" s="28"/>
      <c r="C63" s="41" t="n">
        <f aca="false">SUM(C57:C62)</f>
        <v>1158.98333333333</v>
      </c>
    </row>
    <row r="65" customFormat="false" ht="19.5" hidden="false" customHeight="true" outlineLevel="0" collapsed="false">
      <c r="A65" s="3" t="s">
        <v>116</v>
      </c>
    </row>
    <row r="66" customFormat="false" ht="15" hidden="false" customHeight="false" outlineLevel="0" collapsed="false">
      <c r="A66" s="17" t="s">
        <v>97</v>
      </c>
      <c r="B66" s="17" t="s">
        <v>99</v>
      </c>
      <c r="C66" s="31" t="s">
        <v>76</v>
      </c>
    </row>
    <row r="67" customFormat="false" ht="15" hidden="false" customHeight="false" outlineLevel="0" collapsed="false">
      <c r="A67" s="18" t="s">
        <v>117</v>
      </c>
      <c r="B67" s="47" t="n">
        <v>0</v>
      </c>
      <c r="C67" s="10" t="s">
        <v>118</v>
      </c>
    </row>
    <row r="68" customFormat="false" ht="15" hidden="false" customHeight="false" outlineLevel="0" collapsed="false">
      <c r="A68" s="23" t="s">
        <v>120</v>
      </c>
      <c r="B68" s="47" t="n">
        <v>0</v>
      </c>
      <c r="C68" s="10" t="s">
        <v>118</v>
      </c>
    </row>
    <row r="69" customFormat="false" ht="15" hidden="false" customHeight="false" outlineLevel="0" collapsed="false">
      <c r="A69" s="18" t="s">
        <v>121</v>
      </c>
      <c r="B69" s="47" t="n">
        <v>0</v>
      </c>
      <c r="C69" s="10" t="s">
        <v>118</v>
      </c>
    </row>
    <row r="70" customFormat="false" ht="15" hidden="false" customHeight="false" outlineLevel="0" collapsed="false">
      <c r="A70" s="27" t="s">
        <v>122</v>
      </c>
      <c r="B70" s="41" t="n">
        <f aca="false">SUM(B67:B69)</f>
        <v>0</v>
      </c>
    </row>
    <row r="72" customFormat="false" ht="19.5" hidden="false" customHeight="true" outlineLevel="0" collapsed="false">
      <c r="A72" s="3" t="s">
        <v>123</v>
      </c>
    </row>
    <row r="73" customFormat="false" ht="15" hidden="false" customHeight="false" outlineLevel="0" collapsed="false">
      <c r="A73" s="17" t="s">
        <v>97</v>
      </c>
      <c r="B73" s="17" t="s">
        <v>99</v>
      </c>
      <c r="C73" s="31" t="s">
        <v>76</v>
      </c>
    </row>
    <row r="74" customFormat="false" ht="15" hidden="false" customHeight="false" outlineLevel="0" collapsed="false">
      <c r="A74" s="18" t="s">
        <v>162</v>
      </c>
      <c r="B74" s="21" t="n">
        <v>100</v>
      </c>
      <c r="C74" s="10" t="s">
        <v>125</v>
      </c>
    </row>
    <row r="75" customFormat="false" ht="15" hidden="false" customHeight="false" outlineLevel="0" collapsed="false">
      <c r="A75" s="23" t="s">
        <v>163</v>
      </c>
      <c r="B75" s="47" t="n">
        <v>0</v>
      </c>
      <c r="C75" s="10" t="s">
        <v>118</v>
      </c>
    </row>
    <row r="76" customFormat="false" ht="15" hidden="false" customHeight="false" outlineLevel="0" collapsed="false">
      <c r="A76" s="18" t="s">
        <v>164</v>
      </c>
      <c r="B76" s="47" t="n">
        <v>0</v>
      </c>
      <c r="C76" s="10" t="s">
        <v>118</v>
      </c>
    </row>
    <row r="77" customFormat="false" ht="15" hidden="false" customHeight="false" outlineLevel="0" collapsed="false">
      <c r="A77" s="27" t="s">
        <v>127</v>
      </c>
      <c r="B77" s="41" t="n">
        <f aca="false">SUM(B74:B76)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165</v>
      </c>
    </row>
    <row r="2" customFormat="false" ht="15.75" hidden="false" customHeight="true" outlineLevel="0" collapsed="false">
      <c r="A2" s="10" t="s">
        <v>166</v>
      </c>
    </row>
    <row r="4" customFormat="false" ht="19.5" hidden="false" customHeight="true" outlineLevel="0" collapsed="false">
      <c r="A4" s="3" t="s">
        <v>30</v>
      </c>
    </row>
    <row r="5" customFormat="false" ht="15" hidden="false" customHeight="false" outlineLevel="0" collapsed="false">
      <c r="A5" s="11" t="s">
        <v>31</v>
      </c>
      <c r="B5" s="12" t="n">
        <v>300</v>
      </c>
    </row>
    <row r="6" customFormat="false" ht="15" hidden="false" customHeight="false" outlineLevel="0" collapsed="false">
      <c r="A6" s="11" t="s">
        <v>32</v>
      </c>
      <c r="B6" s="15" t="n">
        <f aca="false">B16</f>
        <v>0</v>
      </c>
    </row>
    <row r="7" customFormat="false" ht="15" hidden="false" customHeight="false" outlineLevel="0" collapsed="false">
      <c r="A7" s="11" t="s">
        <v>34</v>
      </c>
      <c r="B7" s="14" t="n">
        <f aca="false">D24</f>
        <v>8200</v>
      </c>
    </row>
    <row r="8" customFormat="false" ht="15" hidden="false" customHeight="false" outlineLevel="0" collapsed="false">
      <c r="A8" s="11" t="s">
        <v>35</v>
      </c>
      <c r="B8" s="15" t="n">
        <f aca="false">G24</f>
        <v>101.666666666667</v>
      </c>
    </row>
    <row r="9" customFormat="false" ht="15" hidden="false" customHeight="false" outlineLevel="0" collapsed="false">
      <c r="A9" s="11" t="s">
        <v>167</v>
      </c>
      <c r="B9" s="14" t="n">
        <f aca="false">F29</f>
        <v>400</v>
      </c>
    </row>
    <row r="10" customFormat="false" ht="15" hidden="false" customHeight="false" outlineLevel="0" collapsed="false">
      <c r="A10" s="11" t="s">
        <v>168</v>
      </c>
      <c r="B10" s="15" t="n">
        <f aca="false">C37</f>
        <v>291.666666666667</v>
      </c>
    </row>
    <row r="11" customFormat="false" ht="15" hidden="false" customHeight="false" outlineLevel="0" collapsed="false">
      <c r="A11" s="11" t="s">
        <v>38</v>
      </c>
      <c r="B11" s="15" t="n">
        <f aca="false">B43</f>
        <v>0</v>
      </c>
    </row>
    <row r="12" customFormat="false" ht="15" hidden="false" customHeight="false" outlineLevel="0" collapsed="false">
      <c r="A12" s="11" t="s">
        <v>39</v>
      </c>
      <c r="B12" s="15" t="n">
        <f aca="false">B49</f>
        <v>100</v>
      </c>
    </row>
    <row r="14" customFormat="false" ht="19.5" hidden="false" customHeight="true" outlineLevel="0" collapsed="false">
      <c r="A14" s="3" t="s">
        <v>169</v>
      </c>
    </row>
    <row r="15" customFormat="false" ht="15" hidden="false" customHeight="false" outlineLevel="0" collapsed="false">
      <c r="A15" s="48" t="s">
        <v>170</v>
      </c>
    </row>
    <row r="16" customFormat="false" ht="15" hidden="false" customHeight="false" outlineLevel="0" collapsed="false">
      <c r="A16" s="27" t="s">
        <v>171</v>
      </c>
      <c r="B16" s="41" t="n">
        <v>0</v>
      </c>
    </row>
    <row r="18" customFormat="false" ht="19.5" hidden="false" customHeight="true" outlineLevel="0" collapsed="false">
      <c r="A18" s="3" t="s">
        <v>68</v>
      </c>
    </row>
    <row r="19" customFormat="false" ht="30" hidden="false" customHeight="true" outlineLevel="0" collapsed="false">
      <c r="A19" s="17" t="s">
        <v>69</v>
      </c>
      <c r="B19" s="17" t="s">
        <v>70</v>
      </c>
      <c r="C19" s="17" t="s">
        <v>71</v>
      </c>
      <c r="D19" s="17" t="s">
        <v>72</v>
      </c>
      <c r="E19" s="17" t="s">
        <v>73</v>
      </c>
      <c r="F19" s="17" t="s">
        <v>74</v>
      </c>
      <c r="G19" s="17" t="s">
        <v>75</v>
      </c>
      <c r="H19" s="31" t="s">
        <v>76</v>
      </c>
    </row>
    <row r="20" customFormat="false" ht="15" hidden="false" customHeight="false" outlineLevel="0" collapsed="false">
      <c r="A20" s="18" t="s">
        <v>172</v>
      </c>
      <c r="B20" s="32" t="n">
        <v>1</v>
      </c>
      <c r="C20" s="33" t="n">
        <v>1000</v>
      </c>
      <c r="D20" s="34" t="n">
        <f aca="false">B20*C20</f>
        <v>1000</v>
      </c>
      <c r="E20" s="32" t="n">
        <v>5</v>
      </c>
      <c r="F20" s="34" t="n">
        <f aca="false">IFERROR(D20/E20,0)</f>
        <v>200</v>
      </c>
      <c r="G20" s="35" t="n">
        <f aca="false">F20/12</f>
        <v>16.6666666666667</v>
      </c>
      <c r="H20" s="10" t="s">
        <v>82</v>
      </c>
    </row>
    <row r="21" customFormat="false" ht="15" hidden="false" customHeight="false" outlineLevel="0" collapsed="false">
      <c r="A21" s="23" t="s">
        <v>173</v>
      </c>
      <c r="B21" s="36" t="n">
        <v>1</v>
      </c>
      <c r="C21" s="37" t="n">
        <v>2000</v>
      </c>
      <c r="D21" s="38" t="n">
        <f aca="false">B21*C21</f>
        <v>2000</v>
      </c>
      <c r="E21" s="36" t="n">
        <v>4</v>
      </c>
      <c r="F21" s="38" t="n">
        <f aca="false">IFERROR(D21/E21,0)</f>
        <v>500</v>
      </c>
      <c r="G21" s="39" t="n">
        <f aca="false">F21/12</f>
        <v>41.6666666666667</v>
      </c>
      <c r="H21" s="10" t="s">
        <v>82</v>
      </c>
    </row>
    <row r="22" customFormat="false" ht="15" hidden="false" customHeight="false" outlineLevel="0" collapsed="false">
      <c r="A22" s="18" t="s">
        <v>174</v>
      </c>
      <c r="B22" s="32" t="n">
        <v>1</v>
      </c>
      <c r="C22" s="33" t="n">
        <v>200</v>
      </c>
      <c r="D22" s="34" t="n">
        <f aca="false">B22*C22</f>
        <v>200</v>
      </c>
      <c r="E22" s="32" t="n">
        <v>10</v>
      </c>
      <c r="F22" s="34" t="n">
        <f aca="false">IFERROR(D22/E22,0)</f>
        <v>20</v>
      </c>
      <c r="G22" s="35" t="n">
        <f aca="false">F22/12</f>
        <v>1.66666666666667</v>
      </c>
      <c r="H22" s="10" t="s">
        <v>82</v>
      </c>
    </row>
    <row r="23" customFormat="false" ht="15" hidden="false" customHeight="false" outlineLevel="0" collapsed="false">
      <c r="A23" s="23" t="s">
        <v>175</v>
      </c>
      <c r="B23" s="36" t="n">
        <v>1</v>
      </c>
      <c r="C23" s="37" t="n">
        <v>5000</v>
      </c>
      <c r="D23" s="38" t="n">
        <f aca="false">B23*C23</f>
        <v>5000</v>
      </c>
      <c r="E23" s="36" t="n">
        <v>10</v>
      </c>
      <c r="F23" s="38" t="n">
        <f aca="false">IFERROR(D23/E23,0)</f>
        <v>500</v>
      </c>
      <c r="G23" s="39" t="n">
        <f aca="false">F23/12</f>
        <v>41.6666666666667</v>
      </c>
      <c r="H23" s="10" t="s">
        <v>82</v>
      </c>
    </row>
    <row r="24" customFormat="false" ht="15" hidden="false" customHeight="false" outlineLevel="0" collapsed="false">
      <c r="A24" s="27" t="s">
        <v>83</v>
      </c>
      <c r="B24" s="28"/>
      <c r="C24" s="28"/>
      <c r="D24" s="40" t="n">
        <f aca="false">SUM(D20:D23)</f>
        <v>8200</v>
      </c>
      <c r="E24" s="28"/>
      <c r="F24" s="40" t="n">
        <f aca="false">SUM(F20:F23)</f>
        <v>1220</v>
      </c>
      <c r="G24" s="41" t="n">
        <f aca="false">SUM(G20:G23)</f>
        <v>101.666666666667</v>
      </c>
    </row>
    <row r="26" customFormat="false" ht="19.5" hidden="false" customHeight="true" outlineLevel="0" collapsed="false">
      <c r="A26" s="3" t="s">
        <v>176</v>
      </c>
    </row>
    <row r="27" customFormat="false" ht="30" hidden="false" customHeight="true" outlineLevel="0" collapsed="false">
      <c r="A27" s="17" t="s">
        <v>85</v>
      </c>
      <c r="B27" s="17" t="s">
        <v>70</v>
      </c>
      <c r="C27" s="17" t="s">
        <v>86</v>
      </c>
      <c r="D27" s="17" t="s">
        <v>87</v>
      </c>
      <c r="E27" s="17" t="s">
        <v>88</v>
      </c>
      <c r="F27" s="17" t="s">
        <v>89</v>
      </c>
      <c r="G27" s="17" t="s">
        <v>90</v>
      </c>
      <c r="H27" s="31" t="s">
        <v>91</v>
      </c>
    </row>
    <row r="28" customFormat="false" ht="22.35" hidden="false" customHeight="false" outlineLevel="0" collapsed="false">
      <c r="A28" s="18" t="s">
        <v>177</v>
      </c>
      <c r="B28" s="32" t="n">
        <v>1</v>
      </c>
      <c r="C28" s="33" t="n">
        <v>400</v>
      </c>
      <c r="D28" s="16" t="n">
        <v>0</v>
      </c>
      <c r="E28" s="34" t="n">
        <f aca="false">C28*D28</f>
        <v>0</v>
      </c>
      <c r="F28" s="34" t="n">
        <f aca="false">(C28+E28)*B28</f>
        <v>400</v>
      </c>
      <c r="G28" s="34" t="n">
        <f aca="false">F28*12</f>
        <v>4800</v>
      </c>
      <c r="H28" s="42" t="s">
        <v>178</v>
      </c>
    </row>
    <row r="29" customFormat="false" ht="15" hidden="false" customHeight="false" outlineLevel="0" collapsed="false">
      <c r="A29" s="27" t="s">
        <v>94</v>
      </c>
      <c r="B29" s="28"/>
      <c r="C29" s="28"/>
      <c r="D29" s="28"/>
      <c r="E29" s="28"/>
      <c r="F29" s="40" t="n">
        <f aca="false">SUM(F28:F28)</f>
        <v>400</v>
      </c>
      <c r="G29" s="40" t="n">
        <f aca="false">SUM(G28:G28)</f>
        <v>4800</v>
      </c>
    </row>
    <row r="30" customFormat="false" ht="15" hidden="false" customHeight="false" outlineLevel="0" collapsed="false">
      <c r="A30" s="43" t="s">
        <v>95</v>
      </c>
    </row>
    <row r="32" customFormat="false" ht="19.5" hidden="false" customHeight="true" outlineLevel="0" collapsed="false">
      <c r="A32" s="3" t="s">
        <v>179</v>
      </c>
    </row>
    <row r="33" customFormat="false" ht="15" hidden="false" customHeight="false" outlineLevel="0" collapsed="false">
      <c r="A33" s="17" t="s">
        <v>97</v>
      </c>
      <c r="B33" s="17" t="s">
        <v>98</v>
      </c>
      <c r="C33" s="17" t="s">
        <v>99</v>
      </c>
      <c r="D33" s="31" t="s">
        <v>76</v>
      </c>
    </row>
    <row r="34" customFormat="false" ht="15" hidden="false" customHeight="false" outlineLevel="0" collapsed="false">
      <c r="A34" s="18" t="s">
        <v>180</v>
      </c>
      <c r="B34" s="44" t="s">
        <v>181</v>
      </c>
      <c r="C34" s="21" t="n">
        <v>180</v>
      </c>
      <c r="D34" s="10" t="s">
        <v>182</v>
      </c>
    </row>
    <row r="35" customFormat="false" ht="15" hidden="false" customHeight="false" outlineLevel="0" collapsed="false">
      <c r="A35" s="23" t="s">
        <v>183</v>
      </c>
      <c r="B35" s="45" t="s">
        <v>184</v>
      </c>
      <c r="C35" s="26" t="n">
        <v>10</v>
      </c>
      <c r="D35" s="10" t="s">
        <v>82</v>
      </c>
    </row>
    <row r="36" customFormat="false" ht="15" hidden="false" customHeight="false" outlineLevel="0" collapsed="false">
      <c r="A36" s="18" t="s">
        <v>113</v>
      </c>
      <c r="B36" s="44"/>
      <c r="C36" s="49" t="n">
        <f aca="false">F24/12</f>
        <v>101.666666666667</v>
      </c>
      <c r="D36" s="10" t="s">
        <v>185</v>
      </c>
    </row>
    <row r="37" customFormat="false" ht="15" hidden="false" customHeight="false" outlineLevel="0" collapsed="false">
      <c r="A37" s="27" t="s">
        <v>115</v>
      </c>
      <c r="B37" s="28"/>
      <c r="C37" s="41" t="n">
        <f aca="false">SUM(C34:C36)</f>
        <v>291.666666666667</v>
      </c>
    </row>
    <row r="39" customFormat="false" ht="19.5" hidden="false" customHeight="true" outlineLevel="0" collapsed="false">
      <c r="A39" s="3" t="s">
        <v>116</v>
      </c>
    </row>
    <row r="40" customFormat="false" ht="15" hidden="false" customHeight="false" outlineLevel="0" collapsed="false">
      <c r="A40" s="17" t="s">
        <v>97</v>
      </c>
      <c r="B40" s="17" t="s">
        <v>99</v>
      </c>
      <c r="C40" s="31" t="s">
        <v>76</v>
      </c>
    </row>
    <row r="41" customFormat="false" ht="15" hidden="false" customHeight="false" outlineLevel="0" collapsed="false">
      <c r="A41" s="18" t="s">
        <v>117</v>
      </c>
      <c r="B41" s="47" t="n">
        <v>0</v>
      </c>
      <c r="C41" s="10" t="s">
        <v>118</v>
      </c>
    </row>
    <row r="42" customFormat="false" ht="15" hidden="false" customHeight="false" outlineLevel="0" collapsed="false">
      <c r="A42" s="23" t="s">
        <v>186</v>
      </c>
      <c r="B42" s="47" t="n">
        <v>0</v>
      </c>
      <c r="C42" s="10" t="s">
        <v>118</v>
      </c>
    </row>
    <row r="43" customFormat="false" ht="15" hidden="false" customHeight="false" outlineLevel="0" collapsed="false">
      <c r="A43" s="27" t="s">
        <v>122</v>
      </c>
      <c r="B43" s="41" t="n">
        <f aca="false">SUM(B41:B42)</f>
        <v>0</v>
      </c>
    </row>
    <row r="45" customFormat="false" ht="19.5" hidden="false" customHeight="true" outlineLevel="0" collapsed="false">
      <c r="A45" s="3" t="s">
        <v>123</v>
      </c>
    </row>
    <row r="46" customFormat="false" ht="15" hidden="false" customHeight="false" outlineLevel="0" collapsed="false">
      <c r="A46" s="17" t="s">
        <v>97</v>
      </c>
      <c r="B46" s="17" t="s">
        <v>99</v>
      </c>
      <c r="C46" s="31" t="s">
        <v>76</v>
      </c>
    </row>
    <row r="47" customFormat="false" ht="15" hidden="false" customHeight="false" outlineLevel="0" collapsed="false">
      <c r="A47" s="18" t="s">
        <v>124</v>
      </c>
      <c r="B47" s="21" t="n">
        <v>100</v>
      </c>
      <c r="C47" s="10" t="s">
        <v>187</v>
      </c>
    </row>
    <row r="48" customFormat="false" ht="15" hidden="false" customHeight="false" outlineLevel="0" collapsed="false">
      <c r="A48" s="23" t="s">
        <v>188</v>
      </c>
      <c r="B48" s="47" t="n">
        <v>0</v>
      </c>
      <c r="C48" s="10" t="s">
        <v>118</v>
      </c>
    </row>
    <row r="49" customFormat="false" ht="15" hidden="false" customHeight="false" outlineLevel="0" collapsed="false">
      <c r="A49" s="27" t="s">
        <v>127</v>
      </c>
      <c r="B49" s="41" t="n">
        <f aca="false">SUM(B47:B48)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189</v>
      </c>
    </row>
    <row r="2" customFormat="false" ht="15.75" hidden="false" customHeight="true" outlineLevel="0" collapsed="false">
      <c r="A2" s="10" t="s">
        <v>190</v>
      </c>
    </row>
    <row r="4" customFormat="false" ht="19.5" hidden="false" customHeight="true" outlineLevel="0" collapsed="false">
      <c r="A4" s="3" t="s">
        <v>30</v>
      </c>
    </row>
    <row r="5" customFormat="false" ht="15" hidden="false" customHeight="false" outlineLevel="0" collapsed="false">
      <c r="A5" s="11" t="s">
        <v>31</v>
      </c>
      <c r="B5" s="13" t="s">
        <v>191</v>
      </c>
    </row>
    <row r="6" customFormat="false" ht="15" hidden="false" customHeight="false" outlineLevel="0" collapsed="false">
      <c r="A6" s="11" t="s">
        <v>32</v>
      </c>
      <c r="B6" s="13" t="s">
        <v>33</v>
      </c>
    </row>
    <row r="7" customFormat="false" ht="15" hidden="false" customHeight="false" outlineLevel="0" collapsed="false">
      <c r="A7" s="11" t="s">
        <v>34</v>
      </c>
      <c r="B7" s="14" t="n">
        <f aca="false">D40</f>
        <v>21000</v>
      </c>
    </row>
    <row r="8" customFormat="false" ht="15" hidden="false" customHeight="false" outlineLevel="0" collapsed="false">
      <c r="A8" s="11" t="s">
        <v>35</v>
      </c>
      <c r="B8" s="15" t="n">
        <f aca="false">G40</f>
        <v>247.400793650794</v>
      </c>
    </row>
    <row r="9" customFormat="false" ht="15" hidden="false" customHeight="false" outlineLevel="0" collapsed="false">
      <c r="A9" s="11" t="s">
        <v>36</v>
      </c>
      <c r="B9" s="14" t="n">
        <f aca="false">F48</f>
        <v>8268</v>
      </c>
    </row>
    <row r="10" customFormat="false" ht="15" hidden="false" customHeight="false" outlineLevel="0" collapsed="false">
      <c r="A10" s="11" t="s">
        <v>37</v>
      </c>
      <c r="B10" s="15" t="n">
        <f aca="false">C61</f>
        <v>5167.40079365079</v>
      </c>
    </row>
    <row r="11" customFormat="false" ht="15" hidden="false" customHeight="false" outlineLevel="0" collapsed="false">
      <c r="A11" s="11" t="s">
        <v>38</v>
      </c>
      <c r="B11" s="15" t="n">
        <f aca="false">B70</f>
        <v>0</v>
      </c>
    </row>
    <row r="12" customFormat="false" ht="15" hidden="false" customHeight="false" outlineLevel="0" collapsed="false">
      <c r="A12" s="11" t="s">
        <v>39</v>
      </c>
      <c r="B12" s="15" t="n">
        <f aca="false">B79</f>
        <v>300</v>
      </c>
    </row>
    <row r="14" customFormat="false" ht="19.5" hidden="false" customHeight="true" outlineLevel="0" collapsed="false">
      <c r="A14" s="3" t="s">
        <v>192</v>
      </c>
    </row>
    <row r="15" customFormat="false" ht="22.35" hidden="false" customHeight="false" outlineLevel="0" collapsed="false">
      <c r="A15" s="17" t="s">
        <v>193</v>
      </c>
      <c r="B15" s="17" t="s">
        <v>194</v>
      </c>
      <c r="C15" s="17" t="s">
        <v>195</v>
      </c>
      <c r="D15" s="17" t="s">
        <v>196</v>
      </c>
      <c r="E15" s="31" t="s">
        <v>76</v>
      </c>
    </row>
    <row r="16" customFormat="false" ht="15" hidden="false" customHeight="false" outlineLevel="0" collapsed="false">
      <c r="A16" s="50" t="s">
        <v>197</v>
      </c>
      <c r="B16" s="51"/>
      <c r="C16" s="51"/>
      <c r="D16" s="51"/>
    </row>
    <row r="17" customFormat="false" ht="15" hidden="false" customHeight="false" outlineLevel="0" collapsed="false">
      <c r="A17" s="18" t="s">
        <v>198</v>
      </c>
      <c r="B17" s="19" t="s">
        <v>199</v>
      </c>
      <c r="C17" s="21" t="n">
        <v>480</v>
      </c>
      <c r="D17" s="18" t="s">
        <v>200</v>
      </c>
      <c r="E17" s="10" t="s">
        <v>201</v>
      </c>
    </row>
    <row r="18" customFormat="false" ht="15" hidden="false" customHeight="false" outlineLevel="0" collapsed="false">
      <c r="A18" s="23" t="s">
        <v>202</v>
      </c>
      <c r="B18" s="24" t="s">
        <v>203</v>
      </c>
      <c r="C18" s="26" t="n">
        <v>96</v>
      </c>
      <c r="D18" s="23" t="s">
        <v>204</v>
      </c>
      <c r="E18" s="10" t="s">
        <v>205</v>
      </c>
    </row>
    <row r="19" customFormat="false" ht="15" hidden="false" customHeight="false" outlineLevel="0" collapsed="false">
      <c r="A19" s="18" t="s">
        <v>206</v>
      </c>
      <c r="B19" s="19" t="s">
        <v>207</v>
      </c>
      <c r="C19" s="21" t="n">
        <v>80</v>
      </c>
      <c r="D19" s="18" t="s">
        <v>208</v>
      </c>
      <c r="E19" s="10" t="s">
        <v>52</v>
      </c>
    </row>
    <row r="20" customFormat="false" ht="15" hidden="false" customHeight="false" outlineLevel="0" collapsed="false">
      <c r="A20" s="50" t="s">
        <v>209</v>
      </c>
      <c r="B20" s="51"/>
      <c r="C20" s="51"/>
      <c r="D20" s="51"/>
    </row>
    <row r="21" customFormat="false" ht="15" hidden="false" customHeight="false" outlineLevel="0" collapsed="false">
      <c r="A21" s="18" t="s">
        <v>210</v>
      </c>
      <c r="B21" s="19" t="s">
        <v>211</v>
      </c>
      <c r="C21" s="21"/>
      <c r="D21" s="18" t="s">
        <v>212</v>
      </c>
      <c r="E21" s="10" t="s">
        <v>213</v>
      </c>
    </row>
    <row r="22" customFormat="false" ht="15" hidden="false" customHeight="false" outlineLevel="0" collapsed="false">
      <c r="A22" s="30" t="s">
        <v>214</v>
      </c>
    </row>
    <row r="24" customFormat="false" ht="19.5" hidden="false" customHeight="true" outlineLevel="0" collapsed="false">
      <c r="A24" s="3" t="s">
        <v>68</v>
      </c>
    </row>
    <row r="25" customFormat="false" ht="30" hidden="false" customHeight="true" outlineLevel="0" collapsed="false">
      <c r="A25" s="17" t="s">
        <v>69</v>
      </c>
      <c r="B25" s="17" t="s">
        <v>70</v>
      </c>
      <c r="C25" s="17" t="s">
        <v>71</v>
      </c>
      <c r="D25" s="17" t="s">
        <v>72</v>
      </c>
      <c r="E25" s="17" t="s">
        <v>73</v>
      </c>
      <c r="F25" s="17" t="s">
        <v>74</v>
      </c>
      <c r="G25" s="17" t="s">
        <v>75</v>
      </c>
      <c r="H25" s="31" t="s">
        <v>76</v>
      </c>
    </row>
    <row r="26" customFormat="false" ht="15" hidden="false" customHeight="false" outlineLevel="0" collapsed="false">
      <c r="A26" s="18" t="s">
        <v>215</v>
      </c>
      <c r="B26" s="32" t="n">
        <v>1</v>
      </c>
      <c r="C26" s="33" t="n">
        <v>2500</v>
      </c>
      <c r="D26" s="34" t="n">
        <f aca="false">B26*C26</f>
        <v>2500</v>
      </c>
      <c r="E26" s="32" t="n">
        <v>7</v>
      </c>
      <c r="F26" s="34" t="n">
        <f aca="false">IFERROR(D26/E26,0)</f>
        <v>357.142857142857</v>
      </c>
      <c r="G26" s="35" t="n">
        <f aca="false">F26/12</f>
        <v>29.7619047619048</v>
      </c>
      <c r="H26" s="10" t="s">
        <v>52</v>
      </c>
    </row>
    <row r="27" customFormat="false" ht="15" hidden="false" customHeight="false" outlineLevel="0" collapsed="false">
      <c r="A27" s="23" t="s">
        <v>216</v>
      </c>
      <c r="B27" s="36" t="n">
        <v>1</v>
      </c>
      <c r="C27" s="37" t="n">
        <v>2000</v>
      </c>
      <c r="D27" s="38" t="n">
        <f aca="false">B27*C27</f>
        <v>2000</v>
      </c>
      <c r="E27" s="36" t="n">
        <v>7</v>
      </c>
      <c r="F27" s="38" t="n">
        <f aca="false">IFERROR(D27/E27,0)</f>
        <v>285.714285714286</v>
      </c>
      <c r="G27" s="39" t="n">
        <f aca="false">F27/12</f>
        <v>23.8095238095238</v>
      </c>
      <c r="H27" s="10" t="s">
        <v>52</v>
      </c>
    </row>
    <row r="28" customFormat="false" ht="15" hidden="false" customHeight="false" outlineLevel="0" collapsed="false">
      <c r="A28" s="18" t="s">
        <v>217</v>
      </c>
      <c r="B28" s="32" t="n">
        <v>1</v>
      </c>
      <c r="C28" s="33" t="n">
        <v>1500</v>
      </c>
      <c r="D28" s="34" t="n">
        <f aca="false">B28*C28</f>
        <v>1500</v>
      </c>
      <c r="E28" s="32" t="n">
        <v>10</v>
      </c>
      <c r="F28" s="34" t="n">
        <f aca="false">IFERROR(D28/E28,0)</f>
        <v>150</v>
      </c>
      <c r="G28" s="35" t="n">
        <f aca="false">F28/12</f>
        <v>12.5</v>
      </c>
      <c r="H28" s="10" t="s">
        <v>52</v>
      </c>
    </row>
    <row r="29" customFormat="false" ht="15" hidden="false" customHeight="false" outlineLevel="0" collapsed="false">
      <c r="A29" s="23" t="s">
        <v>218</v>
      </c>
      <c r="B29" s="36" t="n">
        <v>1</v>
      </c>
      <c r="C29" s="37" t="n">
        <v>1200</v>
      </c>
      <c r="D29" s="38" t="n">
        <f aca="false">B29*C29</f>
        <v>1200</v>
      </c>
      <c r="E29" s="36" t="n">
        <v>10</v>
      </c>
      <c r="F29" s="38" t="n">
        <f aca="false">IFERROR(D29/E29,0)</f>
        <v>120</v>
      </c>
      <c r="G29" s="39" t="n">
        <f aca="false">F29/12</f>
        <v>10</v>
      </c>
      <c r="H29" s="10" t="s">
        <v>219</v>
      </c>
    </row>
    <row r="30" customFormat="false" ht="15" hidden="false" customHeight="false" outlineLevel="0" collapsed="false">
      <c r="A30" s="18" t="s">
        <v>220</v>
      </c>
      <c r="B30" s="32" t="n">
        <v>1</v>
      </c>
      <c r="C30" s="33" t="n">
        <v>600</v>
      </c>
      <c r="D30" s="34" t="n">
        <f aca="false">B30*C30</f>
        <v>600</v>
      </c>
      <c r="E30" s="32" t="n">
        <v>7</v>
      </c>
      <c r="F30" s="34" t="n">
        <f aca="false">IFERROR(D30/E30,0)</f>
        <v>85.7142857142857</v>
      </c>
      <c r="G30" s="35" t="n">
        <f aca="false">F30/12</f>
        <v>7.14285714285714</v>
      </c>
      <c r="H30" s="10" t="s">
        <v>221</v>
      </c>
    </row>
    <row r="31" customFormat="false" ht="15" hidden="false" customHeight="false" outlineLevel="0" collapsed="false">
      <c r="A31" s="23" t="s">
        <v>222</v>
      </c>
      <c r="B31" s="36" t="n">
        <v>10</v>
      </c>
      <c r="C31" s="37" t="n">
        <v>200</v>
      </c>
      <c r="D31" s="38" t="n">
        <f aca="false">B31*C31</f>
        <v>2000</v>
      </c>
      <c r="E31" s="36" t="n">
        <v>10</v>
      </c>
      <c r="F31" s="38" t="n">
        <f aca="false">IFERROR(D31/E31,0)</f>
        <v>200</v>
      </c>
      <c r="G31" s="39" t="n">
        <f aca="false">F31/12</f>
        <v>16.6666666666667</v>
      </c>
      <c r="H31" s="10" t="s">
        <v>223</v>
      </c>
    </row>
    <row r="32" customFormat="false" ht="15" hidden="false" customHeight="false" outlineLevel="0" collapsed="false">
      <c r="A32" s="18" t="s">
        <v>224</v>
      </c>
      <c r="B32" s="32" t="n">
        <v>40</v>
      </c>
      <c r="C32" s="33" t="n">
        <v>60</v>
      </c>
      <c r="D32" s="34" t="n">
        <f aca="false">B32*C32</f>
        <v>2400</v>
      </c>
      <c r="E32" s="32" t="n">
        <v>10</v>
      </c>
      <c r="F32" s="34" t="n">
        <f aca="false">IFERROR(D32/E32,0)</f>
        <v>240</v>
      </c>
      <c r="G32" s="35" t="n">
        <f aca="false">F32/12</f>
        <v>20</v>
      </c>
      <c r="H32" s="10" t="s">
        <v>223</v>
      </c>
    </row>
    <row r="33" customFormat="false" ht="15" hidden="false" customHeight="false" outlineLevel="0" collapsed="false">
      <c r="A33" s="23" t="s">
        <v>225</v>
      </c>
      <c r="B33" s="36" t="n">
        <v>1</v>
      </c>
      <c r="C33" s="37" t="n">
        <v>1500</v>
      </c>
      <c r="D33" s="38" t="n">
        <f aca="false">B33*C33</f>
        <v>1500</v>
      </c>
      <c r="E33" s="36" t="n">
        <v>4</v>
      </c>
      <c r="F33" s="38" t="n">
        <f aca="false">IFERROR(D33/E33,0)</f>
        <v>375</v>
      </c>
      <c r="G33" s="39" t="n">
        <f aca="false">F33/12</f>
        <v>31.25</v>
      </c>
      <c r="H33" s="10" t="s">
        <v>226</v>
      </c>
    </row>
    <row r="34" customFormat="false" ht="15" hidden="false" customHeight="false" outlineLevel="0" collapsed="false">
      <c r="A34" s="18" t="s">
        <v>227</v>
      </c>
      <c r="B34" s="32" t="n">
        <v>1</v>
      </c>
      <c r="C34" s="33" t="n">
        <v>2000</v>
      </c>
      <c r="D34" s="34" t="n">
        <f aca="false">B34*C34</f>
        <v>2000</v>
      </c>
      <c r="E34" s="32" t="n">
        <v>10</v>
      </c>
      <c r="F34" s="34" t="n">
        <f aca="false">IFERROR(D34/E34,0)</f>
        <v>200</v>
      </c>
      <c r="G34" s="35" t="n">
        <f aca="false">F34/12</f>
        <v>16.6666666666667</v>
      </c>
      <c r="H34" s="10" t="s">
        <v>228</v>
      </c>
    </row>
    <row r="35" customFormat="false" ht="15" hidden="false" customHeight="false" outlineLevel="0" collapsed="false">
      <c r="A35" s="23" t="s">
        <v>229</v>
      </c>
      <c r="B35" s="36" t="n">
        <v>1</v>
      </c>
      <c r="C35" s="37" t="n">
        <v>800</v>
      </c>
      <c r="D35" s="38" t="n">
        <f aca="false">B35*C35</f>
        <v>800</v>
      </c>
      <c r="E35" s="36" t="n">
        <v>3</v>
      </c>
      <c r="F35" s="38" t="n">
        <f aca="false">IFERROR(D35/E35,0)</f>
        <v>266.666666666667</v>
      </c>
      <c r="G35" s="39" t="n">
        <f aca="false">F35/12</f>
        <v>22.2222222222222</v>
      </c>
      <c r="H35" s="10" t="s">
        <v>230</v>
      </c>
    </row>
    <row r="36" customFormat="false" ht="15" hidden="false" customHeight="false" outlineLevel="0" collapsed="false">
      <c r="A36" s="18" t="s">
        <v>231</v>
      </c>
      <c r="B36" s="32" t="n">
        <v>1</v>
      </c>
      <c r="C36" s="33" t="n">
        <v>1000</v>
      </c>
      <c r="D36" s="34" t="n">
        <f aca="false">B36*C36</f>
        <v>1000</v>
      </c>
      <c r="E36" s="32" t="n">
        <v>7</v>
      </c>
      <c r="F36" s="34" t="n">
        <f aca="false">IFERROR(D36/E36,0)</f>
        <v>142.857142857143</v>
      </c>
      <c r="G36" s="35" t="n">
        <f aca="false">F36/12</f>
        <v>11.9047619047619</v>
      </c>
      <c r="H36" s="10" t="s">
        <v>232</v>
      </c>
    </row>
    <row r="37" customFormat="false" ht="15" hidden="false" customHeight="false" outlineLevel="0" collapsed="false">
      <c r="A37" s="23" t="s">
        <v>233</v>
      </c>
      <c r="B37" s="36" t="n">
        <v>1</v>
      </c>
      <c r="C37" s="37" t="n">
        <v>1200</v>
      </c>
      <c r="D37" s="38" t="n">
        <f aca="false">B37*C37</f>
        <v>1200</v>
      </c>
      <c r="E37" s="36" t="n">
        <v>7</v>
      </c>
      <c r="F37" s="38" t="n">
        <f aca="false">IFERROR(D37/E37,0)</f>
        <v>171.428571428571</v>
      </c>
      <c r="G37" s="39" t="n">
        <f aca="false">F37/12</f>
        <v>14.2857142857143</v>
      </c>
      <c r="H37" s="10" t="s">
        <v>232</v>
      </c>
    </row>
    <row r="38" customFormat="false" ht="15" hidden="false" customHeight="false" outlineLevel="0" collapsed="false">
      <c r="A38" s="18" t="s">
        <v>234</v>
      </c>
      <c r="B38" s="32" t="n">
        <v>1</v>
      </c>
      <c r="C38" s="33" t="n">
        <v>800</v>
      </c>
      <c r="D38" s="34" t="n">
        <f aca="false">B38*C38</f>
        <v>800</v>
      </c>
      <c r="E38" s="32" t="n">
        <v>5</v>
      </c>
      <c r="F38" s="34" t="n">
        <f aca="false">IFERROR(D38/E38,0)</f>
        <v>160</v>
      </c>
      <c r="G38" s="35" t="n">
        <f aca="false">F38/12</f>
        <v>13.3333333333333</v>
      </c>
      <c r="H38" s="10" t="s">
        <v>235</v>
      </c>
    </row>
    <row r="39" customFormat="false" ht="15" hidden="false" customHeight="false" outlineLevel="0" collapsed="false">
      <c r="A39" s="23" t="s">
        <v>236</v>
      </c>
      <c r="B39" s="36" t="n">
        <v>1</v>
      </c>
      <c r="C39" s="37" t="n">
        <v>1500</v>
      </c>
      <c r="D39" s="38" t="n">
        <f aca="false">B39*C39</f>
        <v>1500</v>
      </c>
      <c r="E39" s="36" t="n">
        <v>7</v>
      </c>
      <c r="F39" s="38" t="n">
        <f aca="false">IFERROR(D39/E39,0)</f>
        <v>214.285714285714</v>
      </c>
      <c r="G39" s="39" t="n">
        <f aca="false">F39/12</f>
        <v>17.8571428571429</v>
      </c>
      <c r="H39" s="10" t="s">
        <v>237</v>
      </c>
    </row>
    <row r="40" customFormat="false" ht="15" hidden="false" customHeight="false" outlineLevel="0" collapsed="false">
      <c r="A40" s="27" t="s">
        <v>83</v>
      </c>
      <c r="B40" s="28"/>
      <c r="C40" s="28"/>
      <c r="D40" s="40" t="n">
        <f aca="false">SUM(D26:D39)</f>
        <v>21000</v>
      </c>
      <c r="E40" s="28"/>
      <c r="F40" s="40" t="n">
        <f aca="false">SUM(F26:F39)</f>
        <v>2968.80952380952</v>
      </c>
      <c r="G40" s="41" t="n">
        <f aca="false">SUM(G26:G39)</f>
        <v>247.400793650794</v>
      </c>
    </row>
    <row r="42" customFormat="false" ht="19.5" hidden="false" customHeight="true" outlineLevel="0" collapsed="false">
      <c r="A42" s="3" t="s">
        <v>84</v>
      </c>
    </row>
    <row r="43" customFormat="false" ht="30" hidden="false" customHeight="true" outlineLevel="0" collapsed="false">
      <c r="A43" s="17" t="s">
        <v>85</v>
      </c>
      <c r="B43" s="17" t="s">
        <v>70</v>
      </c>
      <c r="C43" s="17" t="s">
        <v>86</v>
      </c>
      <c r="D43" s="17" t="s">
        <v>87</v>
      </c>
      <c r="E43" s="17" t="s">
        <v>88</v>
      </c>
      <c r="F43" s="17" t="s">
        <v>89</v>
      </c>
      <c r="G43" s="17" t="s">
        <v>90</v>
      </c>
      <c r="H43" s="31" t="s">
        <v>91</v>
      </c>
    </row>
    <row r="44" customFormat="false" ht="22.35" hidden="false" customHeight="false" outlineLevel="0" collapsed="false">
      <c r="A44" s="18" t="s">
        <v>238</v>
      </c>
      <c r="B44" s="32" t="n">
        <v>1</v>
      </c>
      <c r="C44" s="33" t="n">
        <v>1300</v>
      </c>
      <c r="D44" s="16" t="n">
        <v>0.3</v>
      </c>
      <c r="E44" s="34" t="n">
        <f aca="false">C44*D44</f>
        <v>390</v>
      </c>
      <c r="F44" s="34" t="n">
        <f aca="false">(C44+E44)*B44</f>
        <v>1690</v>
      </c>
      <c r="G44" s="34" t="n">
        <f aca="false">F44*12</f>
        <v>20280</v>
      </c>
      <c r="H44" s="42" t="s">
        <v>239</v>
      </c>
    </row>
    <row r="45" customFormat="false" ht="15" hidden="false" customHeight="false" outlineLevel="0" collapsed="false">
      <c r="A45" s="23" t="s">
        <v>240</v>
      </c>
      <c r="B45" s="36" t="n">
        <v>2</v>
      </c>
      <c r="C45" s="37" t="n">
        <v>1130</v>
      </c>
      <c r="D45" s="16" t="n">
        <v>0.3</v>
      </c>
      <c r="E45" s="38" t="n">
        <f aca="false">C45*D45</f>
        <v>339</v>
      </c>
      <c r="F45" s="38" t="n">
        <f aca="false">(C45+E45)*B45</f>
        <v>2938</v>
      </c>
      <c r="G45" s="38" t="n">
        <f aca="false">F45*12</f>
        <v>35256</v>
      </c>
      <c r="H45" s="42" t="s">
        <v>241</v>
      </c>
    </row>
    <row r="46" customFormat="false" ht="15" hidden="false" customHeight="false" outlineLevel="0" collapsed="false">
      <c r="A46" s="18" t="s">
        <v>242</v>
      </c>
      <c r="B46" s="32" t="n">
        <v>1</v>
      </c>
      <c r="C46" s="33" t="n">
        <v>1300</v>
      </c>
      <c r="D46" s="16" t="n">
        <v>0.3</v>
      </c>
      <c r="E46" s="34" t="n">
        <f aca="false">C46*D46</f>
        <v>390</v>
      </c>
      <c r="F46" s="34" t="n">
        <f aca="false">(C46+E46)*B46</f>
        <v>1690</v>
      </c>
      <c r="G46" s="34" t="n">
        <f aca="false">F46*12</f>
        <v>20280</v>
      </c>
      <c r="H46" s="42" t="s">
        <v>243</v>
      </c>
    </row>
    <row r="47" customFormat="false" ht="15" hidden="false" customHeight="false" outlineLevel="0" collapsed="false">
      <c r="A47" s="23" t="s">
        <v>244</v>
      </c>
      <c r="B47" s="36" t="n">
        <v>1</v>
      </c>
      <c r="C47" s="37" t="n">
        <v>1500</v>
      </c>
      <c r="D47" s="16" t="n">
        <v>0.3</v>
      </c>
      <c r="E47" s="38" t="n">
        <f aca="false">C47*D47</f>
        <v>450</v>
      </c>
      <c r="F47" s="38" t="n">
        <f aca="false">(C47+E47)*B47</f>
        <v>1950</v>
      </c>
      <c r="G47" s="38" t="n">
        <f aca="false">F47*12</f>
        <v>23400</v>
      </c>
      <c r="H47" s="42" t="s">
        <v>245</v>
      </c>
    </row>
    <row r="48" customFormat="false" ht="15" hidden="false" customHeight="false" outlineLevel="0" collapsed="false">
      <c r="A48" s="27" t="s">
        <v>94</v>
      </c>
      <c r="B48" s="28"/>
      <c r="C48" s="28"/>
      <c r="D48" s="28"/>
      <c r="E48" s="28"/>
      <c r="F48" s="40" t="n">
        <f aca="false">SUM(F44:F47)</f>
        <v>8268</v>
      </c>
      <c r="G48" s="40" t="n">
        <f aca="false">SUM(G44:G47)</f>
        <v>99216</v>
      </c>
    </row>
    <row r="49" customFormat="false" ht="15" hidden="false" customHeight="false" outlineLevel="0" collapsed="false">
      <c r="A49" s="43" t="s">
        <v>95</v>
      </c>
    </row>
    <row r="51" customFormat="false" ht="19.5" hidden="false" customHeight="true" outlineLevel="0" collapsed="false">
      <c r="A51" s="3" t="s">
        <v>96</v>
      </c>
    </row>
    <row r="52" customFormat="false" ht="15" hidden="false" customHeight="false" outlineLevel="0" collapsed="false">
      <c r="A52" s="17" t="s">
        <v>97</v>
      </c>
      <c r="B52" s="17" t="s">
        <v>98</v>
      </c>
      <c r="C52" s="17" t="s">
        <v>99</v>
      </c>
      <c r="D52" s="31" t="s">
        <v>76</v>
      </c>
    </row>
    <row r="53" customFormat="false" ht="15" hidden="false" customHeight="false" outlineLevel="0" collapsed="false">
      <c r="A53" s="18" t="s">
        <v>246</v>
      </c>
      <c r="B53" s="44" t="s">
        <v>247</v>
      </c>
      <c r="C53" s="21" t="n">
        <v>3500</v>
      </c>
      <c r="D53" s="10" t="s">
        <v>52</v>
      </c>
    </row>
    <row r="54" customFormat="false" ht="15" hidden="false" customHeight="false" outlineLevel="0" collapsed="false">
      <c r="A54" s="23" t="s">
        <v>248</v>
      </c>
      <c r="B54" s="45" t="s">
        <v>104</v>
      </c>
      <c r="C54" s="26" t="n">
        <v>600</v>
      </c>
      <c r="D54" s="10" t="s">
        <v>249</v>
      </c>
    </row>
    <row r="55" customFormat="false" ht="15" hidden="false" customHeight="false" outlineLevel="0" collapsed="false">
      <c r="A55" s="18" t="s">
        <v>250</v>
      </c>
      <c r="B55" s="44" t="s">
        <v>104</v>
      </c>
      <c r="C55" s="21" t="n">
        <v>150</v>
      </c>
      <c r="D55" s="10" t="s">
        <v>82</v>
      </c>
    </row>
    <row r="56" customFormat="false" ht="15" hidden="false" customHeight="false" outlineLevel="0" collapsed="false">
      <c r="A56" s="23" t="s">
        <v>251</v>
      </c>
      <c r="B56" s="45" t="s">
        <v>104</v>
      </c>
      <c r="C56" s="26" t="n">
        <v>120</v>
      </c>
      <c r="D56" s="10" t="s">
        <v>82</v>
      </c>
    </row>
    <row r="57" customFormat="false" ht="15" hidden="false" customHeight="false" outlineLevel="0" collapsed="false">
      <c r="A57" s="18" t="s">
        <v>252</v>
      </c>
      <c r="B57" s="44" t="s">
        <v>104</v>
      </c>
      <c r="C57" s="21" t="n">
        <v>200</v>
      </c>
      <c r="D57" s="10" t="s">
        <v>232</v>
      </c>
    </row>
    <row r="58" customFormat="false" ht="15" hidden="false" customHeight="false" outlineLevel="0" collapsed="false">
      <c r="A58" s="23" t="s">
        <v>253</v>
      </c>
      <c r="B58" s="45" t="s">
        <v>104</v>
      </c>
      <c r="C58" s="26" t="n">
        <v>200</v>
      </c>
      <c r="D58" s="10" t="s">
        <v>254</v>
      </c>
    </row>
    <row r="59" customFormat="false" ht="15" hidden="false" customHeight="false" outlineLevel="0" collapsed="false">
      <c r="A59" s="18" t="s">
        <v>255</v>
      </c>
      <c r="B59" s="44" t="s">
        <v>104</v>
      </c>
      <c r="C59" s="21" t="n">
        <v>150</v>
      </c>
      <c r="D59" s="10" t="s">
        <v>256</v>
      </c>
    </row>
    <row r="60" customFormat="false" ht="15" hidden="false" customHeight="false" outlineLevel="0" collapsed="false">
      <c r="A60" s="23" t="s">
        <v>113</v>
      </c>
      <c r="B60" s="45"/>
      <c r="C60" s="46" t="n">
        <f aca="false">G40</f>
        <v>247.400793650794</v>
      </c>
      <c r="D60" s="10" t="s">
        <v>114</v>
      </c>
    </row>
    <row r="61" customFormat="false" ht="15" hidden="false" customHeight="false" outlineLevel="0" collapsed="false">
      <c r="A61" s="27" t="s">
        <v>115</v>
      </c>
      <c r="B61" s="28"/>
      <c r="C61" s="41" t="n">
        <f aca="false">SUM(C53:C60)</f>
        <v>5167.40079365079</v>
      </c>
    </row>
    <row r="63" customFormat="false" ht="19.5" hidden="false" customHeight="true" outlineLevel="0" collapsed="false">
      <c r="A63" s="3" t="s">
        <v>116</v>
      </c>
    </row>
    <row r="64" customFormat="false" ht="15" hidden="false" customHeight="false" outlineLevel="0" collapsed="false">
      <c r="A64" s="17" t="s">
        <v>97</v>
      </c>
      <c r="B64" s="17" t="s">
        <v>99</v>
      </c>
      <c r="C64" s="31" t="s">
        <v>76</v>
      </c>
    </row>
    <row r="65" customFormat="false" ht="15" hidden="false" customHeight="false" outlineLevel="0" collapsed="false">
      <c r="A65" s="18" t="s">
        <v>117</v>
      </c>
      <c r="B65" s="47" t="n">
        <v>0</v>
      </c>
      <c r="C65" s="10" t="s">
        <v>118</v>
      </c>
    </row>
    <row r="66" customFormat="false" ht="15" hidden="false" customHeight="false" outlineLevel="0" collapsed="false">
      <c r="A66" s="23" t="s">
        <v>257</v>
      </c>
      <c r="B66" s="47" t="n">
        <v>0</v>
      </c>
      <c r="C66" s="10" t="s">
        <v>118</v>
      </c>
    </row>
    <row r="67" customFormat="false" ht="15" hidden="false" customHeight="false" outlineLevel="0" collapsed="false">
      <c r="A67" s="18" t="s">
        <v>258</v>
      </c>
      <c r="B67" s="47" t="n">
        <v>0</v>
      </c>
      <c r="C67" s="10" t="s">
        <v>118</v>
      </c>
    </row>
    <row r="68" customFormat="false" ht="15" hidden="false" customHeight="false" outlineLevel="0" collapsed="false">
      <c r="A68" s="23" t="s">
        <v>259</v>
      </c>
      <c r="B68" s="47" t="n">
        <v>0</v>
      </c>
      <c r="C68" s="10" t="s">
        <v>118</v>
      </c>
    </row>
    <row r="69" customFormat="false" ht="15" hidden="false" customHeight="false" outlineLevel="0" collapsed="false">
      <c r="A69" s="18" t="s">
        <v>260</v>
      </c>
      <c r="B69" s="47" t="n">
        <v>0</v>
      </c>
      <c r="C69" s="10" t="s">
        <v>118</v>
      </c>
    </row>
    <row r="70" customFormat="false" ht="15" hidden="false" customHeight="false" outlineLevel="0" collapsed="false">
      <c r="A70" s="27" t="s">
        <v>122</v>
      </c>
      <c r="B70" s="41" t="n">
        <f aca="false">SUM(B65:B69)</f>
        <v>0</v>
      </c>
    </row>
    <row r="72" customFormat="false" ht="19.5" hidden="false" customHeight="true" outlineLevel="0" collapsed="false">
      <c r="A72" s="3" t="s">
        <v>123</v>
      </c>
    </row>
    <row r="73" customFormat="false" ht="15" hidden="false" customHeight="false" outlineLevel="0" collapsed="false">
      <c r="A73" s="17" t="s">
        <v>97</v>
      </c>
      <c r="B73" s="17" t="s">
        <v>99</v>
      </c>
      <c r="C73" s="31" t="s">
        <v>76</v>
      </c>
    </row>
    <row r="74" customFormat="false" ht="15" hidden="false" customHeight="false" outlineLevel="0" collapsed="false">
      <c r="A74" s="18" t="s">
        <v>124</v>
      </c>
      <c r="B74" s="21" t="n">
        <v>300</v>
      </c>
      <c r="C74" s="10" t="s">
        <v>125</v>
      </c>
    </row>
    <row r="75" customFormat="false" ht="15" hidden="false" customHeight="false" outlineLevel="0" collapsed="false">
      <c r="A75" s="23" t="s">
        <v>261</v>
      </c>
      <c r="B75" s="47" t="n">
        <v>0</v>
      </c>
      <c r="C75" s="10" t="s">
        <v>118</v>
      </c>
    </row>
    <row r="76" customFormat="false" ht="15" hidden="false" customHeight="false" outlineLevel="0" collapsed="false">
      <c r="A76" s="18" t="s">
        <v>262</v>
      </c>
      <c r="B76" s="47" t="n">
        <v>0</v>
      </c>
      <c r="C76" s="10" t="s">
        <v>118</v>
      </c>
    </row>
    <row r="77" customFormat="false" ht="15" hidden="false" customHeight="false" outlineLevel="0" collapsed="false">
      <c r="A77" s="23" t="s">
        <v>263</v>
      </c>
      <c r="B77" s="47" t="n">
        <v>0</v>
      </c>
      <c r="C77" s="10" t="s">
        <v>118</v>
      </c>
    </row>
    <row r="78" customFormat="false" ht="15" hidden="false" customHeight="false" outlineLevel="0" collapsed="false">
      <c r="A78" s="18" t="s">
        <v>264</v>
      </c>
      <c r="B78" s="47" t="n">
        <v>0</v>
      </c>
      <c r="C78" s="10" t="s">
        <v>118</v>
      </c>
    </row>
    <row r="79" customFormat="false" ht="15" hidden="false" customHeight="false" outlineLevel="0" collapsed="false">
      <c r="A79" s="27" t="s">
        <v>127</v>
      </c>
      <c r="B79" s="41" t="n">
        <f aca="false">SUM(B74:B78)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265</v>
      </c>
    </row>
    <row r="2" customFormat="false" ht="15.75" hidden="false" customHeight="true" outlineLevel="0" collapsed="false">
      <c r="A2" s="10" t="s">
        <v>266</v>
      </c>
    </row>
    <row r="4" customFormat="false" ht="19.5" hidden="false" customHeight="true" outlineLevel="0" collapsed="false">
      <c r="A4" s="3" t="s">
        <v>30</v>
      </c>
    </row>
    <row r="5" customFormat="false" ht="15" hidden="false" customHeight="false" outlineLevel="0" collapsed="false">
      <c r="A5" s="11" t="s">
        <v>31</v>
      </c>
      <c r="B5" s="12" t="n">
        <v>40</v>
      </c>
    </row>
    <row r="6" customFormat="false" ht="15" hidden="false" customHeight="false" outlineLevel="0" collapsed="false">
      <c r="A6" s="11" t="s">
        <v>32</v>
      </c>
      <c r="B6" s="13" t="s">
        <v>33</v>
      </c>
    </row>
    <row r="7" customFormat="false" ht="15" hidden="false" customHeight="false" outlineLevel="0" collapsed="false">
      <c r="A7" s="11" t="s">
        <v>34</v>
      </c>
      <c r="B7" s="14" t="n">
        <f aca="false">D45</f>
        <v>2050</v>
      </c>
    </row>
    <row r="8" customFormat="false" ht="15" hidden="false" customHeight="false" outlineLevel="0" collapsed="false">
      <c r="A8" s="11" t="s">
        <v>35</v>
      </c>
      <c r="B8" s="15" t="n">
        <f aca="false">G45</f>
        <v>31.6666666666667</v>
      </c>
    </row>
    <row r="9" customFormat="false" ht="15" hidden="false" customHeight="false" outlineLevel="0" collapsed="false">
      <c r="A9" s="11" t="s">
        <v>36</v>
      </c>
      <c r="B9" s="14" t="n">
        <f aca="false">F50</f>
        <v>1690</v>
      </c>
    </row>
    <row r="10" customFormat="false" ht="15" hidden="false" customHeight="false" outlineLevel="0" collapsed="false">
      <c r="A10" s="11" t="s">
        <v>37</v>
      </c>
      <c r="B10" s="15" t="n">
        <f aca="false">C60</f>
        <v>1036.66666666667</v>
      </c>
    </row>
    <row r="11" customFormat="false" ht="15" hidden="false" customHeight="false" outlineLevel="0" collapsed="false">
      <c r="A11" s="11" t="s">
        <v>38</v>
      </c>
      <c r="B11" s="15" t="n">
        <f aca="false">B67</f>
        <v>0</v>
      </c>
    </row>
    <row r="12" customFormat="false" ht="15" hidden="false" customHeight="false" outlineLevel="0" collapsed="false">
      <c r="A12" s="11" t="s">
        <v>39</v>
      </c>
      <c r="B12" s="15" t="n">
        <f aca="false">B74</f>
        <v>125</v>
      </c>
    </row>
    <row r="14" customFormat="false" ht="15" hidden="false" customHeight="false" outlineLevel="0" collapsed="false">
      <c r="A14" s="7" t="s">
        <v>40</v>
      </c>
      <c r="B14" s="16" t="n">
        <v>0.18</v>
      </c>
    </row>
    <row r="15" customFormat="false" ht="19.5" hidden="false" customHeight="true" outlineLevel="0" collapsed="false">
      <c r="A15" s="3" t="s">
        <v>41</v>
      </c>
    </row>
    <row r="16" customFormat="false" ht="43.5" hidden="false" customHeight="true" outlineLevel="0" collapsed="false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customFormat="false" ht="15" hidden="false" customHeight="false" outlineLevel="0" collapsed="false">
      <c r="A17" s="18" t="s">
        <v>267</v>
      </c>
      <c r="B17" s="19" t="s">
        <v>141</v>
      </c>
      <c r="C17" s="20" t="n">
        <v>25</v>
      </c>
      <c r="D17" s="19" t="s">
        <v>268</v>
      </c>
      <c r="E17" s="21" t="n">
        <v>2500</v>
      </c>
      <c r="F17" s="22"/>
      <c r="G17" s="22"/>
      <c r="H17" s="10" t="s">
        <v>52</v>
      </c>
    </row>
    <row r="18" customFormat="false" ht="15" hidden="false" customHeight="false" outlineLevel="0" collapsed="false">
      <c r="A18" s="23" t="s">
        <v>269</v>
      </c>
      <c r="B18" s="24" t="s">
        <v>270</v>
      </c>
      <c r="C18" s="25" t="n">
        <v>20</v>
      </c>
      <c r="D18" s="24" t="s">
        <v>268</v>
      </c>
      <c r="E18" s="26" t="n">
        <v>250</v>
      </c>
      <c r="F18" s="22"/>
      <c r="G18" s="22"/>
      <c r="H18" s="10" t="s">
        <v>271</v>
      </c>
    </row>
    <row r="19" customFormat="false" ht="15" hidden="false" customHeight="false" outlineLevel="0" collapsed="false">
      <c r="A19" s="18" t="s">
        <v>272</v>
      </c>
      <c r="B19" s="19" t="s">
        <v>270</v>
      </c>
      <c r="C19" s="20" t="n">
        <v>50</v>
      </c>
      <c r="D19" s="19" t="s">
        <v>268</v>
      </c>
      <c r="E19" s="21" t="n">
        <v>200</v>
      </c>
      <c r="F19" s="22"/>
      <c r="G19" s="22"/>
      <c r="H19" s="10" t="s">
        <v>52</v>
      </c>
    </row>
    <row r="20" customFormat="false" ht="15" hidden="false" customHeight="false" outlineLevel="0" collapsed="false">
      <c r="A20" s="23" t="s">
        <v>273</v>
      </c>
      <c r="B20" s="24" t="s">
        <v>141</v>
      </c>
      <c r="C20" s="25" t="n">
        <v>1</v>
      </c>
      <c r="D20" s="24" t="s">
        <v>268</v>
      </c>
      <c r="E20" s="26" t="n">
        <v>40</v>
      </c>
      <c r="F20" s="22"/>
      <c r="G20" s="22"/>
      <c r="H20" s="10" t="s">
        <v>52</v>
      </c>
    </row>
    <row r="21" customFormat="false" ht="15" hidden="false" customHeight="false" outlineLevel="0" collapsed="false">
      <c r="A21" s="18" t="s">
        <v>274</v>
      </c>
      <c r="B21" s="19" t="s">
        <v>141</v>
      </c>
      <c r="C21" s="20" t="n">
        <v>5</v>
      </c>
      <c r="D21" s="19" t="s">
        <v>268</v>
      </c>
      <c r="E21" s="21" t="n">
        <v>90</v>
      </c>
      <c r="F21" s="22"/>
      <c r="G21" s="22"/>
      <c r="H21" s="10" t="s">
        <v>52</v>
      </c>
    </row>
    <row r="22" customFormat="false" ht="15" hidden="false" customHeight="false" outlineLevel="0" collapsed="false">
      <c r="A22" s="23" t="s">
        <v>275</v>
      </c>
      <c r="B22" s="24" t="s">
        <v>58</v>
      </c>
      <c r="C22" s="25" t="n">
        <v>1000</v>
      </c>
      <c r="D22" s="24" t="s">
        <v>59</v>
      </c>
      <c r="E22" s="26" t="n">
        <v>600</v>
      </c>
      <c r="F22" s="22"/>
      <c r="G22" s="22"/>
      <c r="H22" s="10" t="s">
        <v>52</v>
      </c>
    </row>
    <row r="24" customFormat="false" ht="19.5" hidden="false" customHeight="true" outlineLevel="0" collapsed="false">
      <c r="A24" s="3" t="s">
        <v>60</v>
      </c>
    </row>
    <row r="25" customFormat="false" ht="31.5" hidden="false" customHeight="true" outlineLevel="0" collapsed="false">
      <c r="A25" s="17" t="s">
        <v>42</v>
      </c>
      <c r="B25" s="17" t="s">
        <v>61</v>
      </c>
      <c r="C25" s="17" t="s">
        <v>45</v>
      </c>
      <c r="D25" s="17" t="s">
        <v>62</v>
      </c>
    </row>
    <row r="26" customFormat="false" ht="15" hidden="false" customHeight="false" outlineLevel="0" collapsed="false">
      <c r="A26" s="18" t="s">
        <v>267</v>
      </c>
      <c r="B26" s="20" t="n">
        <v>0.05</v>
      </c>
      <c r="C26" s="19" t="s">
        <v>268</v>
      </c>
      <c r="D26" s="22"/>
    </row>
    <row r="27" customFormat="false" ht="15" hidden="false" customHeight="false" outlineLevel="0" collapsed="false">
      <c r="A27" s="23" t="s">
        <v>269</v>
      </c>
      <c r="B27" s="25" t="n">
        <v>0.03</v>
      </c>
      <c r="C27" s="24" t="s">
        <v>268</v>
      </c>
      <c r="D27" s="22"/>
    </row>
    <row r="28" customFormat="false" ht="15" hidden="false" customHeight="false" outlineLevel="0" collapsed="false">
      <c r="A28" s="18" t="s">
        <v>272</v>
      </c>
      <c r="B28" s="20" t="n">
        <v>0.06</v>
      </c>
      <c r="C28" s="19" t="s">
        <v>268</v>
      </c>
      <c r="D28" s="22"/>
    </row>
    <row r="29" customFormat="false" ht="15" hidden="false" customHeight="false" outlineLevel="0" collapsed="false">
      <c r="A29" s="23" t="s">
        <v>273</v>
      </c>
      <c r="B29" s="25" t="n">
        <v>0.003</v>
      </c>
      <c r="C29" s="24" t="s">
        <v>268</v>
      </c>
      <c r="D29" s="22"/>
    </row>
    <row r="30" customFormat="false" ht="15" hidden="false" customHeight="false" outlineLevel="0" collapsed="false">
      <c r="A30" s="18" t="s">
        <v>274</v>
      </c>
      <c r="B30" s="20" t="n">
        <v>0.01</v>
      </c>
      <c r="C30" s="19" t="s">
        <v>268</v>
      </c>
      <c r="D30" s="22"/>
    </row>
    <row r="31" customFormat="false" ht="15" hidden="false" customHeight="false" outlineLevel="0" collapsed="false">
      <c r="A31" s="23" t="s">
        <v>275</v>
      </c>
      <c r="B31" s="25" t="n">
        <v>1</v>
      </c>
      <c r="C31" s="24" t="s">
        <v>59</v>
      </c>
      <c r="D31" s="22"/>
    </row>
    <row r="32" customFormat="false" ht="15" hidden="false" customHeight="false" outlineLevel="0" collapsed="false">
      <c r="A32" s="27" t="s">
        <v>63</v>
      </c>
      <c r="B32" s="28"/>
      <c r="C32" s="28"/>
      <c r="D32" s="29"/>
    </row>
    <row r="34" customFormat="false" ht="15" hidden="false" customHeight="false" outlineLevel="0" collapsed="false">
      <c r="A34" s="30" t="s">
        <v>64</v>
      </c>
    </row>
    <row r="35" customFormat="false" ht="15" hidden="false" customHeight="false" outlineLevel="0" collapsed="false">
      <c r="A35" s="10" t="s">
        <v>65</v>
      </c>
    </row>
    <row r="36" customFormat="false" ht="15" hidden="false" customHeight="false" outlineLevel="0" collapsed="false">
      <c r="A36" s="10" t="s">
        <v>66</v>
      </c>
    </row>
    <row r="37" customFormat="false" ht="15" hidden="false" customHeight="false" outlineLevel="0" collapsed="false">
      <c r="A37" s="10" t="s">
        <v>67</v>
      </c>
    </row>
    <row r="39" customFormat="false" ht="19.5" hidden="false" customHeight="true" outlineLevel="0" collapsed="false">
      <c r="A39" s="3" t="s">
        <v>68</v>
      </c>
    </row>
    <row r="40" customFormat="false" ht="30" hidden="false" customHeight="true" outlineLevel="0" collapsed="false">
      <c r="A40" s="17" t="s">
        <v>69</v>
      </c>
      <c r="B40" s="17" t="s">
        <v>70</v>
      </c>
      <c r="C40" s="17" t="s">
        <v>71</v>
      </c>
      <c r="D40" s="17" t="s">
        <v>72</v>
      </c>
      <c r="E40" s="17" t="s">
        <v>73</v>
      </c>
      <c r="F40" s="17" t="s">
        <v>74</v>
      </c>
      <c r="G40" s="17" t="s">
        <v>75</v>
      </c>
      <c r="H40" s="31" t="s">
        <v>76</v>
      </c>
    </row>
    <row r="41" customFormat="false" ht="15" hidden="false" customHeight="false" outlineLevel="0" collapsed="false">
      <c r="A41" s="18" t="s">
        <v>276</v>
      </c>
      <c r="B41" s="32" t="n">
        <v>1</v>
      </c>
      <c r="C41" s="33" t="n">
        <v>1600</v>
      </c>
      <c r="D41" s="34" t="n">
        <f aca="false">B41*C41</f>
        <v>1600</v>
      </c>
      <c r="E41" s="32" t="n">
        <v>5</v>
      </c>
      <c r="F41" s="34" t="n">
        <f aca="false">IFERROR(D41/E41,0)</f>
        <v>320</v>
      </c>
      <c r="G41" s="35" t="n">
        <f aca="false">F41/12</f>
        <v>26.6666666666667</v>
      </c>
      <c r="H41" s="10" t="s">
        <v>277</v>
      </c>
    </row>
    <row r="42" customFormat="false" ht="15" hidden="false" customHeight="false" outlineLevel="0" collapsed="false">
      <c r="A42" s="23" t="s">
        <v>278</v>
      </c>
      <c r="B42" s="36" t="n">
        <v>1</v>
      </c>
      <c r="C42" s="37" t="n">
        <v>100</v>
      </c>
      <c r="D42" s="38" t="n">
        <f aca="false">B42*C42</f>
        <v>100</v>
      </c>
      <c r="E42" s="36" t="n">
        <v>5</v>
      </c>
      <c r="F42" s="38" t="n">
        <f aca="false">IFERROR(D42/E42,0)</f>
        <v>20</v>
      </c>
      <c r="G42" s="39" t="n">
        <f aca="false">F42/12</f>
        <v>1.66666666666667</v>
      </c>
      <c r="H42" s="10" t="s">
        <v>82</v>
      </c>
    </row>
    <row r="43" customFormat="false" ht="15" hidden="false" customHeight="false" outlineLevel="0" collapsed="false">
      <c r="A43" s="18" t="s">
        <v>279</v>
      </c>
      <c r="B43" s="32" t="n">
        <v>1</v>
      </c>
      <c r="C43" s="33" t="n">
        <v>300</v>
      </c>
      <c r="D43" s="34" t="n">
        <f aca="false">B43*C43</f>
        <v>300</v>
      </c>
      <c r="E43" s="32" t="n">
        <v>10</v>
      </c>
      <c r="F43" s="34" t="n">
        <f aca="false">IFERROR(D43/E43,0)</f>
        <v>30</v>
      </c>
      <c r="G43" s="35" t="n">
        <f aca="false">F43/12</f>
        <v>2.5</v>
      </c>
      <c r="H43" s="10" t="s">
        <v>82</v>
      </c>
    </row>
    <row r="44" customFormat="false" ht="15" hidden="false" customHeight="false" outlineLevel="0" collapsed="false">
      <c r="A44" s="23" t="s">
        <v>280</v>
      </c>
      <c r="B44" s="36" t="n">
        <v>1</v>
      </c>
      <c r="C44" s="37" t="n">
        <v>50</v>
      </c>
      <c r="D44" s="38" t="n">
        <f aca="false">B44*C44</f>
        <v>50</v>
      </c>
      <c r="E44" s="36" t="n">
        <v>5</v>
      </c>
      <c r="F44" s="38" t="n">
        <f aca="false">IFERROR(D44/E44,0)</f>
        <v>10</v>
      </c>
      <c r="G44" s="39" t="n">
        <f aca="false">F44/12</f>
        <v>0.833333333333333</v>
      </c>
      <c r="H44" s="10" t="s">
        <v>82</v>
      </c>
    </row>
    <row r="45" customFormat="false" ht="15" hidden="false" customHeight="false" outlineLevel="0" collapsed="false">
      <c r="A45" s="27" t="s">
        <v>83</v>
      </c>
      <c r="B45" s="28"/>
      <c r="C45" s="28"/>
      <c r="D45" s="40" t="n">
        <f aca="false">SUM(D41:D44)</f>
        <v>2050</v>
      </c>
      <c r="E45" s="28"/>
      <c r="F45" s="40" t="n">
        <f aca="false">SUM(F41:F44)</f>
        <v>380</v>
      </c>
      <c r="G45" s="41" t="n">
        <f aca="false">SUM(G41:G44)</f>
        <v>31.6666666666667</v>
      </c>
    </row>
    <row r="47" customFormat="false" ht="19.5" hidden="false" customHeight="true" outlineLevel="0" collapsed="false">
      <c r="A47" s="3" t="s">
        <v>84</v>
      </c>
    </row>
    <row r="48" customFormat="false" ht="30" hidden="false" customHeight="true" outlineLevel="0" collapsed="false">
      <c r="A48" s="17" t="s">
        <v>85</v>
      </c>
      <c r="B48" s="17" t="s">
        <v>70</v>
      </c>
      <c r="C48" s="17" t="s">
        <v>86</v>
      </c>
      <c r="D48" s="17" t="s">
        <v>87</v>
      </c>
      <c r="E48" s="17" t="s">
        <v>88</v>
      </c>
      <c r="F48" s="17" t="s">
        <v>89</v>
      </c>
      <c r="G48" s="17" t="s">
        <v>90</v>
      </c>
      <c r="H48" s="31" t="s">
        <v>91</v>
      </c>
    </row>
    <row r="49" customFormat="false" ht="22.35" hidden="false" customHeight="false" outlineLevel="0" collapsed="false">
      <c r="A49" s="18" t="s">
        <v>281</v>
      </c>
      <c r="B49" s="32" t="n">
        <v>1</v>
      </c>
      <c r="C49" s="33" t="n">
        <v>1300</v>
      </c>
      <c r="D49" s="16" t="n">
        <v>0.3</v>
      </c>
      <c r="E49" s="34" t="n">
        <f aca="false">C49*D49</f>
        <v>390</v>
      </c>
      <c r="F49" s="34" t="n">
        <f aca="false">(C49+E49)*B49</f>
        <v>1690</v>
      </c>
      <c r="G49" s="34" t="n">
        <f aca="false">F49*12</f>
        <v>20280</v>
      </c>
      <c r="H49" s="42" t="s">
        <v>282</v>
      </c>
    </row>
    <row r="50" customFormat="false" ht="15" hidden="false" customHeight="false" outlineLevel="0" collapsed="false">
      <c r="A50" s="27" t="s">
        <v>94</v>
      </c>
      <c r="B50" s="28"/>
      <c r="C50" s="28"/>
      <c r="D50" s="28"/>
      <c r="E50" s="28"/>
      <c r="F50" s="40" t="n">
        <f aca="false">SUM(F49:F49)</f>
        <v>1690</v>
      </c>
      <c r="G50" s="40" t="n">
        <f aca="false">SUM(G49:G49)</f>
        <v>20280</v>
      </c>
    </row>
    <row r="51" customFormat="false" ht="15" hidden="false" customHeight="false" outlineLevel="0" collapsed="false">
      <c r="A51" s="43" t="s">
        <v>95</v>
      </c>
    </row>
    <row r="53" customFormat="false" ht="19.5" hidden="false" customHeight="true" outlineLevel="0" collapsed="false">
      <c r="A53" s="3" t="s">
        <v>96</v>
      </c>
    </row>
    <row r="54" customFormat="false" ht="15" hidden="false" customHeight="false" outlineLevel="0" collapsed="false">
      <c r="A54" s="17" t="s">
        <v>97</v>
      </c>
      <c r="B54" s="17" t="s">
        <v>98</v>
      </c>
      <c r="C54" s="17" t="s">
        <v>99</v>
      </c>
      <c r="D54" s="31" t="s">
        <v>76</v>
      </c>
    </row>
    <row r="55" customFormat="false" ht="15" hidden="false" customHeight="false" outlineLevel="0" collapsed="false">
      <c r="A55" s="18" t="s">
        <v>283</v>
      </c>
      <c r="B55" s="44" t="s">
        <v>284</v>
      </c>
      <c r="C55" s="21" t="n">
        <v>900</v>
      </c>
      <c r="D55" s="10" t="s">
        <v>82</v>
      </c>
    </row>
    <row r="56" customFormat="false" ht="15" hidden="false" customHeight="false" outlineLevel="0" collapsed="false">
      <c r="A56" s="23" t="s">
        <v>285</v>
      </c>
      <c r="B56" s="45" t="s">
        <v>104</v>
      </c>
      <c r="C56" s="26" t="n">
        <v>70</v>
      </c>
      <c r="D56" s="10" t="s">
        <v>286</v>
      </c>
    </row>
    <row r="57" customFormat="false" ht="15" hidden="false" customHeight="false" outlineLevel="0" collapsed="false">
      <c r="A57" s="18" t="s">
        <v>287</v>
      </c>
      <c r="B57" s="44" t="s">
        <v>104</v>
      </c>
      <c r="C57" s="21" t="n">
        <v>5</v>
      </c>
      <c r="D57" s="10" t="s">
        <v>82</v>
      </c>
    </row>
    <row r="58" customFormat="false" ht="15" hidden="false" customHeight="false" outlineLevel="0" collapsed="false">
      <c r="A58" s="23" t="s">
        <v>288</v>
      </c>
      <c r="B58" s="45" t="s">
        <v>104</v>
      </c>
      <c r="C58" s="26" t="n">
        <v>30</v>
      </c>
      <c r="D58" s="10" t="s">
        <v>82</v>
      </c>
    </row>
    <row r="59" customFormat="false" ht="15" hidden="false" customHeight="false" outlineLevel="0" collapsed="false">
      <c r="A59" s="18" t="s">
        <v>113</v>
      </c>
      <c r="B59" s="44"/>
      <c r="C59" s="49" t="n">
        <f aca="false">G45</f>
        <v>31.6666666666667</v>
      </c>
      <c r="D59" s="10" t="s">
        <v>114</v>
      </c>
    </row>
    <row r="60" customFormat="false" ht="15" hidden="false" customHeight="false" outlineLevel="0" collapsed="false">
      <c r="A60" s="27" t="s">
        <v>115</v>
      </c>
      <c r="B60" s="28"/>
      <c r="C60" s="41" t="n">
        <f aca="false">SUM(C55:C59)</f>
        <v>1036.66666666667</v>
      </c>
    </row>
    <row r="62" customFormat="false" ht="19.5" hidden="false" customHeight="true" outlineLevel="0" collapsed="false">
      <c r="A62" s="3" t="s">
        <v>116</v>
      </c>
    </row>
    <row r="63" customFormat="false" ht="15" hidden="false" customHeight="false" outlineLevel="0" collapsed="false">
      <c r="A63" s="17" t="s">
        <v>97</v>
      </c>
      <c r="B63" s="17" t="s">
        <v>99</v>
      </c>
      <c r="C63" s="31" t="s">
        <v>76</v>
      </c>
    </row>
    <row r="64" customFormat="false" ht="15" hidden="false" customHeight="false" outlineLevel="0" collapsed="false">
      <c r="A64" s="18" t="s">
        <v>117</v>
      </c>
      <c r="B64" s="47" t="n">
        <v>0</v>
      </c>
      <c r="C64" s="10" t="s">
        <v>118</v>
      </c>
    </row>
    <row r="65" customFormat="false" ht="15" hidden="false" customHeight="false" outlineLevel="0" collapsed="false">
      <c r="A65" s="23" t="s">
        <v>289</v>
      </c>
      <c r="B65" s="47" t="n">
        <v>0</v>
      </c>
      <c r="C65" s="10" t="s">
        <v>118</v>
      </c>
    </row>
    <row r="66" customFormat="false" ht="15" hidden="false" customHeight="false" outlineLevel="0" collapsed="false">
      <c r="A66" s="18" t="s">
        <v>121</v>
      </c>
      <c r="B66" s="47" t="n">
        <v>0</v>
      </c>
      <c r="C66" s="10" t="s">
        <v>118</v>
      </c>
    </row>
    <row r="67" customFormat="false" ht="15" hidden="false" customHeight="false" outlineLevel="0" collapsed="false">
      <c r="A67" s="27" t="s">
        <v>122</v>
      </c>
      <c r="B67" s="41" t="n">
        <f aca="false">SUM(B64:B66)</f>
        <v>0</v>
      </c>
    </row>
    <row r="69" customFormat="false" ht="19.5" hidden="false" customHeight="true" outlineLevel="0" collapsed="false">
      <c r="A69" s="3" t="s">
        <v>123</v>
      </c>
    </row>
    <row r="70" customFormat="false" ht="15" hidden="false" customHeight="false" outlineLevel="0" collapsed="false">
      <c r="A70" s="17" t="s">
        <v>97</v>
      </c>
      <c r="B70" s="17" t="s">
        <v>99</v>
      </c>
      <c r="C70" s="31" t="s">
        <v>76</v>
      </c>
    </row>
    <row r="71" customFormat="false" ht="15" hidden="false" customHeight="false" outlineLevel="0" collapsed="false">
      <c r="A71" s="18" t="s">
        <v>290</v>
      </c>
      <c r="B71" s="21" t="n">
        <v>100</v>
      </c>
      <c r="C71" s="10" t="s">
        <v>125</v>
      </c>
    </row>
    <row r="72" customFormat="false" ht="15" hidden="false" customHeight="false" outlineLevel="0" collapsed="false">
      <c r="A72" s="23" t="s">
        <v>291</v>
      </c>
      <c r="B72" s="26" t="n">
        <f aca="false">300/12</f>
        <v>25</v>
      </c>
      <c r="C72" s="10" t="s">
        <v>292</v>
      </c>
    </row>
    <row r="73" customFormat="false" ht="15" hidden="false" customHeight="false" outlineLevel="0" collapsed="false">
      <c r="A73" s="18" t="s">
        <v>293</v>
      </c>
      <c r="B73" s="47" t="n">
        <v>0</v>
      </c>
      <c r="C73" s="10" t="s">
        <v>118</v>
      </c>
    </row>
    <row r="74" customFormat="false" ht="15" hidden="false" customHeight="false" outlineLevel="0" collapsed="false">
      <c r="A74" s="27" t="s">
        <v>127</v>
      </c>
      <c r="B74" s="41" t="n">
        <f aca="false">SUM(B71:B73)</f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294</v>
      </c>
    </row>
    <row r="2" customFormat="false" ht="15.75" hidden="false" customHeight="true" outlineLevel="0" collapsed="false">
      <c r="A2" s="10" t="s">
        <v>295</v>
      </c>
    </row>
    <row r="4" customFormat="false" ht="19.5" hidden="false" customHeight="true" outlineLevel="0" collapsed="false">
      <c r="A4" s="3" t="s">
        <v>30</v>
      </c>
    </row>
    <row r="5" customFormat="false" ht="15" hidden="false" customHeight="false" outlineLevel="0" collapsed="false">
      <c r="A5" s="11" t="s">
        <v>31</v>
      </c>
      <c r="B5" s="13" t="s">
        <v>191</v>
      </c>
    </row>
    <row r="6" customFormat="false" ht="15" hidden="false" customHeight="false" outlineLevel="0" collapsed="false">
      <c r="A6" s="11" t="s">
        <v>32</v>
      </c>
      <c r="B6" s="13" t="s">
        <v>33</v>
      </c>
    </row>
    <row r="7" customFormat="false" ht="15" hidden="false" customHeight="false" outlineLevel="0" collapsed="false">
      <c r="A7" s="11" t="s">
        <v>34</v>
      </c>
      <c r="B7" s="14" t="n">
        <f aca="false">D54</f>
        <v>4370</v>
      </c>
    </row>
    <row r="8" customFormat="false" ht="15" hidden="false" customHeight="false" outlineLevel="0" collapsed="false">
      <c r="A8" s="11" t="s">
        <v>35</v>
      </c>
      <c r="B8" s="15" t="n">
        <f aca="false">G54</f>
        <v>46.6428571428571</v>
      </c>
    </row>
    <row r="9" customFormat="false" ht="15" hidden="false" customHeight="false" outlineLevel="0" collapsed="false">
      <c r="A9" s="11" t="s">
        <v>36</v>
      </c>
      <c r="B9" s="14" t="n">
        <f aca="false">F59</f>
        <v>1690</v>
      </c>
    </row>
    <row r="10" customFormat="false" ht="15" hidden="false" customHeight="false" outlineLevel="0" collapsed="false">
      <c r="A10" s="11" t="s">
        <v>37</v>
      </c>
      <c r="B10" s="15" t="n">
        <f aca="false">C70</f>
        <v>1256.64285714286</v>
      </c>
    </row>
    <row r="11" customFormat="false" ht="15" hidden="false" customHeight="false" outlineLevel="0" collapsed="false">
      <c r="A11" s="11" t="s">
        <v>38</v>
      </c>
      <c r="B11" s="15" t="n">
        <f aca="false">B77</f>
        <v>0</v>
      </c>
    </row>
    <row r="12" customFormat="false" ht="15" hidden="false" customHeight="false" outlineLevel="0" collapsed="false">
      <c r="A12" s="11" t="s">
        <v>39</v>
      </c>
      <c r="B12" s="15" t="n">
        <f aca="false">B85</f>
        <v>100</v>
      </c>
    </row>
    <row r="14" customFormat="false" ht="15" hidden="false" customHeight="false" outlineLevel="0" collapsed="false">
      <c r="A14" s="7" t="s">
        <v>40</v>
      </c>
      <c r="B14" s="16" t="n">
        <v>0.18</v>
      </c>
    </row>
    <row r="15" customFormat="false" ht="19.5" hidden="false" customHeight="true" outlineLevel="0" collapsed="false">
      <c r="A15" s="3" t="s">
        <v>41</v>
      </c>
    </row>
    <row r="16" customFormat="false" ht="43.5" hidden="false" customHeight="true" outlineLevel="0" collapsed="false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customFormat="false" ht="15" hidden="false" customHeight="false" outlineLevel="0" collapsed="false">
      <c r="A17" s="18" t="s">
        <v>296</v>
      </c>
      <c r="B17" s="19" t="s">
        <v>270</v>
      </c>
      <c r="C17" s="20" t="n">
        <v>50</v>
      </c>
      <c r="D17" s="19" t="s">
        <v>268</v>
      </c>
      <c r="E17" s="21" t="n">
        <v>180</v>
      </c>
      <c r="F17" s="22"/>
      <c r="G17" s="22"/>
      <c r="H17" s="10" t="s">
        <v>52</v>
      </c>
    </row>
    <row r="18" customFormat="false" ht="15" hidden="false" customHeight="false" outlineLevel="0" collapsed="false">
      <c r="A18" s="23" t="s">
        <v>297</v>
      </c>
      <c r="B18" s="24" t="s">
        <v>298</v>
      </c>
      <c r="C18" s="25" t="n">
        <v>18</v>
      </c>
      <c r="D18" s="24" t="s">
        <v>268</v>
      </c>
      <c r="E18" s="26" t="n">
        <v>90</v>
      </c>
      <c r="F18" s="22"/>
      <c r="G18" s="22"/>
      <c r="H18" s="10" t="s">
        <v>52</v>
      </c>
    </row>
    <row r="19" customFormat="false" ht="15" hidden="false" customHeight="false" outlineLevel="0" collapsed="false">
      <c r="A19" s="18" t="s">
        <v>299</v>
      </c>
      <c r="B19" s="19" t="s">
        <v>270</v>
      </c>
      <c r="C19" s="20" t="n">
        <v>50</v>
      </c>
      <c r="D19" s="19" t="s">
        <v>268</v>
      </c>
      <c r="E19" s="21" t="n">
        <v>200</v>
      </c>
      <c r="F19" s="22"/>
      <c r="G19" s="22"/>
      <c r="H19" s="10" t="s">
        <v>52</v>
      </c>
    </row>
    <row r="20" customFormat="false" ht="15" hidden="false" customHeight="false" outlineLevel="0" collapsed="false">
      <c r="A20" s="23" t="s">
        <v>300</v>
      </c>
      <c r="B20" s="24" t="s">
        <v>301</v>
      </c>
      <c r="C20" s="25" t="n">
        <v>30</v>
      </c>
      <c r="D20" s="24" t="s">
        <v>59</v>
      </c>
      <c r="E20" s="26" t="n">
        <v>18</v>
      </c>
      <c r="F20" s="22"/>
      <c r="G20" s="22"/>
      <c r="H20" s="10" t="s">
        <v>302</v>
      </c>
    </row>
    <row r="21" customFormat="false" ht="15" hidden="false" customHeight="false" outlineLevel="0" collapsed="false">
      <c r="A21" s="18" t="s">
        <v>303</v>
      </c>
      <c r="B21" s="19" t="s">
        <v>50</v>
      </c>
      <c r="C21" s="20" t="n">
        <v>10</v>
      </c>
      <c r="D21" s="19" t="s">
        <v>268</v>
      </c>
      <c r="E21" s="21" t="n">
        <v>300</v>
      </c>
      <c r="F21" s="22"/>
      <c r="G21" s="22"/>
      <c r="H21" s="10" t="s">
        <v>52</v>
      </c>
    </row>
    <row r="22" customFormat="false" ht="15" hidden="false" customHeight="false" outlineLevel="0" collapsed="false">
      <c r="A22" s="23" t="s">
        <v>304</v>
      </c>
      <c r="B22" s="24" t="s">
        <v>50</v>
      </c>
      <c r="C22" s="25" t="n">
        <v>12</v>
      </c>
      <c r="D22" s="24" t="s">
        <v>305</v>
      </c>
      <c r="E22" s="26" t="n">
        <v>60</v>
      </c>
      <c r="F22" s="22"/>
      <c r="G22" s="22"/>
      <c r="H22" s="10" t="s">
        <v>52</v>
      </c>
    </row>
    <row r="23" customFormat="false" ht="15" hidden="false" customHeight="false" outlineLevel="0" collapsed="false">
      <c r="A23" s="18" t="s">
        <v>306</v>
      </c>
      <c r="B23" s="19" t="s">
        <v>141</v>
      </c>
      <c r="C23" s="20" t="n">
        <v>1</v>
      </c>
      <c r="D23" s="19" t="s">
        <v>268</v>
      </c>
      <c r="E23" s="21" t="n">
        <v>15</v>
      </c>
      <c r="F23" s="22"/>
      <c r="G23" s="22"/>
      <c r="H23" s="10" t="s">
        <v>52</v>
      </c>
    </row>
    <row r="24" customFormat="false" ht="15" hidden="false" customHeight="false" outlineLevel="0" collapsed="false">
      <c r="A24" s="23" t="s">
        <v>307</v>
      </c>
      <c r="B24" s="24" t="s">
        <v>308</v>
      </c>
      <c r="C24" s="25" t="n">
        <v>1</v>
      </c>
      <c r="D24" s="24" t="s">
        <v>268</v>
      </c>
      <c r="E24" s="26" t="n">
        <v>20</v>
      </c>
      <c r="F24" s="22"/>
      <c r="G24" s="22"/>
      <c r="H24" s="10" t="s">
        <v>52</v>
      </c>
    </row>
    <row r="25" customFormat="false" ht="15" hidden="false" customHeight="false" outlineLevel="0" collapsed="false">
      <c r="A25" s="18" t="s">
        <v>309</v>
      </c>
      <c r="B25" s="19" t="s">
        <v>310</v>
      </c>
      <c r="C25" s="20" t="n">
        <v>100</v>
      </c>
      <c r="D25" s="19" t="s">
        <v>59</v>
      </c>
      <c r="E25" s="21" t="n">
        <v>60</v>
      </c>
      <c r="F25" s="22"/>
      <c r="G25" s="22"/>
      <c r="H25" s="10" t="s">
        <v>311</v>
      </c>
    </row>
    <row r="27" customFormat="false" ht="19.5" hidden="false" customHeight="true" outlineLevel="0" collapsed="false">
      <c r="A27" s="3" t="s">
        <v>60</v>
      </c>
    </row>
    <row r="28" customFormat="false" ht="31.5" hidden="false" customHeight="true" outlineLevel="0" collapsed="false">
      <c r="A28" s="17" t="s">
        <v>42</v>
      </c>
      <c r="B28" s="17" t="s">
        <v>61</v>
      </c>
      <c r="C28" s="17" t="s">
        <v>45</v>
      </c>
      <c r="D28" s="17" t="s">
        <v>62</v>
      </c>
    </row>
    <row r="29" customFormat="false" ht="15" hidden="false" customHeight="false" outlineLevel="0" collapsed="false">
      <c r="A29" s="18" t="s">
        <v>296</v>
      </c>
      <c r="B29" s="20" t="n">
        <v>0.5</v>
      </c>
      <c r="C29" s="19" t="s">
        <v>268</v>
      </c>
      <c r="D29" s="22"/>
    </row>
    <row r="30" customFormat="false" ht="15" hidden="false" customHeight="false" outlineLevel="0" collapsed="false">
      <c r="A30" s="23" t="s">
        <v>297</v>
      </c>
      <c r="B30" s="25" t="n">
        <v>0.6</v>
      </c>
      <c r="C30" s="24" t="s">
        <v>268</v>
      </c>
      <c r="D30" s="22"/>
    </row>
    <row r="31" customFormat="false" ht="15" hidden="false" customHeight="false" outlineLevel="0" collapsed="false">
      <c r="A31" s="18" t="s">
        <v>299</v>
      </c>
      <c r="B31" s="20" t="n">
        <v>0.25</v>
      </c>
      <c r="C31" s="19" t="s">
        <v>268</v>
      </c>
      <c r="D31" s="22"/>
    </row>
    <row r="32" customFormat="false" ht="15" hidden="false" customHeight="false" outlineLevel="0" collapsed="false">
      <c r="A32" s="23" t="s">
        <v>300</v>
      </c>
      <c r="B32" s="25" t="n">
        <v>4</v>
      </c>
      <c r="C32" s="24" t="s">
        <v>59</v>
      </c>
      <c r="D32" s="22"/>
    </row>
    <row r="33" customFormat="false" ht="15" hidden="false" customHeight="false" outlineLevel="0" collapsed="false">
      <c r="A33" s="18" t="s">
        <v>303</v>
      </c>
      <c r="B33" s="20" t="n">
        <v>0.2</v>
      </c>
      <c r="C33" s="19" t="s">
        <v>268</v>
      </c>
      <c r="D33" s="22"/>
    </row>
    <row r="34" customFormat="false" ht="15" hidden="false" customHeight="false" outlineLevel="0" collapsed="false">
      <c r="A34" s="23" t="s">
        <v>304</v>
      </c>
      <c r="B34" s="25" t="n">
        <v>0.1</v>
      </c>
      <c r="C34" s="24" t="s">
        <v>305</v>
      </c>
      <c r="D34" s="22"/>
    </row>
    <row r="35" customFormat="false" ht="15" hidden="false" customHeight="false" outlineLevel="0" collapsed="false">
      <c r="A35" s="18" t="s">
        <v>306</v>
      </c>
      <c r="B35" s="20" t="n">
        <v>0.015</v>
      </c>
      <c r="C35" s="19" t="s">
        <v>268</v>
      </c>
      <c r="D35" s="22"/>
    </row>
    <row r="36" customFormat="false" ht="15" hidden="false" customHeight="false" outlineLevel="0" collapsed="false">
      <c r="A36" s="23" t="s">
        <v>307</v>
      </c>
      <c r="B36" s="25" t="n">
        <v>0.005</v>
      </c>
      <c r="C36" s="24" t="s">
        <v>268</v>
      </c>
      <c r="D36" s="22"/>
    </row>
    <row r="37" customFormat="false" ht="15" hidden="false" customHeight="false" outlineLevel="0" collapsed="false">
      <c r="A37" s="18" t="s">
        <v>309</v>
      </c>
      <c r="B37" s="20" t="n">
        <v>1</v>
      </c>
      <c r="C37" s="19" t="s">
        <v>59</v>
      </c>
      <c r="D37" s="22"/>
    </row>
    <row r="38" customFormat="false" ht="15" hidden="false" customHeight="false" outlineLevel="0" collapsed="false">
      <c r="A38" s="27" t="s">
        <v>63</v>
      </c>
      <c r="B38" s="28"/>
      <c r="C38" s="28"/>
      <c r="D38" s="29"/>
    </row>
    <row r="40" customFormat="false" ht="15" hidden="false" customHeight="false" outlineLevel="0" collapsed="false">
      <c r="A40" s="30" t="s">
        <v>64</v>
      </c>
    </row>
    <row r="41" customFormat="false" ht="15" hidden="false" customHeight="false" outlineLevel="0" collapsed="false">
      <c r="A41" s="10" t="s">
        <v>65</v>
      </c>
    </row>
    <row r="42" customFormat="false" ht="15" hidden="false" customHeight="false" outlineLevel="0" collapsed="false">
      <c r="A42" s="10" t="s">
        <v>66</v>
      </c>
    </row>
    <row r="43" customFormat="false" ht="15" hidden="false" customHeight="false" outlineLevel="0" collapsed="false">
      <c r="A43" s="10" t="s">
        <v>67</v>
      </c>
    </row>
    <row r="45" customFormat="false" ht="19.5" hidden="false" customHeight="true" outlineLevel="0" collapsed="false">
      <c r="A45" s="3" t="s">
        <v>68</v>
      </c>
    </row>
    <row r="46" customFormat="false" ht="30" hidden="false" customHeight="true" outlineLevel="0" collapsed="false">
      <c r="A46" s="17" t="s">
        <v>69</v>
      </c>
      <c r="B46" s="17" t="s">
        <v>70</v>
      </c>
      <c r="C46" s="17" t="s">
        <v>71</v>
      </c>
      <c r="D46" s="17" t="s">
        <v>72</v>
      </c>
      <c r="E46" s="17" t="s">
        <v>73</v>
      </c>
      <c r="F46" s="17" t="s">
        <v>74</v>
      </c>
      <c r="G46" s="17" t="s">
        <v>75</v>
      </c>
      <c r="H46" s="31" t="s">
        <v>76</v>
      </c>
    </row>
    <row r="47" customFormat="false" ht="15" hidden="false" customHeight="false" outlineLevel="0" collapsed="false">
      <c r="A47" s="18" t="s">
        <v>312</v>
      </c>
      <c r="B47" s="32" t="n">
        <v>1</v>
      </c>
      <c r="C47" s="33" t="n">
        <v>1200</v>
      </c>
      <c r="D47" s="34" t="n">
        <f aca="false">B47*C47</f>
        <v>1200</v>
      </c>
      <c r="E47" s="32" t="n">
        <v>10</v>
      </c>
      <c r="F47" s="34" t="n">
        <f aca="false">IFERROR(D47/E47,0)</f>
        <v>120</v>
      </c>
      <c r="G47" s="35" t="n">
        <f aca="false">F47/12</f>
        <v>10</v>
      </c>
      <c r="H47" s="10" t="s">
        <v>313</v>
      </c>
    </row>
    <row r="48" customFormat="false" ht="15" hidden="false" customHeight="false" outlineLevel="0" collapsed="false">
      <c r="A48" s="23" t="s">
        <v>314</v>
      </c>
      <c r="B48" s="36" t="n">
        <v>1</v>
      </c>
      <c r="C48" s="37" t="n">
        <v>600</v>
      </c>
      <c r="D48" s="38" t="n">
        <f aca="false">B48*C48</f>
        <v>600</v>
      </c>
      <c r="E48" s="36" t="n">
        <v>7</v>
      </c>
      <c r="F48" s="38" t="n">
        <f aca="false">IFERROR(D48/E48,0)</f>
        <v>85.7142857142857</v>
      </c>
      <c r="G48" s="39" t="n">
        <f aca="false">F48/12</f>
        <v>7.14285714285714</v>
      </c>
      <c r="H48" s="10" t="s">
        <v>315</v>
      </c>
    </row>
    <row r="49" customFormat="false" ht="15" hidden="false" customHeight="false" outlineLevel="0" collapsed="false">
      <c r="A49" s="18" t="s">
        <v>316</v>
      </c>
      <c r="B49" s="32" t="n">
        <v>1</v>
      </c>
      <c r="C49" s="33" t="n">
        <v>1500</v>
      </c>
      <c r="D49" s="34" t="n">
        <f aca="false">B49*C49</f>
        <v>1500</v>
      </c>
      <c r="E49" s="32" t="n">
        <v>10</v>
      </c>
      <c r="F49" s="34" t="n">
        <f aca="false">IFERROR(D49/E49,0)</f>
        <v>150</v>
      </c>
      <c r="G49" s="35" t="n">
        <f aca="false">F49/12</f>
        <v>12.5</v>
      </c>
      <c r="H49" s="10" t="s">
        <v>317</v>
      </c>
    </row>
    <row r="50" customFormat="false" ht="15" hidden="false" customHeight="false" outlineLevel="0" collapsed="false">
      <c r="A50" s="23" t="s">
        <v>318</v>
      </c>
      <c r="B50" s="36" t="n">
        <v>1</v>
      </c>
      <c r="C50" s="37" t="n">
        <v>120</v>
      </c>
      <c r="D50" s="38" t="n">
        <f aca="false">B50*C50</f>
        <v>120</v>
      </c>
      <c r="E50" s="36" t="n">
        <v>5</v>
      </c>
      <c r="F50" s="38" t="n">
        <f aca="false">IFERROR(D50/E50,0)</f>
        <v>24</v>
      </c>
      <c r="G50" s="39" t="n">
        <f aca="false">F50/12</f>
        <v>2</v>
      </c>
      <c r="H50" s="10" t="s">
        <v>319</v>
      </c>
    </row>
    <row r="51" customFormat="false" ht="15" hidden="false" customHeight="false" outlineLevel="0" collapsed="false">
      <c r="A51" s="18" t="s">
        <v>320</v>
      </c>
      <c r="B51" s="32" t="n">
        <v>1</v>
      </c>
      <c r="C51" s="33" t="n">
        <v>150</v>
      </c>
      <c r="D51" s="34" t="n">
        <f aca="false">B51*C51</f>
        <v>150</v>
      </c>
      <c r="E51" s="32" t="n">
        <v>5</v>
      </c>
      <c r="F51" s="34" t="n">
        <f aca="false">IFERROR(D51/E51,0)</f>
        <v>30</v>
      </c>
      <c r="G51" s="35" t="n">
        <f aca="false">F51/12</f>
        <v>2.5</v>
      </c>
      <c r="H51" s="10" t="s">
        <v>321</v>
      </c>
    </row>
    <row r="52" customFormat="false" ht="15" hidden="false" customHeight="false" outlineLevel="0" collapsed="false">
      <c r="A52" s="23" t="s">
        <v>322</v>
      </c>
      <c r="B52" s="36" t="n">
        <v>1</v>
      </c>
      <c r="C52" s="37" t="n">
        <v>500</v>
      </c>
      <c r="D52" s="38" t="n">
        <f aca="false">B52*C52</f>
        <v>500</v>
      </c>
      <c r="E52" s="36" t="n">
        <v>10</v>
      </c>
      <c r="F52" s="38" t="n">
        <f aca="false">IFERROR(D52/E52,0)</f>
        <v>50</v>
      </c>
      <c r="G52" s="39" t="n">
        <f aca="false">F52/12</f>
        <v>4.16666666666667</v>
      </c>
      <c r="H52" s="10" t="s">
        <v>323</v>
      </c>
    </row>
    <row r="53" customFormat="false" ht="15" hidden="false" customHeight="false" outlineLevel="0" collapsed="false">
      <c r="A53" s="18" t="s">
        <v>324</v>
      </c>
      <c r="B53" s="32" t="n">
        <v>1</v>
      </c>
      <c r="C53" s="33" t="n">
        <v>300</v>
      </c>
      <c r="D53" s="34" t="n">
        <f aca="false">B53*C53</f>
        <v>300</v>
      </c>
      <c r="E53" s="32" t="n">
        <v>3</v>
      </c>
      <c r="F53" s="34" t="n">
        <f aca="false">IFERROR(D53/E53,0)</f>
        <v>100</v>
      </c>
      <c r="G53" s="35" t="n">
        <f aca="false">F53/12</f>
        <v>8.33333333333333</v>
      </c>
      <c r="H53" s="10" t="s">
        <v>325</v>
      </c>
    </row>
    <row r="54" customFormat="false" ht="15" hidden="false" customHeight="false" outlineLevel="0" collapsed="false">
      <c r="A54" s="27" t="s">
        <v>83</v>
      </c>
      <c r="B54" s="28"/>
      <c r="C54" s="28"/>
      <c r="D54" s="40" t="n">
        <f aca="false">SUM(D47:D53)</f>
        <v>4370</v>
      </c>
      <c r="E54" s="28"/>
      <c r="F54" s="40" t="n">
        <f aca="false">SUM(F47:F53)</f>
        <v>559.714285714286</v>
      </c>
      <c r="G54" s="41" t="n">
        <f aca="false">SUM(G47:G53)</f>
        <v>46.6428571428571</v>
      </c>
    </row>
    <row r="56" customFormat="false" ht="19.5" hidden="false" customHeight="true" outlineLevel="0" collapsed="false">
      <c r="A56" s="3" t="s">
        <v>84</v>
      </c>
    </row>
    <row r="57" customFormat="false" ht="30" hidden="false" customHeight="true" outlineLevel="0" collapsed="false">
      <c r="A57" s="17" t="s">
        <v>85</v>
      </c>
      <c r="B57" s="17" t="s">
        <v>70</v>
      </c>
      <c r="C57" s="17" t="s">
        <v>86</v>
      </c>
      <c r="D57" s="17" t="s">
        <v>87</v>
      </c>
      <c r="E57" s="17" t="s">
        <v>88</v>
      </c>
      <c r="F57" s="17" t="s">
        <v>89</v>
      </c>
      <c r="G57" s="17" t="s">
        <v>90</v>
      </c>
      <c r="H57" s="31" t="s">
        <v>91</v>
      </c>
    </row>
    <row r="58" customFormat="false" ht="22.35" hidden="false" customHeight="false" outlineLevel="0" collapsed="false">
      <c r="A58" s="18" t="s">
        <v>326</v>
      </c>
      <c r="B58" s="32" t="n">
        <v>1</v>
      </c>
      <c r="C58" s="33" t="n">
        <v>1300</v>
      </c>
      <c r="D58" s="16" t="n">
        <v>0.3</v>
      </c>
      <c r="E58" s="34" t="n">
        <f aca="false">C58*D58</f>
        <v>390</v>
      </c>
      <c r="F58" s="34" t="n">
        <f aca="false">(C58+E58)*B58</f>
        <v>1690</v>
      </c>
      <c r="G58" s="34" t="n">
        <f aca="false">F58*12</f>
        <v>20280</v>
      </c>
      <c r="H58" s="42" t="s">
        <v>327</v>
      </c>
    </row>
    <row r="59" customFormat="false" ht="15" hidden="false" customHeight="false" outlineLevel="0" collapsed="false">
      <c r="A59" s="27" t="s">
        <v>94</v>
      </c>
      <c r="B59" s="28"/>
      <c r="C59" s="28"/>
      <c r="D59" s="28"/>
      <c r="E59" s="28"/>
      <c r="F59" s="40" t="n">
        <f aca="false">SUM(F58:F58)</f>
        <v>1690</v>
      </c>
      <c r="G59" s="40" t="n">
        <f aca="false">SUM(G58:G58)</f>
        <v>20280</v>
      </c>
    </row>
    <row r="60" customFormat="false" ht="15" hidden="false" customHeight="false" outlineLevel="0" collapsed="false">
      <c r="A60" s="43" t="s">
        <v>95</v>
      </c>
    </row>
    <row r="62" customFormat="false" ht="19.5" hidden="false" customHeight="true" outlineLevel="0" collapsed="false">
      <c r="A62" s="3" t="s">
        <v>96</v>
      </c>
    </row>
    <row r="63" customFormat="false" ht="15" hidden="false" customHeight="false" outlineLevel="0" collapsed="false">
      <c r="A63" s="17" t="s">
        <v>97</v>
      </c>
      <c r="B63" s="17" t="s">
        <v>98</v>
      </c>
      <c r="C63" s="17" t="s">
        <v>99</v>
      </c>
      <c r="D63" s="31" t="s">
        <v>76</v>
      </c>
    </row>
    <row r="64" customFormat="false" ht="15" hidden="false" customHeight="false" outlineLevel="0" collapsed="false">
      <c r="A64" s="18" t="s">
        <v>328</v>
      </c>
      <c r="B64" s="44" t="s">
        <v>221</v>
      </c>
      <c r="C64" s="21" t="n">
        <v>900</v>
      </c>
      <c r="D64" s="10" t="s">
        <v>82</v>
      </c>
    </row>
    <row r="65" customFormat="false" ht="15" hidden="false" customHeight="false" outlineLevel="0" collapsed="false">
      <c r="A65" s="23" t="s">
        <v>329</v>
      </c>
      <c r="B65" s="45" t="s">
        <v>104</v>
      </c>
      <c r="C65" s="26" t="n">
        <v>150</v>
      </c>
      <c r="D65" s="10" t="s">
        <v>82</v>
      </c>
    </row>
    <row r="66" customFormat="false" ht="15" hidden="false" customHeight="false" outlineLevel="0" collapsed="false">
      <c r="A66" s="18" t="s">
        <v>330</v>
      </c>
      <c r="B66" s="44" t="s">
        <v>104</v>
      </c>
      <c r="C66" s="21" t="n">
        <v>80</v>
      </c>
      <c r="D66" s="10" t="s">
        <v>82</v>
      </c>
    </row>
    <row r="67" customFormat="false" ht="15" hidden="false" customHeight="false" outlineLevel="0" collapsed="false">
      <c r="A67" s="23" t="s">
        <v>250</v>
      </c>
      <c r="B67" s="45" t="s">
        <v>104</v>
      </c>
      <c r="C67" s="26" t="n">
        <v>30</v>
      </c>
      <c r="D67" s="10" t="s">
        <v>82</v>
      </c>
    </row>
    <row r="68" customFormat="false" ht="15" hidden="false" customHeight="false" outlineLevel="0" collapsed="false">
      <c r="A68" s="18" t="s">
        <v>108</v>
      </c>
      <c r="B68" s="44" t="s">
        <v>104</v>
      </c>
      <c r="C68" s="21" t="n">
        <v>50</v>
      </c>
      <c r="D68" s="10" t="s">
        <v>82</v>
      </c>
    </row>
    <row r="69" customFormat="false" ht="15" hidden="false" customHeight="false" outlineLevel="0" collapsed="false">
      <c r="A69" s="23" t="s">
        <v>113</v>
      </c>
      <c r="B69" s="45"/>
      <c r="C69" s="46" t="n">
        <f aca="false">G54</f>
        <v>46.6428571428571</v>
      </c>
      <c r="D69" s="10" t="s">
        <v>114</v>
      </c>
    </row>
    <row r="70" customFormat="false" ht="15" hidden="false" customHeight="false" outlineLevel="0" collapsed="false">
      <c r="A70" s="27" t="s">
        <v>115</v>
      </c>
      <c r="B70" s="28"/>
      <c r="C70" s="41" t="n">
        <f aca="false">SUM(C64:C69)</f>
        <v>1256.64285714286</v>
      </c>
    </row>
    <row r="72" customFormat="false" ht="19.5" hidden="false" customHeight="true" outlineLevel="0" collapsed="false">
      <c r="A72" s="3" t="s">
        <v>116</v>
      </c>
    </row>
    <row r="73" customFormat="false" ht="15" hidden="false" customHeight="false" outlineLevel="0" collapsed="false">
      <c r="A73" s="17" t="s">
        <v>97</v>
      </c>
      <c r="B73" s="17" t="s">
        <v>99</v>
      </c>
      <c r="C73" s="31" t="s">
        <v>76</v>
      </c>
    </row>
    <row r="74" customFormat="false" ht="15" hidden="false" customHeight="false" outlineLevel="0" collapsed="false">
      <c r="A74" s="18" t="s">
        <v>117</v>
      </c>
      <c r="B74" s="47" t="n">
        <v>0</v>
      </c>
      <c r="C74" s="10" t="s">
        <v>118</v>
      </c>
    </row>
    <row r="75" customFormat="false" ht="15" hidden="false" customHeight="false" outlineLevel="0" collapsed="false">
      <c r="A75" s="23" t="s">
        <v>289</v>
      </c>
      <c r="B75" s="47" t="n">
        <v>0</v>
      </c>
      <c r="C75" s="10" t="s">
        <v>118</v>
      </c>
    </row>
    <row r="76" customFormat="false" ht="15" hidden="false" customHeight="false" outlineLevel="0" collapsed="false">
      <c r="A76" s="18" t="s">
        <v>121</v>
      </c>
      <c r="B76" s="47" t="n">
        <v>0</v>
      </c>
      <c r="C76" s="10" t="s">
        <v>118</v>
      </c>
    </row>
    <row r="77" customFormat="false" ht="15" hidden="false" customHeight="false" outlineLevel="0" collapsed="false">
      <c r="A77" s="27" t="s">
        <v>122</v>
      </c>
      <c r="B77" s="41" t="n">
        <f aca="false">SUM(B74:B76)</f>
        <v>0</v>
      </c>
    </row>
    <row r="79" customFormat="false" ht="19.5" hidden="false" customHeight="true" outlineLevel="0" collapsed="false">
      <c r="A79" s="3" t="s">
        <v>123</v>
      </c>
    </row>
    <row r="80" customFormat="false" ht="15" hidden="false" customHeight="false" outlineLevel="0" collapsed="false">
      <c r="A80" s="17" t="s">
        <v>97</v>
      </c>
      <c r="B80" s="17" t="s">
        <v>99</v>
      </c>
      <c r="C80" s="31" t="s">
        <v>76</v>
      </c>
    </row>
    <row r="81" customFormat="false" ht="15" hidden="false" customHeight="false" outlineLevel="0" collapsed="false">
      <c r="A81" s="18" t="s">
        <v>124</v>
      </c>
      <c r="B81" s="21" t="n">
        <v>100</v>
      </c>
      <c r="C81" s="10" t="s">
        <v>125</v>
      </c>
    </row>
    <row r="82" customFormat="false" ht="15" hidden="false" customHeight="false" outlineLevel="0" collapsed="false">
      <c r="A82" s="23" t="s">
        <v>331</v>
      </c>
      <c r="B82" s="47" t="n">
        <v>0</v>
      </c>
      <c r="C82" s="10" t="s">
        <v>118</v>
      </c>
    </row>
    <row r="83" customFormat="false" ht="15" hidden="false" customHeight="false" outlineLevel="0" collapsed="false">
      <c r="A83" s="18" t="s">
        <v>332</v>
      </c>
      <c r="B83" s="47" t="n">
        <v>0</v>
      </c>
      <c r="C83" s="10" t="s">
        <v>118</v>
      </c>
    </row>
    <row r="84" customFormat="false" ht="15" hidden="false" customHeight="false" outlineLevel="0" collapsed="false">
      <c r="A84" s="23" t="s">
        <v>333</v>
      </c>
      <c r="B84" s="47" t="n">
        <v>0</v>
      </c>
      <c r="C84" s="10" t="s">
        <v>118</v>
      </c>
    </row>
    <row r="85" customFormat="false" ht="15" hidden="false" customHeight="false" outlineLevel="0" collapsed="false">
      <c r="A85" s="27" t="s">
        <v>127</v>
      </c>
      <c r="B85" s="41" t="n">
        <f aca="false">SUM(B81:B84)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2026-09-17T10:54:32Z</dcterms:created>
  <dc:creator>openpyxl</dc:creator>
  <dc:description/>
  <dc:language>en-US</dc:language>
  <cp:lastModifiedBy/>
  <dcterms:modified xsi:type="dcterms:W3CDTF">2026-09-17T10:54:32Z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