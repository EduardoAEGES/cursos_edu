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esktop\CURSOS 2026 II\ANÁLISIS DE COSTOS Y PRESUPUESTOS\"/>
    </mc:Choice>
  </mc:AlternateContent>
  <xr:revisionPtr revIDLastSave="0" documentId="8_{B854056E-F857-460C-95A6-553E4072CAAA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LAB 1" sheetId="2" r:id="rId1"/>
    <sheet name="LAB 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6" i="2" l="1"/>
</calcChain>
</file>

<file path=xl/sharedStrings.xml><?xml version="1.0" encoding="utf-8"?>
<sst xmlns="http://schemas.openxmlformats.org/spreadsheetml/2006/main" count="133" uniqueCount="116">
  <si>
    <t>N°</t>
  </si>
  <si>
    <t>CASO: Bodega y Distribuidora El Misti S.A.C.</t>
  </si>
  <si>
    <t>Concepto del desembolso</t>
  </si>
  <si>
    <t>Monto del mes (S/)</t>
  </si>
  <si>
    <t>Comportamiento</t>
  </si>
  <si>
    <t>Identificación</t>
  </si>
  <si>
    <t>Justificación</t>
  </si>
  <si>
    <t>Compra de mercadería para la venta (costo de adquisición)</t>
  </si>
  <si>
    <t>Alquiler del local comercial</t>
  </si>
  <si>
    <t>Sueldo base de los vendedores</t>
  </si>
  <si>
    <t>Comisión de vendedores (3 % sobre ventas)</t>
  </si>
  <si>
    <t>Sueldo del administrador</t>
  </si>
  <si>
    <t>Bolsas y material de embalaje por pedido</t>
  </si>
  <si>
    <t>Servicio de internet del local</t>
  </si>
  <si>
    <t>Energía eléctrica</t>
  </si>
  <si>
    <t>Combustible de la unidad de reparto</t>
  </si>
  <si>
    <t>Seguro anual del local (parte mensual)</t>
  </si>
  <si>
    <t>Depreciación de estanterías y mobiliario</t>
  </si>
  <si>
    <t>Publicidad en redes sociales (plan mensual)</t>
  </si>
  <si>
    <t>Merma por productos vencidos</t>
  </si>
  <si>
    <t>Mantenimiento de la unidad de reparto</t>
  </si>
  <si>
    <t>Útiles de oficina</t>
  </si>
  <si>
    <t>Agua</t>
  </si>
  <si>
    <t>Servicio de delivery tercerizado por pedido</t>
  </si>
  <si>
    <t>Honorarios del contador externo</t>
  </si>
  <si>
    <t>Impuesto predial (parte mensual)</t>
  </si>
  <si>
    <t>Descuento por pronto pago otorgado a clientes</t>
  </si>
  <si>
    <t>Alquiler del almacén</t>
  </si>
  <si>
    <t>Telefonía móvil de la fuerza de ventas</t>
  </si>
  <si>
    <t>Capacitación anual del personal (parte mensual)</t>
  </si>
  <si>
    <t>Comisión de la pasarela de pago (2,5 % de lo cobrado)</t>
  </si>
  <si>
    <t>Servicio de vigilancia del local</t>
  </si>
  <si>
    <t>TOTAL DE DESEMBOLSOS DEL MES</t>
  </si>
  <si>
    <t>Total del mes (S/)</t>
  </si>
  <si>
    <t>% del total</t>
  </si>
  <si>
    <t>Ítems clasificados</t>
  </si>
  <si>
    <t>Fijo</t>
  </si>
  <si>
    <t>Variable</t>
  </si>
  <si>
    <t>Semivariable</t>
  </si>
  <si>
    <t>Concepto</t>
  </si>
  <si>
    <t>3 000 cajas</t>
  </si>
  <si>
    <t>4 000 cajas (base)</t>
  </si>
  <si>
    <t>5 000 cajas</t>
  </si>
  <si>
    <t>Costo variable total</t>
  </si>
  <si>
    <t>Costo fijo total</t>
  </si>
  <si>
    <t>COSTO TOTAL</t>
  </si>
  <si>
    <t>Costo variable unitario</t>
  </si>
  <si>
    <t>Costo fijo unitario</t>
  </si>
  <si>
    <t>COSTO UNITARIO TOTAL</t>
  </si>
  <si>
    <t>Marque con la palabra ALTO el mes de mayor volumen de cajas vendidas y con BAJO el de menor volumen. Ojo: se decide mirando la columna de cajas, no la del costo.</t>
  </si>
  <si>
    <t>Mes</t>
  </si>
  <si>
    <t>Cajas vendidas</t>
  </si>
  <si>
    <t>Costo de energía (S/)</t>
  </si>
  <si>
    <t>Marca (ALTO / BAJO)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</si>
  <si>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</si>
  <si>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</si>
  <si>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</si>
  <si>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</si>
  <si>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</si>
  <si>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</si>
  <si>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</si>
  <si>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</si>
  <si>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</si>
  <si>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</si>
  <si>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</si>
  <si>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</si>
  <si>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Paso</t>
  </si>
  <si>
    <t>Fórmula que se aplica</t>
  </si>
  <si>
    <t>Resultado</t>
  </si>
  <si>
    <t>Unidad</t>
  </si>
  <si>
    <t>Comentario</t>
  </si>
  <si>
    <t>Cajas del punto alto</t>
  </si>
  <si>
    <t>Máximo de la columna de cajas</t>
  </si>
  <si>
    <t>cajas</t>
  </si>
  <si>
    <t>Cajas del punto bajo</t>
  </si>
  <si>
    <t>Mínimo de la columna de cajas</t>
  </si>
  <si>
    <t>Costo del punto alto</t>
  </si>
  <si>
    <t>Costo del mes de mayor volumen</t>
  </si>
  <si>
    <t>S/</t>
  </si>
  <si>
    <t>Se busca el costo que corresponde al volumen máximo.</t>
  </si>
  <si>
    <t>Costo del punto bajo</t>
  </si>
  <si>
    <t>Costo del mes de menor volumen</t>
  </si>
  <si>
    <t>Se busca el costo que corresponde al volumen mínimo.</t>
  </si>
  <si>
    <t>Diferencia de costo</t>
  </si>
  <si>
    <t>Costo alto menos costo bajo</t>
  </si>
  <si>
    <t>Diferencia de volumen</t>
  </si>
  <si>
    <t>Cajas alto menos cajas bajo</t>
  </si>
  <si>
    <t>TASA VARIABLE UNITARIA</t>
  </si>
  <si>
    <t>Diferencia de costo entre diferencia de volumen</t>
  </si>
  <si>
    <t>S/ por caja</t>
  </si>
  <si>
    <t>Lo que cuesta de energía cada caja adicional.</t>
  </si>
  <si>
    <t>COMPONENTE FIJO MENSUAL</t>
  </si>
  <si>
    <t>Costo del punto alto menos tasa variable por cajas del punto alto</t>
  </si>
  <si>
    <t>S/ al mes</t>
  </si>
  <si>
    <t>ECUACIÓN DEL COSTO TOTAL DE ENERGÍA:      Costo = componente fijo + (tasa variable × número de cajas)</t>
  </si>
  <si>
    <t>Escenario</t>
  </si>
  <si>
    <t>Cajas proyectadas</t>
  </si>
  <si>
    <t>Costo de energía proyectado (S/)</t>
  </si>
  <si>
    <t>Fórmula aplicada</t>
  </si>
  <si>
    <t>Mes de campaña escolar</t>
  </si>
  <si>
    <t>Componente fijo (D30) más tasa variable (D29) por las cajas</t>
  </si>
  <si>
    <t>Mes promedio del próximo año</t>
  </si>
  <si>
    <t>Mes de temporada baja</t>
  </si>
  <si>
    <t>La empresa comercializa abarrotes en cajas a bodegas del cono norte de Arequipa. En un mes típico vende 4 000 cajas. A continuación se presentan los 25 desembolsos del mes. 
OBJETO DE COSTO DECLARADO: una caja de abarrotes vendida. Toda la clasificación de la columna «identificación» se hace respecto de ese objeto y no de otro.</t>
  </si>
  <si>
    <t>Para cada concepto si el mes que viene la empresa vende el doble de cajas, ¿este monto sube, se queda igual o sube solo en parte? Sube = variable. Se queda igual = fijo. Sube en parte = semivariable.</t>
  </si>
  <si>
    <t>PARTE 2</t>
  </si>
  <si>
    <t>PARTE 1</t>
  </si>
  <si>
    <t>PARTE 3</t>
  </si>
  <si>
    <t xml:space="preserve">RESUMEN </t>
  </si>
  <si>
    <t>Gasto (sin clasificar)</t>
  </si>
  <si>
    <t>Se toma como base un mes de 4 000 cajas. Los costos variables se recalculan en proporción al volumen; los fijos se mantienen. Los semivariables NO entran todavía en este cuadro.</t>
  </si>
  <si>
    <t xml:space="preserve">CASO: energía eléctrica de Bodega y Distribuidora El Misti S.A.C. </t>
  </si>
  <si>
    <t>Asumiendo que la energía eléctrica es clasificada como semivariable. Separa en sus dos componentes con los doce meses del año anterior. El método de puntos altos y bajos usa solo dos meses: el de mayor y el de menor NIVEL DE ACTIVIDAD, nunca el de mayor o menor costo.</t>
  </si>
  <si>
    <t>Costo del punto alto - cajas del punto alto * Tasa variable unitaria</t>
  </si>
  <si>
    <t>LABORATORIO 1 · CLASIFICACIÓN DE COSTOS Y EFECTO SOBRE EL COSTO UNITARIO</t>
  </si>
  <si>
    <t>LABORATORIO 2 · SEPARACIÓN DE UN COSTO SEMIVARIABLE POR PUNTOS ALTOS Y BAJOS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</si>
</sst>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00"/>
  </numFmts>
  <fonts count="8" x14ac:knownFonts="1">
    <font>
      <sz val="11"/>
      <color theme="1"/>
      <name val="Calibri"/>
      <family val="2"/>
      <charset val="1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0000"/>
      <name val="Arial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Font="1" applyFill="1"/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4" fontId="3" fillId="0" borderId="4" xfId="0" applyNumberFormat="1" applyFont="1" applyFill="1" applyBorder="1" applyAlignment="1">
      <alignment horizontal="right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165" fontId="3" fillId="0" borderId="1" xfId="0" applyNumberFormat="1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3" fontId="7" fillId="0" borderId="1" xfId="0" applyNumberFormat="1" applyFont="1" applyFill="1" applyBorder="1" applyAlignment="1">
      <alignment horizontal="right" vertical="center" wrapText="1"/>
    </xf>
    <xf numFmtId="4" fontId="7" fillId="0" borderId="1" xfId="0" applyNumberFormat="1" applyFont="1" applyFill="1" applyBorder="1" applyAlignment="1">
      <alignment horizontal="right" vertical="center" wrapText="1"/>
    </xf>
    <xf numFmtId="0" fontId="7" fillId="0" borderId="0" xfId="0" applyFont="1" applyFill="1"/>
    <xf numFmtId="0" fontId="6" fillId="0" borderId="0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CE6F1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833C0C"/>
      <rgbColor rgb="FF993366"/>
      <rgbColor rgb="FF2E5C8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4"/>
  <sheetViews>
    <sheetView showGridLines="0" zoomScaleNormal="100" workbookViewId="0">
      <selection activeCell="A2" sqref="A2:F2"/>
    </sheetView>
  </sheetViews>
  <sheetFormatPr baseColWidth="10" defaultColWidth="8.6640625" defaultRowHeight="14.4" x14ac:dyDescent="0.3"/>
  <cols>
    <col min="1" max="1" width="6" style="1" customWidth="1"/>
    <col min="2" max="2" width="52" style="1" customWidth="1"/>
    <col min="3" max="3" width="14" style="1" customWidth="1"/>
    <col min="4" max="5" width="16" style="1" customWidth="1"/>
    <col min="6" max="6" width="52" style="1" customWidth="1"/>
    <col min="7" max="16384" width="8.6640625" style="1"/>
  </cols>
  <sheetData>
    <row r="1" spans="1:6" ht="27.75" customHeight="1" x14ac:dyDescent="0.3">
      <c r="A1" s="32" t="s">
        <v>114</v>
      </c>
      <c r="B1" s="32"/>
      <c r="C1" s="32"/>
      <c r="D1" s="32"/>
      <c r="E1" s="32"/>
      <c r="F1" s="32"/>
    </row>
    <row r="2" spans="1:6" ht="21.75" customHeight="1" x14ac:dyDescent="0.3">
      <c r="A2" s="33" t="s">
        <v>1</v>
      </c>
      <c r="B2" s="33"/>
      <c r="C2" s="33"/>
      <c r="D2" s="33"/>
      <c r="E2" s="33"/>
      <c r="F2" s="33"/>
    </row>
    <row r="3" spans="1:6" ht="31.5" customHeight="1" x14ac:dyDescent="0.3">
      <c r="A3" s="31" t="s">
        <v>103</v>
      </c>
      <c r="B3" s="31"/>
      <c r="C3" s="31"/>
      <c r="D3" s="31"/>
      <c r="E3" s="31"/>
      <c r="F3" s="31"/>
    </row>
    <row r="5" spans="1:6" ht="21.75" customHeight="1" x14ac:dyDescent="0.3">
      <c r="A5" s="30" t="s">
        <v>106</v>
      </c>
      <c r="B5" s="30"/>
      <c r="C5" s="30"/>
      <c r="D5" s="30"/>
      <c r="E5" s="30"/>
      <c r="F5" s="30"/>
    </row>
    <row r="6" spans="1:6" x14ac:dyDescent="0.3">
      <c r="A6" s="34" t="s">
        <v>104</v>
      </c>
      <c r="B6" s="34"/>
      <c r="C6" s="34"/>
      <c r="D6" s="34"/>
      <c r="E6" s="34"/>
      <c r="F6" s="34"/>
    </row>
    <row r="7" spans="1:6" ht="30" customHeight="1" x14ac:dyDescent="0.3">
      <c r="A7" s="10" t="s">
        <v>0</v>
      </c>
      <c r="B7" s="10" t="s">
        <v>2</v>
      </c>
      <c r="C7" s="10" t="s">
        <v>3</v>
      </c>
      <c r="D7" s="10" t="s">
        <v>4</v>
      </c>
      <c r="E7" s="10" t="s">
        <v>5</v>
      </c>
      <c r="F7" s="10" t="s">
        <v>6</v>
      </c>
    </row>
    <row r="8" spans="1:6" ht="21.75" customHeight="1" x14ac:dyDescent="0.3">
      <c r="A8" s="3">
        <v>1</v>
      </c>
      <c r="B8" s="4" t="s">
        <v>7</v>
      </c>
      <c r="C8" s="5">
        <v>48000</v>
      </c>
      <c r="D8" s="3"/>
      <c r="E8" s="3"/>
      <c r="F8" s="4"/>
    </row>
    <row r="9" spans="1:6" ht="21.75" customHeight="1" x14ac:dyDescent="0.3">
      <c r="A9" s="3">
        <v>2</v>
      </c>
      <c r="B9" s="4" t="s">
        <v>8</v>
      </c>
      <c r="C9" s="5">
        <v>2800</v>
      </c>
      <c r="D9" s="3"/>
      <c r="E9" s="3"/>
      <c r="F9" s="4"/>
    </row>
    <row r="10" spans="1:6" ht="21.75" customHeight="1" x14ac:dyDescent="0.3">
      <c r="A10" s="3">
        <v>3</v>
      </c>
      <c r="B10" s="4" t="s">
        <v>9</v>
      </c>
      <c r="C10" s="5">
        <v>3000</v>
      </c>
      <c r="D10" s="3"/>
      <c r="E10" s="3"/>
      <c r="F10" s="4"/>
    </row>
    <row r="11" spans="1:6" ht="21.75" customHeight="1" x14ac:dyDescent="0.3">
      <c r="A11" s="3">
        <v>4</v>
      </c>
      <c r="B11" s="4" t="s">
        <v>10</v>
      </c>
      <c r="C11" s="5">
        <v>2400</v>
      </c>
      <c r="D11" s="3"/>
      <c r="E11" s="3"/>
      <c r="F11" s="4"/>
    </row>
    <row r="12" spans="1:6" ht="21.75" customHeight="1" x14ac:dyDescent="0.3">
      <c r="A12" s="3">
        <v>5</v>
      </c>
      <c r="B12" s="4" t="s">
        <v>11</v>
      </c>
      <c r="C12" s="5">
        <v>2500</v>
      </c>
      <c r="D12" s="3"/>
      <c r="E12" s="3"/>
      <c r="F12" s="4"/>
    </row>
    <row r="13" spans="1:6" ht="21.75" customHeight="1" x14ac:dyDescent="0.3">
      <c r="A13" s="3">
        <v>6</v>
      </c>
      <c r="B13" s="4" t="s">
        <v>12</v>
      </c>
      <c r="C13" s="5">
        <v>640</v>
      </c>
      <c r="D13" s="3"/>
      <c r="E13" s="3"/>
      <c r="F13" s="4"/>
    </row>
    <row r="14" spans="1:6" ht="21.75" customHeight="1" x14ac:dyDescent="0.3">
      <c r="A14" s="3">
        <v>7</v>
      </c>
      <c r="B14" s="4" t="s">
        <v>13</v>
      </c>
      <c r="C14" s="5">
        <v>180</v>
      </c>
      <c r="D14" s="3"/>
      <c r="E14" s="3"/>
      <c r="F14" s="4"/>
    </row>
    <row r="15" spans="1:6" ht="21.75" customHeight="1" x14ac:dyDescent="0.3">
      <c r="A15" s="3">
        <v>8</v>
      </c>
      <c r="B15" s="4" t="s">
        <v>14</v>
      </c>
      <c r="C15" s="5">
        <v>1040</v>
      </c>
      <c r="D15" s="3"/>
      <c r="E15" s="3"/>
      <c r="F15" s="4"/>
    </row>
    <row r="16" spans="1:6" ht="21.75" customHeight="1" x14ac:dyDescent="0.3">
      <c r="A16" s="3">
        <v>9</v>
      </c>
      <c r="B16" s="4" t="s">
        <v>15</v>
      </c>
      <c r="C16" s="5">
        <v>1350</v>
      </c>
      <c r="D16" s="3"/>
      <c r="E16" s="3"/>
      <c r="F16" s="4"/>
    </row>
    <row r="17" spans="1:6" ht="21.75" customHeight="1" x14ac:dyDescent="0.3">
      <c r="A17" s="3">
        <v>10</v>
      </c>
      <c r="B17" s="4" t="s">
        <v>16</v>
      </c>
      <c r="C17" s="5">
        <v>320</v>
      </c>
      <c r="D17" s="3"/>
      <c r="E17" s="3"/>
      <c r="F17" s="4"/>
    </row>
    <row r="18" spans="1:6" ht="21.75" customHeight="1" x14ac:dyDescent="0.3">
      <c r="A18" s="3">
        <v>11</v>
      </c>
      <c r="B18" s="4" t="s">
        <v>17</v>
      </c>
      <c r="C18" s="5">
        <v>210</v>
      </c>
      <c r="D18" s="3"/>
      <c r="E18" s="3"/>
      <c r="F18" s="4"/>
    </row>
    <row r="19" spans="1:6" ht="21.75" customHeight="1" x14ac:dyDescent="0.3">
      <c r="A19" s="3">
        <v>12</v>
      </c>
      <c r="B19" s="4" t="s">
        <v>18</v>
      </c>
      <c r="C19" s="5">
        <v>900</v>
      </c>
      <c r="D19" s="3"/>
      <c r="E19" s="3"/>
      <c r="F19" s="4"/>
    </row>
    <row r="20" spans="1:6" ht="21.75" customHeight="1" x14ac:dyDescent="0.3"/>
    <row r="21" spans="1:6" ht="21.75" customHeight="1" x14ac:dyDescent="0.3">
      <c r="A21" s="30" t="s">
        <v>105</v>
      </c>
      <c r="B21" s="30"/>
      <c r="C21" s="30"/>
      <c r="D21" s="30"/>
      <c r="E21" s="30"/>
      <c r="F21" s="30"/>
    </row>
    <row r="22" spans="1:6" ht="30" customHeight="1" x14ac:dyDescent="0.3">
      <c r="A22" s="10" t="s">
        <v>0</v>
      </c>
      <c r="B22" s="10" t="s">
        <v>2</v>
      </c>
      <c r="C22" s="10" t="s">
        <v>3</v>
      </c>
      <c r="D22" s="10" t="s">
        <v>4</v>
      </c>
      <c r="E22" s="10" t="s">
        <v>5</v>
      </c>
      <c r="F22" s="10" t="s">
        <v>6</v>
      </c>
    </row>
    <row r="23" spans="1:6" ht="21.75" customHeight="1" x14ac:dyDescent="0.3">
      <c r="A23" s="3">
        <v>13</v>
      </c>
      <c r="B23" s="4" t="s">
        <v>19</v>
      </c>
      <c r="C23" s="5">
        <v>780</v>
      </c>
      <c r="D23" s="3"/>
      <c r="E23" s="3"/>
      <c r="F23" s="4"/>
    </row>
    <row r="24" spans="1:6" ht="21.75" customHeight="1" x14ac:dyDescent="0.3">
      <c r="A24" s="3">
        <v>14</v>
      </c>
      <c r="B24" s="4" t="s">
        <v>20</v>
      </c>
      <c r="C24" s="5">
        <v>450</v>
      </c>
      <c r="D24" s="3"/>
      <c r="E24" s="3"/>
      <c r="F24" s="4"/>
    </row>
    <row r="25" spans="1:6" ht="21.75" customHeight="1" x14ac:dyDescent="0.3">
      <c r="A25" s="3">
        <v>15</v>
      </c>
      <c r="B25" s="4" t="s">
        <v>21</v>
      </c>
      <c r="C25" s="5">
        <v>130</v>
      </c>
      <c r="D25" s="3"/>
      <c r="E25" s="3"/>
      <c r="F25" s="4"/>
    </row>
    <row r="26" spans="1:6" ht="21.75" customHeight="1" x14ac:dyDescent="0.3">
      <c r="A26" s="3">
        <v>16</v>
      </c>
      <c r="B26" s="4" t="s">
        <v>22</v>
      </c>
      <c r="C26" s="5">
        <v>190</v>
      </c>
      <c r="D26" s="3"/>
      <c r="E26" s="3"/>
      <c r="F26" s="4"/>
    </row>
    <row r="27" spans="1:6" ht="21.75" customHeight="1" x14ac:dyDescent="0.3">
      <c r="A27" s="3">
        <v>17</v>
      </c>
      <c r="B27" s="4" t="s">
        <v>23</v>
      </c>
      <c r="C27" s="5">
        <v>1120</v>
      </c>
      <c r="D27" s="3"/>
      <c r="E27" s="3"/>
      <c r="F27" s="4"/>
    </row>
    <row r="28" spans="1:6" ht="21.75" customHeight="1" x14ac:dyDescent="0.3">
      <c r="A28" s="3">
        <v>18</v>
      </c>
      <c r="B28" s="4" t="s">
        <v>24</v>
      </c>
      <c r="C28" s="5">
        <v>600</v>
      </c>
      <c r="D28" s="3"/>
      <c r="E28" s="3"/>
      <c r="F28" s="4"/>
    </row>
    <row r="29" spans="1:6" ht="21.75" customHeight="1" x14ac:dyDescent="0.3">
      <c r="A29" s="3">
        <v>19</v>
      </c>
      <c r="B29" s="4" t="s">
        <v>25</v>
      </c>
      <c r="C29" s="5">
        <v>95</v>
      </c>
      <c r="D29" s="3"/>
      <c r="E29" s="3"/>
      <c r="F29" s="4"/>
    </row>
    <row r="30" spans="1:6" ht="21.75" customHeight="1" x14ac:dyDescent="0.3">
      <c r="A30" s="3">
        <v>20</v>
      </c>
      <c r="B30" s="4" t="s">
        <v>26</v>
      </c>
      <c r="C30" s="5">
        <v>520</v>
      </c>
      <c r="D30" s="3"/>
      <c r="E30" s="3"/>
      <c r="F30" s="4"/>
    </row>
    <row r="31" spans="1:6" ht="21.75" customHeight="1" x14ac:dyDescent="0.3">
      <c r="A31" s="3">
        <v>21</v>
      </c>
      <c r="B31" s="4" t="s">
        <v>27</v>
      </c>
      <c r="C31" s="5">
        <v>900</v>
      </c>
      <c r="D31" s="3"/>
      <c r="E31" s="3"/>
      <c r="F31" s="4"/>
    </row>
    <row r="32" spans="1:6" ht="21.75" customHeight="1" x14ac:dyDescent="0.3">
      <c r="A32" s="3">
        <v>22</v>
      </c>
      <c r="B32" s="4" t="s">
        <v>28</v>
      </c>
      <c r="C32" s="5">
        <v>240</v>
      </c>
      <c r="D32" s="3"/>
      <c r="E32" s="3"/>
      <c r="F32" s="4"/>
    </row>
    <row r="33" spans="1:6" ht="21.75" customHeight="1" x14ac:dyDescent="0.3">
      <c r="A33" s="3">
        <v>23</v>
      </c>
      <c r="B33" s="4" t="s">
        <v>29</v>
      </c>
      <c r="C33" s="5">
        <v>150</v>
      </c>
      <c r="D33" s="3"/>
      <c r="E33" s="3"/>
      <c r="F33" s="4"/>
    </row>
    <row r="34" spans="1:6" ht="21.75" customHeight="1" x14ac:dyDescent="0.3">
      <c r="A34" s="3">
        <v>24</v>
      </c>
      <c r="B34" s="4" t="s">
        <v>30</v>
      </c>
      <c r="C34" s="5">
        <v>1500</v>
      </c>
      <c r="D34" s="3"/>
      <c r="E34" s="3"/>
      <c r="F34" s="4"/>
    </row>
    <row r="35" spans="1:6" ht="21.75" customHeight="1" x14ac:dyDescent="0.3">
      <c r="A35" s="3">
        <v>25</v>
      </c>
      <c r="B35" s="4" t="s">
        <v>31</v>
      </c>
      <c r="C35" s="5">
        <v>700</v>
      </c>
      <c r="D35" s="3"/>
      <c r="E35" s="3"/>
      <c r="F35" s="4"/>
    </row>
    <row r="36" spans="1:6" ht="19.5" customHeight="1" x14ac:dyDescent="0.3">
      <c r="A36" s="2"/>
      <c r="B36" s="6" t="s">
        <v>32</v>
      </c>
      <c r="C36" s="7">
        <f>SUM(C8:C35)</f>
        <v>70715</v>
      </c>
      <c r="D36" s="2"/>
      <c r="E36" s="2"/>
      <c r="F36" s="6"/>
    </row>
    <row r="39" spans="1:6" ht="21.75" customHeight="1" x14ac:dyDescent="0.3">
      <c r="A39" s="28" t="s">
        <v>108</v>
      </c>
      <c r="B39" s="29"/>
    </row>
    <row r="40" spans="1:6" ht="30" customHeight="1" x14ac:dyDescent="0.3">
      <c r="A40" s="10"/>
      <c r="B40" s="10" t="s">
        <v>4</v>
      </c>
      <c r="C40" s="10" t="s">
        <v>33</v>
      </c>
      <c r="D40" s="10" t="s">
        <v>34</v>
      </c>
      <c r="E40" s="10" t="s">
        <v>35</v>
      </c>
    </row>
    <row r="41" spans="1:6" ht="19.5" customHeight="1" x14ac:dyDescent="0.3">
      <c r="A41" s="3"/>
      <c r="B41" s="4" t="s">
        <v>36</v>
      </c>
      <c r="C41" s="5"/>
      <c r="D41" s="8"/>
      <c r="E41" s="3"/>
    </row>
    <row r="42" spans="1:6" ht="19.5" customHeight="1" x14ac:dyDescent="0.3">
      <c r="A42" s="3"/>
      <c r="B42" s="4" t="s">
        <v>37</v>
      </c>
      <c r="C42" s="5"/>
      <c r="D42" s="8"/>
      <c r="E42" s="3"/>
    </row>
    <row r="43" spans="1:6" ht="19.5" customHeight="1" x14ac:dyDescent="0.3">
      <c r="A43" s="3"/>
      <c r="B43" s="4" t="s">
        <v>38</v>
      </c>
      <c r="C43" s="5"/>
      <c r="D43" s="8"/>
      <c r="E43" s="3"/>
    </row>
    <row r="44" spans="1:6" ht="19.5" customHeight="1" x14ac:dyDescent="0.3">
      <c r="A44" s="3"/>
      <c r="B44" s="4" t="s">
        <v>109</v>
      </c>
      <c r="C44" s="5"/>
      <c r="D44" s="3"/>
      <c r="E44" s="3"/>
    </row>
    <row r="46" spans="1:6" x14ac:dyDescent="0.3">
      <c r="A46" s="30" t="s">
        <v>107</v>
      </c>
      <c r="B46" s="30"/>
      <c r="C46" s="30"/>
      <c r="D46" s="30"/>
      <c r="E46" s="30"/>
      <c r="F46" s="30"/>
    </row>
    <row r="47" spans="1:6" x14ac:dyDescent="0.3">
      <c r="A47" s="31" t="s">
        <v>110</v>
      </c>
      <c r="B47" s="31"/>
      <c r="C47" s="31"/>
      <c r="D47" s="31"/>
      <c r="E47" s="31"/>
      <c r="F47" s="31"/>
    </row>
    <row r="48" spans="1:6" ht="30" customHeight="1" x14ac:dyDescent="0.3">
      <c r="A48" s="11"/>
      <c r="B48" s="11" t="s">
        <v>39</v>
      </c>
      <c r="C48" s="11" t="s">
        <v>40</v>
      </c>
      <c r="D48" s="11" t="s">
        <v>41</v>
      </c>
      <c r="E48" s="11" t="s">
        <v>42</v>
      </c>
    </row>
    <row r="49" spans="1:5" ht="19.5" customHeight="1" x14ac:dyDescent="0.3">
      <c r="A49" s="3"/>
      <c r="B49" s="4" t="s">
        <v>43</v>
      </c>
      <c r="C49" s="5"/>
      <c r="D49" s="5"/>
      <c r="E49" s="5"/>
    </row>
    <row r="50" spans="1:5" ht="19.5" customHeight="1" x14ac:dyDescent="0.3">
      <c r="A50" s="3"/>
      <c r="B50" s="4" t="s">
        <v>44</v>
      </c>
      <c r="C50" s="5"/>
      <c r="D50" s="5"/>
      <c r="E50" s="5"/>
    </row>
    <row r="51" spans="1:5" ht="19.5" customHeight="1" x14ac:dyDescent="0.3">
      <c r="A51" s="2"/>
      <c r="B51" s="6" t="s">
        <v>45</v>
      </c>
      <c r="C51" s="7"/>
      <c r="D51" s="7"/>
      <c r="E51" s="7"/>
    </row>
    <row r="52" spans="1:5" ht="19.5" customHeight="1" x14ac:dyDescent="0.3">
      <c r="A52" s="3"/>
      <c r="B52" s="4" t="s">
        <v>46</v>
      </c>
      <c r="C52" s="5"/>
      <c r="D52" s="5"/>
      <c r="E52" s="5"/>
    </row>
    <row r="53" spans="1:5" ht="19.5" customHeight="1" x14ac:dyDescent="0.3">
      <c r="A53" s="3"/>
      <c r="B53" s="4" t="s">
        <v>47</v>
      </c>
      <c r="C53" s="5"/>
      <c r="D53" s="5"/>
      <c r="E53" s="5"/>
    </row>
    <row r="54" spans="1:5" ht="19.5" customHeight="1" x14ac:dyDescent="0.3">
      <c r="A54" s="2"/>
      <c r="B54" s="6" t="s">
        <v>48</v>
      </c>
      <c r="C54" s="7"/>
      <c r="D54" s="7"/>
      <c r="E54" s="7"/>
    </row>
  </sheetData>
  <mergeCells count="9">
    <mergeCell ref="A39:B39"/>
    <mergeCell ref="A21:F21"/>
    <mergeCell ref="A46:F46"/>
    <mergeCell ref="A47:F47"/>
    <mergeCell ref="A1:F1"/>
    <mergeCell ref="A2:F2"/>
    <mergeCell ref="A3:F3"/>
    <mergeCell ref="A5:F5"/>
    <mergeCell ref="A6:F6"/>
  </mergeCells>
  <dataValidations count="2">
    <dataValidation type="list" allowBlank="1" sqref="D23:D35 D8:D19" xr:uid="{00000000-0002-0000-0100-000000000000}">
      <formula1>"Fijo,Variable,Semivariable"</formula1>
      <formula2>0</formula2>
    </dataValidation>
    <dataValidation type="list" allowBlank="1" sqref="E23:E35 E8:E19" xr:uid="{00000000-0002-0000-0100-000001000000}">
      <formula1>"Directo,Indirecto"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7"/>
  <sheetViews>
    <sheetView showGridLines="0" tabSelected="1" zoomScaleNormal="100" workbookViewId="0">
      <selection activeCell="D9" sqref="D9"/>
    </sheetView>
  </sheetViews>
  <sheetFormatPr baseColWidth="10" defaultColWidth="8.6640625" defaultRowHeight="14.4" x14ac:dyDescent="0.3"/>
  <cols>
    <col min="1" max="1" width="6" style="1" customWidth="1"/>
    <col min="2" max="2" width="26" style="1" customWidth="1"/>
    <col min="3" max="4" width="18" style="1" customWidth="1"/>
    <col min="5" max="5" width="22.33203125" style="1" customWidth="1"/>
    <col min="6" max="6" width="52" style="1" customWidth="1"/>
    <col min="7" max="16384" width="8.6640625" style="1"/>
  </cols>
  <sheetData>
    <row r="1" spans="1:6" ht="27.75" customHeight="1" x14ac:dyDescent="0.3">
      <c r="A1" s="32" t="s">
        <v>115</v>
      </c>
      <c r="B1" s="32"/>
      <c r="C1" s="32"/>
      <c r="D1" s="32"/>
      <c r="E1" s="32"/>
      <c r="F1" s="32"/>
    </row>
    <row r="2" spans="1:6" ht="21.75" customHeight="1" x14ac:dyDescent="0.3">
      <c r="A2" s="33" t="s">
        <v>111</v>
      </c>
      <c r="B2" s="33"/>
      <c r="C2" s="33"/>
      <c r="D2" s="33"/>
      <c r="E2" s="33"/>
      <c r="F2" s="33"/>
    </row>
    <row r="3" spans="1:6" ht="31.5" customHeight="1" x14ac:dyDescent="0.3">
      <c r="A3" s="31" t="s">
        <v>112</v>
      </c>
      <c r="B3" s="31"/>
      <c r="C3" s="31"/>
      <c r="D3" s="31"/>
      <c r="E3" s="31"/>
      <c r="F3" s="31"/>
    </row>
    <row r="5" spans="1:6" ht="21.75" customHeight="1" x14ac:dyDescent="0.3">
      <c r="A5" s="27" t="s">
        <v>106</v>
      </c>
      <c r="B5" s="12"/>
      <c r="C5" s="12"/>
      <c r="D5" s="12"/>
      <c r="E5" s="12"/>
      <c r="F5" s="12"/>
    </row>
    <row r="6" spans="1:6" ht="24" customHeight="1" x14ac:dyDescent="0.3">
      <c r="A6" s="31" t="s">
        <v>49</v>
      </c>
      <c r="B6" s="31"/>
      <c r="C6" s="31"/>
      <c r="D6" s="31"/>
      <c r="E6" s="31"/>
      <c r="F6" s="31"/>
    </row>
    <row r="7" spans="1:6" ht="30" customHeight="1" x14ac:dyDescent="0.3">
      <c r="A7" s="11" t="s">
        <v>0</v>
      </c>
      <c r="B7" s="11" t="s">
        <v>50</v>
      </c>
      <c r="C7" s="11" t="s">
        <v>51</v>
      </c>
      <c r="D7" s="11" t="s">
        <v>52</v>
      </c>
      <c r="E7" s="11" t="s">
        <v>53</v>
      </c>
    </row>
    <row r="8" spans="1:6" ht="19.5" customHeight="1" x14ac:dyDescent="0.3">
      <c r="A8" s="3">
        <v>1</v>
      </c>
      <c r="B8" s="4" t="s">
        <v>54</v>
      </c>
      <c r="C8" s="9">
        <v>1850</v>
      </c>
      <c r="D8" s="5">
        <v>972</v>
      </c>
      <c r="E8" s="3"/>
    </row>
    <row r="9" spans="1:6" ht="19.5" customHeight="1" x14ac:dyDescent="0.3">
      <c r="A9" s="3">
        <v>2</v>
      </c>
      <c r="B9" s="4" t="s">
        <v>55</v>
      </c>
      <c r="C9" s="9">
        <v>2100</v>
      </c>
      <c r="D9" s="5">
        <v>1060</v>
      </c>
      <c r="E9" s="3"/>
    </row>
    <row r="10" spans="1:6" ht="19.5" customHeight="1" x14ac:dyDescent="0.3">
      <c r="A10" s="3">
        <v>3</v>
      </c>
      <c r="B10" s="4" t="s">
        <v>56</v>
      </c>
      <c r="C10" s="9">
        <v>2480</v>
      </c>
      <c r="D10" s="5">
        <v>1170</v>
      </c>
      <c r="E10" s="3"/>
    </row>
    <row r="11" spans="1:6" ht="19.5" customHeight="1" x14ac:dyDescent="0.3">
      <c r="A11" s="3">
        <v>4</v>
      </c>
      <c r="B11" s="4" t="s">
        <v>57</v>
      </c>
      <c r="C11" s="9">
        <v>1200</v>
      </c>
      <c r="D11" s="5">
        <v>764</v>
      </c>
      <c r="E11" s="3"/>
    </row>
    <row r="12" spans="1:6" ht="19.5" customHeight="1" x14ac:dyDescent="0.3">
      <c r="A12" s="3">
        <v>5</v>
      </c>
      <c r="B12" s="4" t="s">
        <v>58</v>
      </c>
      <c r="C12" s="9">
        <v>1640</v>
      </c>
      <c r="D12" s="5">
        <v>910</v>
      </c>
      <c r="E12" s="3"/>
    </row>
    <row r="13" spans="1:6" ht="19.5" customHeight="1" x14ac:dyDescent="0.3">
      <c r="A13" s="3">
        <v>6</v>
      </c>
      <c r="B13" s="4" t="s">
        <v>59</v>
      </c>
      <c r="C13" s="9">
        <v>2050</v>
      </c>
      <c r="D13" s="5">
        <v>1030</v>
      </c>
      <c r="E13" s="3"/>
    </row>
    <row r="14" spans="1:6" ht="19.5" customHeight="1" x14ac:dyDescent="0.3">
      <c r="A14" s="3">
        <v>7</v>
      </c>
      <c r="B14" s="4" t="s">
        <v>60</v>
      </c>
      <c r="C14" s="9">
        <v>2760</v>
      </c>
      <c r="D14" s="5">
        <v>1258</v>
      </c>
      <c r="E14" s="3"/>
    </row>
    <row r="15" spans="1:6" ht="19.5" customHeight="1" x14ac:dyDescent="0.3">
      <c r="A15" s="3">
        <v>8</v>
      </c>
      <c r="B15" s="4" t="s">
        <v>61</v>
      </c>
      <c r="C15" s="9">
        <v>3000</v>
      </c>
      <c r="D15" s="5">
        <v>1340</v>
      </c>
      <c r="E15" s="3"/>
    </row>
    <row r="16" spans="1:6" ht="19.5" customHeight="1" x14ac:dyDescent="0.3">
      <c r="A16" s="3">
        <v>9</v>
      </c>
      <c r="B16" s="4" t="s">
        <v>62</v>
      </c>
      <c r="C16" s="9">
        <v>2300</v>
      </c>
      <c r="D16" s="5">
        <v>1120</v>
      </c>
      <c r="E16" s="3"/>
    </row>
    <row r="17" spans="1:6" ht="19.5" customHeight="1" x14ac:dyDescent="0.3">
      <c r="A17" s="3">
        <v>10</v>
      </c>
      <c r="B17" s="4" t="s">
        <v>63</v>
      </c>
      <c r="C17" s="9">
        <v>1950</v>
      </c>
      <c r="D17" s="5">
        <v>1008</v>
      </c>
      <c r="E17" s="3"/>
    </row>
    <row r="18" spans="1:6" ht="19.5" customHeight="1" x14ac:dyDescent="0.3">
      <c r="A18" s="3">
        <v>11</v>
      </c>
      <c r="B18" s="4" t="s">
        <v>64</v>
      </c>
      <c r="C18" s="9">
        <v>2620</v>
      </c>
      <c r="D18" s="5">
        <v>1215</v>
      </c>
      <c r="E18" s="3"/>
    </row>
    <row r="19" spans="1:6" ht="19.5" customHeight="1" x14ac:dyDescent="0.3">
      <c r="A19" s="3">
        <v>12</v>
      </c>
      <c r="B19" s="4" t="s">
        <v>65</v>
      </c>
      <c r="C19" s="9">
        <v>2900</v>
      </c>
      <c r="D19" s="5">
        <v>1305</v>
      </c>
      <c r="E19" s="3"/>
    </row>
    <row r="21" spans="1:6" ht="21.75" customHeight="1" x14ac:dyDescent="0.3">
      <c r="A21" s="27" t="s">
        <v>105</v>
      </c>
      <c r="B21" s="27"/>
      <c r="C21" s="27"/>
      <c r="D21" s="27"/>
      <c r="E21" s="27"/>
      <c r="F21" s="27"/>
    </row>
    <row r="22" spans="1:6" ht="30" customHeight="1" x14ac:dyDescent="0.3">
      <c r="A22" s="14"/>
      <c r="B22" s="14" t="s">
        <v>66</v>
      </c>
      <c r="C22" s="14" t="s">
        <v>67</v>
      </c>
      <c r="D22" s="14" t="s">
        <v>68</v>
      </c>
      <c r="E22" s="14" t="s">
        <v>69</v>
      </c>
      <c r="F22" s="14" t="s">
        <v>70</v>
      </c>
    </row>
    <row r="23" spans="1:6" ht="21.75" customHeight="1" x14ac:dyDescent="0.3">
      <c r="A23" s="13"/>
      <c r="B23" s="15" t="s">
        <v>71</v>
      </c>
      <c r="C23" s="15" t="s">
        <v>72</v>
      </c>
      <c r="D23" s="16"/>
      <c r="E23" s="17" t="s">
        <v>73</v>
      </c>
      <c r="F23" s="15"/>
    </row>
    <row r="24" spans="1:6" ht="21.75" customHeight="1" x14ac:dyDescent="0.3">
      <c r="A24" s="3"/>
      <c r="B24" s="18" t="s">
        <v>74</v>
      </c>
      <c r="C24" s="18" t="s">
        <v>75</v>
      </c>
      <c r="D24" s="19"/>
      <c r="E24" s="20" t="s">
        <v>73</v>
      </c>
      <c r="F24" s="18"/>
    </row>
    <row r="25" spans="1:6" ht="21.75" customHeight="1" x14ac:dyDescent="0.3">
      <c r="A25" s="3"/>
      <c r="B25" s="18" t="s">
        <v>76</v>
      </c>
      <c r="C25" s="18" t="s">
        <v>77</v>
      </c>
      <c r="D25" s="19"/>
      <c r="E25" s="20" t="s">
        <v>78</v>
      </c>
      <c r="F25" s="18" t="s">
        <v>79</v>
      </c>
    </row>
    <row r="26" spans="1:6" ht="21.75" customHeight="1" x14ac:dyDescent="0.3">
      <c r="A26" s="3"/>
      <c r="B26" s="18" t="s">
        <v>80</v>
      </c>
      <c r="C26" s="18" t="s">
        <v>81</v>
      </c>
      <c r="D26" s="19"/>
      <c r="E26" s="20" t="s">
        <v>78</v>
      </c>
      <c r="F26" s="18" t="s">
        <v>82</v>
      </c>
    </row>
    <row r="27" spans="1:6" ht="21.75" customHeight="1" x14ac:dyDescent="0.3">
      <c r="A27" s="3"/>
      <c r="B27" s="18" t="s">
        <v>83</v>
      </c>
      <c r="C27" s="18" t="s">
        <v>84</v>
      </c>
      <c r="D27" s="19"/>
      <c r="E27" s="20" t="s">
        <v>78</v>
      </c>
      <c r="F27" s="18"/>
    </row>
    <row r="28" spans="1:6" ht="21.75" customHeight="1" x14ac:dyDescent="0.3">
      <c r="A28" s="3"/>
      <c r="B28" s="18" t="s">
        <v>85</v>
      </c>
      <c r="C28" s="18" t="s">
        <v>86</v>
      </c>
      <c r="D28" s="19"/>
      <c r="E28" s="20" t="s">
        <v>73</v>
      </c>
      <c r="F28" s="18"/>
    </row>
    <row r="29" spans="1:6" ht="21.75" customHeight="1" x14ac:dyDescent="0.3">
      <c r="A29" s="3"/>
      <c r="B29" s="18" t="s">
        <v>87</v>
      </c>
      <c r="C29" s="18" t="s">
        <v>88</v>
      </c>
      <c r="D29" s="21"/>
      <c r="E29" s="20" t="s">
        <v>89</v>
      </c>
      <c r="F29" s="18" t="s">
        <v>90</v>
      </c>
    </row>
    <row r="30" spans="1:6" ht="21.75" customHeight="1" x14ac:dyDescent="0.3">
      <c r="A30" s="3"/>
      <c r="B30" s="18" t="s">
        <v>91</v>
      </c>
      <c r="C30" s="18" t="s">
        <v>92</v>
      </c>
      <c r="D30" s="19"/>
      <c r="E30" s="20" t="s">
        <v>93</v>
      </c>
      <c r="F30" s="18" t="s">
        <v>113</v>
      </c>
    </row>
    <row r="32" spans="1:6" ht="21.75" customHeight="1" x14ac:dyDescent="0.3">
      <c r="A32" s="27" t="s">
        <v>107</v>
      </c>
      <c r="B32" s="27"/>
      <c r="C32" s="27"/>
      <c r="D32" s="27"/>
      <c r="E32" s="27"/>
      <c r="F32" s="27"/>
    </row>
    <row r="33" spans="1:6" ht="24" customHeight="1" x14ac:dyDescent="0.3">
      <c r="A33" s="35" t="s">
        <v>94</v>
      </c>
      <c r="B33" s="35"/>
      <c r="C33" s="35"/>
      <c r="D33" s="35"/>
      <c r="E33" s="35"/>
      <c r="F33" s="35"/>
    </row>
    <row r="34" spans="1:6" ht="30" customHeight="1" x14ac:dyDescent="0.3">
      <c r="A34" s="11"/>
      <c r="B34" s="11" t="s">
        <v>95</v>
      </c>
      <c r="C34" s="11" t="s">
        <v>96</v>
      </c>
      <c r="D34" s="11" t="s">
        <v>97</v>
      </c>
      <c r="E34" s="11" t="s">
        <v>98</v>
      </c>
      <c r="F34" s="26"/>
    </row>
    <row r="35" spans="1:6" s="26" customFormat="1" ht="29.4" customHeight="1" x14ac:dyDescent="0.25">
      <c r="A35" s="22"/>
      <c r="B35" s="23" t="s">
        <v>99</v>
      </c>
      <c r="C35" s="24">
        <v>3400</v>
      </c>
      <c r="D35" s="25"/>
      <c r="E35" s="23" t="s">
        <v>100</v>
      </c>
    </row>
    <row r="36" spans="1:6" s="26" customFormat="1" ht="29.4" customHeight="1" x14ac:dyDescent="0.25">
      <c r="A36" s="22"/>
      <c r="B36" s="23" t="s">
        <v>101</v>
      </c>
      <c r="C36" s="24">
        <v>2450</v>
      </c>
      <c r="D36" s="25"/>
      <c r="E36" s="23" t="s">
        <v>100</v>
      </c>
    </row>
    <row r="37" spans="1:6" s="26" customFormat="1" ht="29.4" customHeight="1" x14ac:dyDescent="0.25">
      <c r="A37" s="22"/>
      <c r="B37" s="23" t="s">
        <v>102</v>
      </c>
      <c r="C37" s="24">
        <v>1100</v>
      </c>
      <c r="D37" s="25"/>
      <c r="E37" s="23" t="s">
        <v>100</v>
      </c>
    </row>
  </sheetData>
  <mergeCells count="5">
    <mergeCell ref="A33:F33"/>
    <mergeCell ref="A1:F1"/>
    <mergeCell ref="A2:F2"/>
    <mergeCell ref="A3:F3"/>
    <mergeCell ref="A6:F6"/>
  </mergeCells>
  <dataValidations count="1">
    <dataValidation type="list" allowBlank="1" sqref="E8:E19" xr:uid="{00000000-0002-0000-0300-000000000000}">
      <formula1>"ALTO,BAJO"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LAB 1</vt:lpstr>
      <vt:lpstr>LAB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Usuario</cp:lastModifiedBy>
  <cp:revision>0</cp:revision>
  <dcterms:created xsi:type="dcterms:W3CDTF">2026-08-20T13:30:39Z</dcterms:created>
  <dcterms:modified xsi:type="dcterms:W3CDTF">2026-08-20T20:52:11Z</dcterms:modified>
  <dc:language>en-US</dc:language>
</cp:coreProperties>
</file>