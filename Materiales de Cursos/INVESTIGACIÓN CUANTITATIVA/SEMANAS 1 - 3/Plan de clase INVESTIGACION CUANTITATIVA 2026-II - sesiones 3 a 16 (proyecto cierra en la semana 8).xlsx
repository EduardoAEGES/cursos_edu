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INVESTIGACIÓN CUANTITATIVA\"/>
    </mc:Choice>
  </mc:AlternateContent>
  <xr:revisionPtr revIDLastSave="0" documentId="13_ncr:1_{6A6B12F6-D48F-4232-ABBA-4732C851B15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ORTADA" sheetId="1" r:id="rId1"/>
    <sheet name="PLAN DETALLADO" sheetId="2" r:id="rId2"/>
    <sheet name="RESUMEN POR SESIÓN" sheetId="3" r:id="rId3"/>
    <sheet name="MAPA CURSO Y PROYECTO" sheetId="4" r:id="rId4"/>
    <sheet name="CONTROL DE AVANCE" sheetId="5" r:id="rId5"/>
    <sheet name="ADELANTOS PUNTUALES" sheetId="6" r:id="rId6"/>
    <sheet name="SEMANAS 9 A 16" sheetId="7" r:id="rId7"/>
  </sheets>
  <definedNames>
    <definedName name="_xlnm.Print_Titles" localSheetId="1">'PLAN DETALLADO'!$2:$2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6" l="1"/>
  <c r="G10" i="6" s="1"/>
  <c r="F17" i="5"/>
  <c r="O17" i="3"/>
  <c r="N17" i="3"/>
  <c r="M17" i="3"/>
  <c r="L17" i="3"/>
  <c r="K17" i="3"/>
  <c r="E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G155" i="2"/>
  <c r="G144" i="2"/>
  <c r="G132" i="2"/>
  <c r="G121" i="2"/>
  <c r="G110" i="2"/>
  <c r="G101" i="2"/>
  <c r="G90" i="2"/>
  <c r="G81" i="2"/>
  <c r="G70" i="2"/>
  <c r="G60" i="2"/>
  <c r="G47" i="2"/>
  <c r="G37" i="2"/>
  <c r="G24" i="2"/>
  <c r="G15" i="2"/>
</calcChain>
</file>

<file path=xl/sharedStrings.xml><?xml version="1.0" encoding="utf-8"?>
<sst xmlns="http://schemas.openxmlformats.org/spreadsheetml/2006/main" count="2160" uniqueCount="924">
  <si>
    <t>PLAN DE CLASE DETALLADO POR MINUTOS</t>
  </si>
  <si>
    <t>INVESTIGACIÓN CUANTITATIVA · Sesiones 3 a 16 (semanas 2 a 8) · 2026-II · El componente cuantitativo del proyecto cierra en la semana 8</t>
  </si>
  <si>
    <t>Unidad didáctica</t>
  </si>
  <si>
    <t>INVESTIGACIÓN CUANTITATIVA</t>
  </si>
  <si>
    <t>Programa de estudios</t>
  </si>
  <si>
    <t>MARKETING</t>
  </si>
  <si>
    <t>Ciclo</t>
  </si>
  <si>
    <t>Segundo ciclo</t>
  </si>
  <si>
    <t>Docente</t>
  </si>
  <si>
    <t>Eduardo Luis Mamani Roque</t>
  </si>
  <si>
    <t>Período académico</t>
  </si>
  <si>
    <t>2026-II</t>
  </si>
  <si>
    <t>Unidad de competencia</t>
  </si>
  <si>
    <t>UC1: Analizar el mercado, de acuerdo a las variables del entorno del negocio, público objetivo y recursos disponibles.</t>
  </si>
  <si>
    <t>Horario</t>
  </si>
  <si>
    <t>Martes 14:30–16:45 (135 minutos · 3 horas académicas)   ·   Miércoles 15:15–16:45 (90 minutos · 2 horas académicas)</t>
  </si>
  <si>
    <t>Alcance de este plan</t>
  </si>
  <si>
    <t>14 sesiones · semanas 2 a 8 · 125 tramos · 1 575 minutos lectivos, de los cuales 70 corresponden a adelantos puntuales</t>
  </si>
  <si>
    <t>Fuente del contenido</t>
  </si>
  <si>
    <t>Los temas y subtemas de cada sesión se transcriben literalmente del CONTROL DE AVANCE SILÁBICO de la unidad didáctica (columna «Actividades de Aprendizaje»). No se agrega ni se quita contenido del sílabo.</t>
  </si>
  <si>
    <t>Proyecto integrador</t>
  </si>
  <si>
    <t>Proyecto Final MKT 2: innovación de producto con enfoque sostenible. Este plan desarrolla únicamente los puntos del informe que le competen a Investigación Cuantitativa, y los cierra todos al terminar la semana 8.</t>
  </si>
  <si>
    <t>LOS DOCE PUNTOS DEL INFORME QUE QUEDAN CERRADOS AL TERMINAR LA SEMANA 8</t>
  </si>
  <si>
    <t>2.2.1</t>
  </si>
  <si>
    <t>Planteamiento del problema, variables e hipótesis. Cierra en la sesión 5.</t>
  </si>
  <si>
    <t>2.2.2</t>
  </si>
  <si>
    <t>Técnicas de muestreo y determinación del tamaño de la muestra. Cierra en la sesión 8.</t>
  </si>
  <si>
    <t>2.2.3</t>
  </si>
  <si>
    <t>Diseño del cuestionario, tipos de preguntas y escala de Likert. Se construye en la sesión 6 y cierra en la sesión 12.</t>
  </si>
  <si>
    <t>2.3</t>
  </si>
  <si>
    <t>Resultados de la investigación: ficha técnica y margen de error real. Cierra en la sesión 16.</t>
  </si>
  <si>
    <t>2.3.1</t>
  </si>
  <si>
    <t>Procesamiento y organización de datos. Cierra en la sesión 14.</t>
  </si>
  <si>
    <t>2.3.2</t>
  </si>
  <si>
    <t>Análisis con estadística descriptiva y visualización. Cierra en la sesión 16.</t>
  </si>
  <si>
    <t>2.3.3</t>
  </si>
  <si>
    <t>Intervalos de confianza y pruebas de hipótesis. ADELANTADO desde la semana 10. Cierra en la sesión 16.</t>
  </si>
  <si>
    <t>2.4</t>
  </si>
  <si>
    <t>Determinación del público objetivo. ADELANTADO desde la semana 14. Borrador redactado en la sesión 16.</t>
  </si>
  <si>
    <t>2.4.1</t>
  </si>
  <si>
    <t>Segmentación, hábitos y actitudes del consumidor. ADELANTADO desde la semana 11. Borrador redactado en la sesión 16.</t>
  </si>
  <si>
    <t>2.5.1</t>
  </si>
  <si>
    <t>Imagen y posicionamiento de marca actual. ADELANTADO desde la semana 13. Borrador redactado en la sesión 16.</t>
  </si>
  <si>
    <t>2.6.1</t>
  </si>
  <si>
    <t>Estudio del producto: percepción, uso y satisfacción. ADELANTADO desde la semana 12. Borrador redactado en la sesión 16.</t>
  </si>
  <si>
    <t>Anexos A.2 y A.3</t>
  </si>
  <si>
    <t>Instrumento con su validación y pre-test, base de datos y libro de códigos. Cierran en las sesiones 12 y 16.</t>
  </si>
  <si>
    <t>CÓMO SE LOGRA CERRAR EL PROYECTO EN LA SEMANA 8</t>
  </si>
  <si>
    <t>El temario del sílabo no se altera</t>
  </si>
  <si>
    <t>Cada sesión conserva la actividad, el tema, los subtemas y el instrumento de evaluación tal como figuran en el control de avance silábico de la unidad didáctica. El plan no cambia el orden ni el contenido oficial del curso.</t>
  </si>
  <si>
    <t>Se adelanta lo mínimo, no la semana entera</t>
  </si>
  <si>
    <t>Seis microenseñanzas condensadas, de 10 a 15 minutos cada una, adelantan solo el alcance que el proyecto necesita para no detenerse. Suman 70 minutos, el 4,4% del tiempo lectivo. El detalle está en la hoja ADELANTOS PUNTUALES.</t>
  </si>
  <si>
    <t>El instrumento sale completo a la primera</t>
  </si>
  <si>
    <t>El cuestionario se termina en la sesión 6 con todos sus bloques, incluidos los de producto, imagen y segmentación, porque una pregunta no formulada no se recupera después de que la encuesta está en la calle.</t>
  </si>
  <si>
    <t>La teoría del sílabo llega después y corrige</t>
  </si>
  <si>
    <t>En las semanas 6 a 8 los equipos auditan y analizan lo que ya aplicaron. De la semana 9 en adelante el curso desarrolla cada tema en profundidad y los equipos vuelven sobre su propio trabajo, según la hoja SEMANAS 9 A 16.</t>
  </si>
  <si>
    <t>Regla de los diez minutos</t>
  </si>
  <si>
    <t>Ninguna exposición del docente supera los diez minutos seguidos. Después de cada microexplicación hay una actividad del estudiante.</t>
  </si>
  <si>
    <t>Evidencia por sesión</t>
  </si>
  <si>
    <t>Toda sesión produce una evidencia observable: ficha resuelta, hoja de cálculo, formulario publicado o texto redactado. Cada sesión reserva cinco minutos de holgura.</t>
  </si>
  <si>
    <t>Leyenda de colores</t>
  </si>
  <si>
    <t>Inicio (ámbar)   ·   Desarrollo (verde)   ·   Cierre (naranja)   ·   Bloque del proyecto integrador (azul)   ·   Adelanto puntual (lila)   ·   Evaluación calificada (salmón)</t>
  </si>
  <si>
    <t>Hojas del archivo</t>
  </si>
  <si>
    <t>PLAN DETALLADO (tramo por tramo)  ·  RESUMEN POR SESIÓN  ·  MAPA CURSO Y PROYECTO  ·  ADELANTOS PUNTUALES  ·  SEMANAS 9 A 16  ·  CONTROL DE AVANCE</t>
  </si>
  <si>
    <t>INVESTIGACIÓN CUANTITATIVA · MARKETING · 2026-II — PLAN DE CLASE DETALLADO POR MINUTOS · SESIONES 3 A 16</t>
  </si>
  <si>
    <t>SEM</t>
  </si>
  <si>
    <t>SESIÓN</t>
  </si>
  <si>
    <t>FECHA</t>
  </si>
  <si>
    <t>DÍA</t>
  </si>
  <si>
    <t>INICIO</t>
  </si>
  <si>
    <t>FIN</t>
  </si>
  <si>
    <t>MIN</t>
  </si>
  <si>
    <t>MOMENTO</t>
  </si>
  <si>
    <t>CONTENIDO DEL SÍLABO / BLOQUE</t>
  </si>
  <si>
    <t>ACTIVIDAD DETALLADA (qué se hace, paso a paso)</t>
  </si>
  <si>
    <t>PUNTO DEL INFORME QUE AVANZA</t>
  </si>
  <si>
    <t>TÉCNICA ACTIVA</t>
  </si>
  <si>
    <t>AGRUPACIÓN</t>
  </si>
  <si>
    <t>PROTAGONISTA</t>
  </si>
  <si>
    <t>RECURSOS</t>
  </si>
  <si>
    <t>EVIDENCIA / PRODUCTO</t>
  </si>
  <si>
    <t>SESIÓN 3  ·  SEMANA 2  ·  Martes 25/08/2026  ·  Actividad 2: Planteamiento de la investigación cuantitativa  —  Tema: Formulación del problema de investigación de mercados   |   • Definición del planteamiento cuantitativo.   • Formulación del problema y objetivos de la investigación.   |   Instrumento de evaluación: Rúbrica de formulación del problema y objetivos (Avance 1 del proyecto)</t>
  </si>
  <si>
    <t>25/08/2026</t>
  </si>
  <si>
    <t>Martes</t>
  </si>
  <si>
    <t>14:30</t>
  </si>
  <si>
    <t>14:35</t>
  </si>
  <si>
    <t>Inicio</t>
  </si>
  <si>
    <t>Encuadre de la sesión</t>
  </si>
  <si>
    <t>—</t>
  </si>
  <si>
    <t>Agenda visible</t>
  </si>
  <si>
    <t>Plenaria</t>
  </si>
  <si>
    <t>Proyector, diapositivas</t>
  </si>
  <si>
    <t>14:50</t>
  </si>
  <si>
    <t>Conflicto cognitivo: tres problemas mal formulados</t>
  </si>
  <si>
    <t>Se proyectan tres enunciados gerenciales reales: «necesitamos vender más», «la gente no nos conoce» y «hay que bajar el precio». Cada estudiante escribe si son investigables con datos y por qué. Se leen tres respuestas opuestas sin corregirlas aún.</t>
  </si>
  <si>
    <t>Pregunta detonante y muro de ideas</t>
  </si>
  <si>
    <t>Individual</t>
  </si>
  <si>
    <t>Estudiante</t>
  </si>
  <si>
    <t>Proyector, diapositivas, papeles adhesivos</t>
  </si>
  <si>
    <t>Papel adhesivo con la respuesta inicial</t>
  </si>
  <si>
    <t>15:00</t>
  </si>
  <si>
    <t>Desarrollo</t>
  </si>
  <si>
    <t>Definición del planteamiento cuantitativo</t>
  </si>
  <si>
    <t>Microexplicación: qué es plantear una investigación cuantitativa, sus cinco componentes (qué se quiere saber, de quién, dónde, cuándo y para qué decisión) y por qué el planteamiento condiciona todo el estudio posterior.</t>
  </si>
  <si>
    <t>Microclase con esquema en pizarra</t>
  </si>
  <si>
    <t>Proyector, diapositivas, Pizarra y plumones</t>
  </si>
  <si>
    <t>Esquema de los cinco componentes</t>
  </si>
  <si>
    <t>15:10</t>
  </si>
  <si>
    <t>Problema de decisión gerencial y problema de investigación</t>
  </si>
  <si>
    <t>Microexplicación de la diferencia: el gerente decide, el investigador mide. Se construye en la pizarra un cuadro de dos columnas con tres ejemplos del mercado peruano.</t>
  </si>
  <si>
    <t>Microclase con cuadro contrastado</t>
  </si>
  <si>
    <t>Cuadro de dos columnas en el cuaderno</t>
  </si>
  <si>
    <t>15:30</t>
  </si>
  <si>
    <t>Formulación del problema de investigación</t>
  </si>
  <si>
    <t>Con un caso comercial impreso, cada pareja separa la decisión gerencial de lo que debe investigarse y redacta el problema como pregunta medible, delimitando población, lugar y período.</t>
  </si>
  <si>
    <t>Piensa y comparte en pareja</t>
  </si>
  <si>
    <t>Parejas</t>
  </si>
  <si>
    <t>Ficha de trabajo impresa</t>
  </si>
  <si>
    <t>Problema de investigación redactado sobre el caso</t>
  </si>
  <si>
    <t>15:40</t>
  </si>
  <si>
    <t>Socialización y corrección</t>
  </si>
  <si>
    <t>Tres parejas leen su formulación. El aula vota cuál cumple los cinco componentes y sustenta su elección; el docente corrige las formulaciones que confunden síntoma con problema.</t>
  </si>
  <si>
    <t>Socialización con votación</t>
  </si>
  <si>
    <t>Compartido</t>
  </si>
  <si>
    <t>Pizarra y plumones</t>
  </si>
  <si>
    <t>Lista de errores frecuentes de formulación</t>
  </si>
  <si>
    <t>15:55</t>
  </si>
  <si>
    <t>Formulación de los objetivos de la investigación</t>
  </si>
  <si>
    <t>Microexplicación de los verbos verificables (determinar, identificar, medir, comparar, establecer) frente a los verbos de acción comercial (aumentar, mejorar, posicionar). Ejercicio individual: corregir cinco objetivos mal redactados.</t>
  </si>
  <si>
    <t>Caza del error</t>
  </si>
  <si>
    <t>Cinco objetivos corregidos</t>
  </si>
  <si>
    <t>16:00</t>
  </si>
  <si>
    <t>Holgura</t>
  </si>
  <si>
    <t>Espacio para consultas, para terminar el ejercicio o para ajustar el ritmo del grupo.</t>
  </si>
  <si>
    <t>16:25</t>
  </si>
  <si>
    <t>Proyecto integrador · Avance 1, primera parte</t>
  </si>
  <si>
    <t>Cada equipo aplica lo trabajado a su producto: redacta la situación problemática en una oración, separa hechos comprobados de supuestos, formula su problema de investigación y su objetivo general. El docente asesora equipo por equipo.</t>
  </si>
  <si>
    <t>Taller con asesoría por equipos</t>
  </si>
  <si>
    <t>Equipos de 3 a 4</t>
  </si>
  <si>
    <t>Ficha del Avance 1, Ficha de trabajo impresa</t>
  </si>
  <si>
    <t>Problema y objetivo general del equipo</t>
  </si>
  <si>
    <t>16:35</t>
  </si>
  <si>
    <t>Cierre</t>
  </si>
  <si>
    <t>Contraste con la hipótesis inicial</t>
  </si>
  <si>
    <t>Se recogen los papeles adhesivos del inicio y se contrastan con lo aprendido: ¿cuáles de las tres frases del inicio ya saben convertir en problema investigable?</t>
  </si>
  <si>
    <t>Contraste hipótesis y resultado</t>
  </si>
  <si>
    <t>Papeles adhesivos iniciales</t>
  </si>
  <si>
    <t>Conclusión escrita en el cuaderno</t>
  </si>
  <si>
    <t>16:45</t>
  </si>
  <si>
    <t>Encargo y metacognición</t>
  </si>
  <si>
    <t>Encargo: terminar los objetivos específicos, uno por cada pregunta de investigación, para la sesión del miércoles. Ticket de salida de tres líneas sobre la diferencia entre decidir e investigar.</t>
  </si>
  <si>
    <t>Ticket de salida</t>
  </si>
  <si>
    <t>Ficha de salida</t>
  </si>
  <si>
    <t>TOTAL</t>
  </si>
  <si>
    <t>Sesión 3 — Formulación del problema de investigación de mercados</t>
  </si>
  <si>
    <t>Instrumento de evaluación de la sesión: Rúbrica de formulación del problema y objetivos (Avance 1 del proyecto)</t>
  </si>
  <si>
    <t>SESIÓN 4  ·  SEMANA 2  ·  Miércoles 26/08/2026  ·  Actividad 2 (continuación)  —  Tema: Casuística comercial, justificación, alcance y limitaciones   |   • Casuística y aplicación en entornos comerciales de marketing.   • Justificación, alcance y limitaciones del estudio.   |   Instrumento de evaluación: Lista de cotejo del análisis de casuística</t>
  </si>
  <si>
    <t>26/08/2026</t>
  </si>
  <si>
    <t>Miércoles</t>
  </si>
  <si>
    <t>15:15</t>
  </si>
  <si>
    <t>15:20</t>
  </si>
  <si>
    <t>Caso comercial real de consumo masivo</t>
  </si>
  <si>
    <t>Se presenta un caso real de una categoría de consumo masivo y se pregunta al aula qué decisión estaba en juego y qué se tuvo que investigar antes de tomarla.</t>
  </si>
  <si>
    <t>Caso detonante</t>
  </si>
  <si>
    <t>Respuestas orales registradas</t>
  </si>
  <si>
    <t>15:35</t>
  </si>
  <si>
    <t>Casuística y aplicación en entornos comerciales</t>
  </si>
  <si>
    <t>Análisis del caso en equipos: identifican el problema de decisión, el problema de investigación, la población estudiada y el tipo de dato que se necesitó. Se completa la ficha de casuística.</t>
  </si>
  <si>
    <t>Estudio de caso guiado</t>
  </si>
  <si>
    <t>Ficha de casuística completa</t>
  </si>
  <si>
    <t>15:50</t>
  </si>
  <si>
    <t>Justificación del estudio</t>
  </si>
  <si>
    <t>Microexplicación: por qué se justifica investigar, con el criterio de valor de la información trabajado en la sesión 1. Ejercicio de aplicación: estimar en el caso anterior qué costaba equivocarse frente a lo que costaba el estudio.</t>
  </si>
  <si>
    <t>Microclase con cálculo simple</t>
  </si>
  <si>
    <t>Proyector, diapositivas, calculadora</t>
  </si>
  <si>
    <t>Justificación económica del caso</t>
  </si>
  <si>
    <t>16:05</t>
  </si>
  <si>
    <t>Alcance y limitaciones del estudio</t>
  </si>
  <si>
    <t>Microexplicación de la delimitación: tipo de investigación (descriptiva o correlacional), diseño (no experimental, transversal), cobertura geográfica y temporal, y limitaciones de acceso, tiempo y presupuesto. Actividad: delimitar un planteamiento entregado sin delimitar.</t>
  </si>
  <si>
    <t>Práctica dirigida</t>
  </si>
  <si>
    <t>Planteamiento delimitado</t>
  </si>
  <si>
    <t>16:10</t>
  </si>
  <si>
    <t>Espacio para consultas y para completar la ficha de casuística.</t>
  </si>
  <si>
    <t>Proyecto integrador · Avance 1, segunda parte y entrega</t>
  </si>
  <si>
    <t>Los equipos completan la ficha del Avance 1: preguntas específicas, objetivos específicos, justificación, alcance, limitaciones y definición de su población objetivo con criterios de inclusión y exclusión. Se entrega al cierre de la sesión.</t>
  </si>
  <si>
    <t>Taller con asesoría y entrega</t>
  </si>
  <si>
    <t>Ficha del Avance 1, computadora</t>
  </si>
  <si>
    <t>AVANCE 1 ENTREGADO Y CALIFICADO</t>
  </si>
  <si>
    <t>Retroalimentación y puente</t>
  </si>
  <si>
    <t>Retroalimentación general sobre los avances recibidos y anuncio del reto de la semana siguiente: convertir esos objetivos en variables medibles y, de cada variable, obtener las preguntas del cuestionario.</t>
  </si>
  <si>
    <t>Síntesis y puente al siguiente tema</t>
  </si>
  <si>
    <t>Aula virtual</t>
  </si>
  <si>
    <t>Registro de entrega del Avance 1</t>
  </si>
  <si>
    <t>Sesión 4 — Casuística comercial, justificación, alcance y limitaciones</t>
  </si>
  <si>
    <t>Instrumento de evaluación de la sesión: Lista de cotejo del análisis de casuística</t>
  </si>
  <si>
    <t>SESIÓN 5  ·  SEMANA 3  ·  Martes 01/09/2026  ·  Actividad 3: Medición y escalas de medición  —  Tema: Formulación de variables, hipótesis y niveles de medición   |   • Definición y operacionalización de variables (dependientes e independientes).   • Planteamiento y características de las hipótesis de investigación.   • Niveles de medición: escala nominal, ordinal, de intervalo y de razón.   |   Instrumento de evaluación: Rúbrica de la matriz de operacionalización de variables e hipótesis (Avance 2)</t>
  </si>
  <si>
    <t>01/09/2026</t>
  </si>
  <si>
    <t>Devolución del Avance 1</t>
  </si>
  <si>
    <t>Encuadre del día y devolución del Avance 1 con las tres observaciones más repetidas del aula.</t>
  </si>
  <si>
    <t>Retroalimentación grupal</t>
  </si>
  <si>
    <t>Observaciones registradas</t>
  </si>
  <si>
    <t>14:45</t>
  </si>
  <si>
    <t>Clasificación rápida de variables de marketing</t>
  </si>
  <si>
    <t>Cada equipo recibe tarjetas con variables reales (edad, marca preferida, frecuencia de compra, satisfacción, gasto mensual, distrito) y las agrupa en la pizarra según su criterio, sin explicación previa.</t>
  </si>
  <si>
    <t>Dinámica de clasificación con tarjetas</t>
  </si>
  <si>
    <t>Tarjetas de variables, Pizarra y plumones</t>
  </si>
  <si>
    <t>Tarjetas clasificadas en la pizarra</t>
  </si>
  <si>
    <t>14:55</t>
  </si>
  <si>
    <t>Definición de variable y tipos: dependiente e independiente</t>
  </si>
  <si>
    <t>Microexplicación: qué es una variable en investigación de mercados, cuál es la que se quiere explicar y cuáles la explican. Se corrige la clasificación de las tarjetas con el criterio correcto.</t>
  </si>
  <si>
    <t>Microclase con corrección del ejercicio</t>
  </si>
  <si>
    <t>Criterio de clasificación en el cuaderno</t>
  </si>
  <si>
    <t>Operacionalización de variables</t>
  </si>
  <si>
    <t>Modelado docente de una fila completa de la matriz: variable, definición conceptual, definición operacional, dimensión e indicador. Cada estudiante completa después dos filas con variables distintas y las contrasta con su compañero.</t>
  </si>
  <si>
    <t>Modelado y práctica guiada</t>
  </si>
  <si>
    <t>Individual y parejas</t>
  </si>
  <si>
    <t>Dos filas de la matriz completadas</t>
  </si>
  <si>
    <t>15:25</t>
  </si>
  <si>
    <t>Niveles de medición: nominal, ordinal, de intervalo y de razón</t>
  </si>
  <si>
    <t>Microexplicación de los cuatro niveles con ejemplos comerciales y de la consecuencia práctica: qué estadístico se puede calcular en cada uno. Ejercicio: asignar el nivel a doce variables y señalar qué análisis permite cada una.</t>
  </si>
  <si>
    <t>Microclase y práctica de clasificación</t>
  </si>
  <si>
    <t>Doce variables clasificadas por nivel</t>
  </si>
  <si>
    <t>Adelanto</t>
  </si>
  <si>
    <t>ADELANTO PUNTUAL · Qué mide un estudio de hábitos y actitudes (contenido oficial de la semana 11)</t>
  </si>
  <si>
    <t>Microexplicación condensada del estudio U&amp;A: qué se pregunta para conocer al consumidor (frecuencia, lugar, momento, gasto, canal, motivos de elección y actitudes hacia la categoría). Se adelanta aquí porque esos indicadores deben entrar en la matriz de operacionalización de hoy; de lo contrario el cuestionario saldría sin el bloque que sustenta los puntos 2.4 y 2.4.1 del informe.</t>
  </si>
  <si>
    <t>2.4 y 2.4.1</t>
  </si>
  <si>
    <t>Microclase condensada con lista de indicadores</t>
  </si>
  <si>
    <t>Proyector, diapositivas, lista de indicadores U&amp;A</t>
  </si>
  <si>
    <t>Lista de indicadores U&amp;A incorporada a la matriz</t>
  </si>
  <si>
    <t>Planteamiento y características de las hipótesis</t>
  </si>
  <si>
    <t>Microexplicación: hipótesis nula e hipótesis alterna, por qué se formulan antes de recoger los datos y qué hace que una hipótesis sea contrastable. Ejemplos contrastados de hipótesis contrastables y no contrastables.</t>
  </si>
  <si>
    <t>Microclase con ejemplos contrastados</t>
  </si>
  <si>
    <t>Reglas de redacción de hipótesis</t>
  </si>
  <si>
    <t>Espacio para consultas y para completar los ejercicios de clasificación.</t>
  </si>
  <si>
    <t>Proyecto integrador · Avance 2</t>
  </si>
  <si>
    <t>Cada equipo construye su matriz de operacionalización completa y formula su hipótesis general y dos específicas. Condición de salida: de cada indicador debe nacer al menos una pregunta anotada en el banco de preguntas del equipo.</t>
  </si>
  <si>
    <t>Matriz del Avance 2, computadora</t>
  </si>
  <si>
    <t>Matriz de operacionalización y banco de preguntas</t>
  </si>
  <si>
    <t>Revisión cruzada entre equipos</t>
  </si>
  <si>
    <t>Los equipos intercambian su matriz y verifican una sola cosa: que ningún objetivo específico quede sin indicador y que ningún indicador quede sin pregunta. Devuelven con dos observaciones escritas.</t>
  </si>
  <si>
    <t>Evaluación entre pares con lista de cotejo</t>
  </si>
  <si>
    <t>Lista de cotejo</t>
  </si>
  <si>
    <t>Matriz observada por el equipo par</t>
  </si>
  <si>
    <t>Cierre y encuadre del taller siguiente</t>
  </si>
  <si>
    <t>Síntesis en tres ideas fuerza y anuncio: el miércoles se construyen las escalas de actitud y con ellas queda armado el cuestionario del proyecto, porque los otros cursos dependen de esos resultados. Se pide traer computadora o celular.</t>
  </si>
  <si>
    <t>Síntesis y encuadre</t>
  </si>
  <si>
    <t>Registro del encargo</t>
  </si>
  <si>
    <t>Sesión 5 — Formulación de variables, hipótesis y niveles de medición</t>
  </si>
  <si>
    <t>Instrumento de evaluación de la sesión: Rúbrica de la matriz de operacionalización de variables e hipótesis (Avance 2)</t>
  </si>
  <si>
    <t>SESIÓN 6  ·  SEMANA 3  ·  Miércoles 02/09/2026  ·  Actividad 3 (continuación)  —  Tema: Escalas de actitud aplicadas al instrumento del proyecto   |   • Escalas de actitud aplicadas: escala de Likert y diferencial semántico.   • Escalas comparativas y no comparativas.   |   Instrumento de evaluación: Lista de cotejo del ejercicio de construcción de escalas</t>
  </si>
  <si>
    <t>02/09/2026</t>
  </si>
  <si>
    <t>Mini encuesta de actitud al propio grupo</t>
  </si>
  <si>
    <t>Se aplica al aula una mini encuesta de cuatro ítems sobre un servicio del instituto y se proyectan los resultados en el momento. Sirve de experiencia directa antes de la teoría.</t>
  </si>
  <si>
    <t>Experiencia directa</t>
  </si>
  <si>
    <t>Celulares de los estudiantes, formulario en línea</t>
  </si>
  <si>
    <t>Resultados proyectados</t>
  </si>
  <si>
    <t>Escala de Likert</t>
  </si>
  <si>
    <t>Microexplicación: qué mide, por qué se usan cinco puntos, cómo se redacta la afirmación y por qué el punto medio se conserva o se elimina. Se analizan los cuatro ítems de la mini encuesta para ver cuál estaba mal redactado.</t>
  </si>
  <si>
    <t>Microclase con análisis del propio ejercicio</t>
  </si>
  <si>
    <t>Reglas de redacción de ítems de Likert</t>
  </si>
  <si>
    <t>Diferencial semántico y escalas comparativas y no comparativas</t>
  </si>
  <si>
    <t>Microexplicación de la escala de diferencial semántico con pares de adjetivos opuestos, y de la diferencia entre escalas comparativas (ordenamiento, suma constante) y no comparativas (Likert, diferencial semántico). Criterio para elegir entre ellas.</t>
  </si>
  <si>
    <t>Microclase con ejemplos</t>
  </si>
  <si>
    <t>Cuadro comparativo de escalas</t>
  </si>
  <si>
    <t>ADELANTO PUNTUAL · Qué mide el estudio de producto, el de imagen y posicionamiento y el de segmentación (contenido oficial de las semanas 12, 13 y 14)</t>
  </si>
  <si>
    <t>Microexplicación condensada de los tres estudios especializados que faltan en el cuestionario: del estudio de producto se toman la evaluación de atributos, la satisfacción global y la intención de compra; del estudio de imagen, la recordación espontánea, la recordación asistida y la asociación de atributos por marca; del estudio de segmentación, las variables de clasificación que permiten cruzar todo lo anterior. Se adelanta hoy porque el instrumento sale a campo en la sesión 8 y una pregunta no formulada ya no se puede recuperar después.</t>
  </si>
  <si>
    <t>2.5.1 y 2.6.1</t>
  </si>
  <si>
    <t>Microclase condensada con plantilla de bloques</t>
  </si>
  <si>
    <t>Proyector, diapositivas, plantilla de bloques del cuestionario</t>
  </si>
  <si>
    <t>Plantilla de los tres bloques recibida</t>
  </si>
  <si>
    <t>16:20</t>
  </si>
  <si>
    <t>Proyecto integrador · Construcción del cuestionario, primera parte (incluye el ejercicio de construcción de escalas)</t>
  </si>
  <si>
    <t>Cada equipo redacta los bloques que salen del banco de preguntas del Avance 2: el bloque de preguntas filtro que verifica la pertenencia al público objetivo y el bloque de hábitos de consumo (frecuencia, lugar, momento, gasto y canal). El ejercicio de construcción de escalas se resuelve aquí, sobre el propio instrumento: cada equipo formula un ítem de Likert, uno de diferencial semántico y uno de intención de compra, y se evalúan con la lista de cotejo.</t>
  </si>
  <si>
    <t>Taller con asesoría y lista de cotejo</t>
  </si>
  <si>
    <t>Plantilla del cuestionario, computadora, lista de cotejo</t>
  </si>
  <si>
    <t>Bloques de filtro y hábitos redactados y tres ítems de escala construidos</t>
  </si>
  <si>
    <t>Espacio para consultas sobre la redacción de los ítems.</t>
  </si>
  <si>
    <t>16:40</t>
  </si>
  <si>
    <t>Proyecto integrador · Construcción del cuestionario, segunda parte</t>
  </si>
  <si>
    <t>Los equipos redactan los cuatro bloques restantes: percepción y satisfacción del producto con escala de Likert, valoración ambiental del empaque coordinada con Cultura Ambiental, imagen y posicionamiento con recordación espontánea antes que la asistida, y datos de clasificación al final. El cuestionario queda completo al terminar la sesión.</t>
  </si>
  <si>
    <t>2.2.3, 2.5.1 y 2.6.1</t>
  </si>
  <si>
    <t>Plantilla del cuestionario, computadora</t>
  </si>
  <si>
    <t>Cuestionario completo con todos sus bloques</t>
  </si>
  <si>
    <t>Cierre y encargo</t>
  </si>
  <si>
    <t>Se verifica bloque por bloque que el cuestionario esté completo y se asigna como encargo digitalizarlo antes del martes, cuando se define a cuántas personas se aplicará.</t>
  </si>
  <si>
    <t>Síntesis y encargo</t>
  </si>
  <si>
    <t>Sesión 6 — Escalas de actitud aplicadas al instrumento del proyecto</t>
  </si>
  <si>
    <t>Instrumento de evaluación de la sesión: Lista de cotejo del ejercicio de construcción de escalas</t>
  </si>
  <si>
    <t>SESIÓN 7  ·  SEMANA 4  ·  Martes 08/09/2026  ·  Actividad 4: Técnicas de muestreo y tamaño de muestra  —  Tema: Diseño muestral de la investigación cuantitativa   |   • Muestreo probabilístico: aleatorio simple, sistemático y estratificado.   • Muestreo no probabilístico: conveniencia, cuotas y bola de nieve.   |   Instrumento de evaluación: Rúbrica de justificación del diseño muestral (Avance 3)</t>
  </si>
  <si>
    <t>08/09/2026</t>
  </si>
  <si>
    <t>Encuadre y control del encargo</t>
  </si>
  <si>
    <t>Encuadre del día. Cada equipo confirma que completó los bloques pendientes del cuestionario.</t>
  </si>
  <si>
    <t>Control de encargo</t>
  </si>
  <si>
    <t>Cuestionarios de los equipos</t>
  </si>
  <si>
    <t>Cuestionarios verificados</t>
  </si>
  <si>
    <t>Pregunta detonante sobre representatividad</t>
  </si>
  <si>
    <t>Se plantea el reto: ¿cómo puede una encuesta a 400 personas representar a millones de consumidores? Cada estudiante escribe su respuesta en una línea. Recuperación de saberes sobre población y muestra.</t>
  </si>
  <si>
    <t>Pregunta detonante</t>
  </si>
  <si>
    <t>Respuesta escrita inicial</t>
  </si>
  <si>
    <t>Población, marco muestral, unidad de análisis y unidad de muestreo</t>
  </si>
  <si>
    <t>Microexplicación de los cuatro conceptos con un ejemplo del propio campus: a quién se concluye, a quién se aborda y de qué listado se parte cuando existe.</t>
  </si>
  <si>
    <t>Microclase con ejemplo local</t>
  </si>
  <si>
    <t>Esquema de conceptos en el cuaderno</t>
  </si>
  <si>
    <t>Muestreo probabilístico: aleatorio simple, sistemático y estratificado</t>
  </si>
  <si>
    <t>Microexplicación de las tres técnicas con su procedimiento de selección. Ejercicio en parejas: elegir la técnica adecuada para tres situaciones comerciales distintas y justificar la elección en dos líneas.</t>
  </si>
  <si>
    <t>Microclase y estudio de casos breves</t>
  </si>
  <si>
    <t>Tres casos resueltos con justificación</t>
  </si>
  <si>
    <t>Muestreo no probabilístico: conveniencia, cuotas y bola de nieve</t>
  </si>
  <si>
    <t>Microexplicación de las tres técnicas, de cuándo son admisibles y de su límite: no permiten generalizar con un margen de error calculado. Discusión guiada: cuál corresponde al proyecto del aula y qué se debe declarar como limitación.</t>
  </si>
  <si>
    <t>Microclase y discusión guiada</t>
  </si>
  <si>
    <t>Decisión del aula registrada en la pizarra</t>
  </si>
  <si>
    <t>15:45</t>
  </si>
  <si>
    <t>Criterios de inclusión y exclusión</t>
  </si>
  <si>
    <t>Microexplicación y aplicación inmediata: quién sí y quién no entra en el estudio, y por qué un criterio mal definido invalida encuestas ya aplicadas. Cada equipo redacta los suyos.</t>
  </si>
  <si>
    <t>Práctica aplicada</t>
  </si>
  <si>
    <t>Criterios de inclusión y exclusión redactados</t>
  </si>
  <si>
    <t>Espacio para consultas sobre las técnicas de muestreo.</t>
  </si>
  <si>
    <t>16:15</t>
  </si>
  <si>
    <t>Proyecto integrador · Avance 3, primera parte</t>
  </si>
  <si>
    <t>Cada equipo define y justifica por escrito su tipo de muestreo, su unidad de análisis y su unidad de muestreo, y declara la consecuencia de esa elección sobre la generalización de sus resultados.</t>
  </si>
  <si>
    <t>Ficha del Avance 3</t>
  </si>
  <si>
    <t>Diseño muestral justificado por escrito</t>
  </si>
  <si>
    <t>Proyecto integrador · Visto bueno del cuestionario completo</t>
  </si>
  <si>
    <t>Revisión rápida equipo por equipo del cuestionario ya digitalizado: que estén los seis bloques, que la recordación espontánea vaya antes de la asistida y que los datos de clasificación estén al final. Sin este visto bueno no se autoriza el campo del miércoles.</t>
  </si>
  <si>
    <t>Validación docente por equipos</t>
  </si>
  <si>
    <t>Formularios de los equipos</t>
  </si>
  <si>
    <t>Cuestionario con visto bueno del docente</t>
  </si>
  <si>
    <t>Contraste con la respuesta inicial</t>
  </si>
  <si>
    <t>Se retoma la respuesta escrita del inicio y cada estudiante la corrige con lo aprendido. Dos voluntarios leen la versión corregida.</t>
  </si>
  <si>
    <t>Respuestas iniciales</t>
  </si>
  <si>
    <t>Respuesta corregida</t>
  </si>
  <si>
    <t>Encuadre de la sesión de cálculo</t>
  </si>
  <si>
    <t>Se anuncia el reto del miércoles: determinar cuántas encuestas necesita realmente cada equipo. Se pide traer el dato de su población objetivo calculado en el Avance 1.</t>
  </si>
  <si>
    <t>Encuadre y encargo</t>
  </si>
  <si>
    <t>Sesión 7 — Diseño muestral de la investigación cuantitativa</t>
  </si>
  <si>
    <t>Instrumento de evaluación de la sesión: Rúbrica de justificación del diseño muestral (Avance 3)</t>
  </si>
  <si>
    <t>SESIÓN 8  ·  SEMANA 4  ·  Miércoles 09/09/2026  ·  Actividad 4 (continuación)  —  Tema: Cálculo del tamaño de muestra y captación de encuestados   |   • Cálculo del tamaño de la muestra para estimación de medias y proporciones.   • Criterios de selección y captación de encuestados en el estudio de mercado.   |   Instrumento de evaluación: Práctica calificada de cálculo del tamaño de muestra</t>
  </si>
  <si>
    <t>09/09/2026</t>
  </si>
  <si>
    <t>Reto de la sesión</t>
  </si>
  <si>
    <t>Se plantea el reto directo: determinar cuántas encuestas necesita el proyecto de cada equipo y salir hoy con el campo autorizado.</t>
  </si>
  <si>
    <t>Encuadre con meta visible</t>
  </si>
  <si>
    <t>Meta anotada</t>
  </si>
  <si>
    <t>Cálculo del tamaño de muestra para estimación de proporciones</t>
  </si>
  <si>
    <t>Modelado en el proyector de la fórmula para proporciones y del ajuste a población finita, explicando el significado de cada parámetro: nivel de confianza, valor Z, proporción esperada y margen de error.</t>
  </si>
  <si>
    <t>Modelado en hoja de cálculo</t>
  </si>
  <si>
    <t>Laboratorio de cómputo con Excel, Proyector, diapositivas</t>
  </si>
  <si>
    <t>Fórmula construida en el cuaderno</t>
  </si>
  <si>
    <t>Cálculo del tamaño de muestra para estimación de medias</t>
  </si>
  <si>
    <t>Microexplicación de la variante para medias, con la desviación estándar en lugar de la proporción, y del criterio para elegir entre una y otra según lo que se quiera estimar.</t>
  </si>
  <si>
    <t>Microclase con ejemplo resuelto</t>
  </si>
  <si>
    <t>Laboratorio de cómputo con Excel</t>
  </si>
  <si>
    <t>Ejemplo resuelto en el cuaderno</t>
  </si>
  <si>
    <t>Práctica calificada de cálculo del tamaño de muestra</t>
  </si>
  <si>
    <t>Práctica individual calificada en Excel: cada estudiante calcula el tamaño de muestra de dos situaciones dadas, con y sin ajuste a población finita, y explica en una línea el efecto de reducir el margen de error.</t>
  </si>
  <si>
    <t>Práctica calificada individual</t>
  </si>
  <si>
    <t>Laboratorio de cómputo con Excel, enunciado impreso</t>
  </si>
  <si>
    <t>PRÁCTICA CALIFICADA DE TAMAÑO DE MUESTRA</t>
  </si>
  <si>
    <t>Criterios de selección y captación de encuestados</t>
  </si>
  <si>
    <t>Microexplicación operativa: dónde y cuándo abordar, cómo presentar la encuesta, qué hacer ante un rechazo y por qué encuestar solo a conocidos destruye la validez del estudio.</t>
  </si>
  <si>
    <t>Microclase operativa</t>
  </si>
  <si>
    <t>Proyector, diapositivas, guía de campo</t>
  </si>
  <si>
    <t>Guía de campo recibida</t>
  </si>
  <si>
    <t>Espacio para resolver dudas de la práctica calificada.</t>
  </si>
  <si>
    <t>Proyecto integrador · Avance 3, segunda parte y autorización del campo</t>
  </si>
  <si>
    <t>Cada equipo calcula su muestra con sus propios parámetros, la reparte en cuotas y elabora su plan de campo con lugares, horarios, encuestas por integrante y fecha de cierre. El docente revisa el cuestionario y el plan, y recién entonces autoriza salir a campo.</t>
  </si>
  <si>
    <t>2.2.2 y 2.2.3</t>
  </si>
  <si>
    <t>Taller con validación docente</t>
  </si>
  <si>
    <t>Ficha del Avance 3, Laboratorio de cómputo con Excel</t>
  </si>
  <si>
    <t>AVANCE 3 ENTREGADO. CAMPO AUTORIZADO</t>
  </si>
  <si>
    <t>Lanzamiento del trabajo de campo</t>
  </si>
  <si>
    <t>Se fija el cierre del campo para el lunes 14 de setiembre y se recuerda que tres cursos del proyecto esperan estos resultados. Se entrega el cuadro de control de cuotas que se revisará el martes.</t>
  </si>
  <si>
    <t>Encuadre operativo</t>
  </si>
  <si>
    <t>Cuadro de control de cuotas</t>
  </si>
  <si>
    <t>Cronograma de campo entregado</t>
  </si>
  <si>
    <t>Sesión 8 — Cálculo del tamaño de muestra y captación de encuestados</t>
  </si>
  <si>
    <t>Instrumento de evaluación de la sesión: Práctica calificada de cálculo del tamaño de muestra</t>
  </si>
  <si>
    <t>SESIÓN 9  ·  SEMANA 5  ·  Martes 15/09/2026  ·  Actividad 5: La encuesta como técnica de recolección  —  Tema: Metodología de aplicación de encuestas   |   • Definición técnica del método de encuesta.   • Tipos de encuestas: telefónicas, personales, por correo y electrónicas.   • Ventajas, desventajas y adaptación del canal a los dispositivos móviles.   |   Instrumento de evaluación: Rúbrica de la matriz comparativa de tipos de encuesta</t>
  </si>
  <si>
    <t>15/09/2026</t>
  </si>
  <si>
    <t>Tablero de avance del campo</t>
  </si>
  <si>
    <t>Cada equipo escribe en la pizarra cuántas encuestas lleva frente a su meta y frente a cada cuota. Queda a la vista toda la sesión.</t>
  </si>
  <si>
    <t>Tablero de avance visible</t>
  </si>
  <si>
    <t>Tablero de avance de campo</t>
  </si>
  <si>
    <t>Recuperación de saberes desde la experiencia de campo</t>
  </si>
  <si>
    <t>Los estudiantes comparten qué les ocurrió al encuestar: rechazos, respuestas apuradas, preguntas que nadie entendió, encuestados fuera del público objetivo. Los problemas se agrupan en la pizarra por tipo.</t>
  </si>
  <si>
    <t>Puesta en común de experiencias</t>
  </si>
  <si>
    <t>Lista de problemas de campo clasificados</t>
  </si>
  <si>
    <t>15:05</t>
  </si>
  <si>
    <t>Definición técnica del método de encuesta</t>
  </si>
  <si>
    <t>Microexplicación: qué distingue a la encuesta de una consulta informal, qué condiciones debe cumplir para producir datos utilizables y en qué se diferencia de la entrevista cualitativa que trabajan en el otro curso.</t>
  </si>
  <si>
    <t>Microclase</t>
  </si>
  <si>
    <t>Definición y condiciones en el cuaderno</t>
  </si>
  <si>
    <t>Tipos de encuestas: telefónicas, personales, por correo y electrónicas</t>
  </si>
  <si>
    <t>Trabajo en equipos con la técnica del rompecabezas: cada equipo desarrolla un tipo de encuesta (costo, cobertura, tasa de respuesta, duración admisible y sesgo típico) y lo expone en dos minutos. El aula completa la matriz comparativa de los cuatro tipos.</t>
  </si>
  <si>
    <t>Rompecabezas cooperativo</t>
  </si>
  <si>
    <t>Ficha de trabajo impresa, papelógrafo</t>
  </si>
  <si>
    <t>Matriz comparativa de tipos de encuesta</t>
  </si>
  <si>
    <t>Ventajas, desventajas y adaptación del canal a los dispositivos móviles</t>
  </si>
  <si>
    <t>Microexplicación sobre el sesgo de canal: a quién deja fuera cada modalidad y qué exige el llenado desde un celular (preguntas cortas, pocas matrices, escalas visibles sin desplazamiento). Cada equipo identifica a quién está dejando fuera su propio campo.</t>
  </si>
  <si>
    <t>Microclase con aplicación inmediata</t>
  </si>
  <si>
    <t>Limitación de canal declarada por equipo</t>
  </si>
  <si>
    <t>Espacio para consultas y para terminar la matriz comparativa.</t>
  </si>
  <si>
    <t>Proyecto integrador · Control de campo y ficha técnica</t>
  </si>
  <si>
    <t>Revisión equipo por equipo del avance real por cuota: se resuelven cuotas atrasadas y se redistribuyen metas entre integrantes. Con los datos ya recogidos, cada equipo redacta la ficha técnica del estudio: población, muestra planificada frente a la alcanzada, técnica, instrumento, fechas y lugar.</t>
  </si>
  <si>
    <t>Asesoría de campo y taller con plantilla</t>
  </si>
  <si>
    <t>Cuadro de cuotas, plantilla de ficha técnica</t>
  </si>
  <si>
    <t>Ficha técnica del estudio redactada</t>
  </si>
  <si>
    <t>Consolidación de la matriz comparativa</t>
  </si>
  <si>
    <t>Se cierra la matriz de los cuatro tipos de encuesta y cada equipo justifica en dos líneas por qué su canal es el adecuado para su público objetivo. Esa justificación va al informe.</t>
  </si>
  <si>
    <t>Síntesis con producto escrito</t>
  </si>
  <si>
    <t>Justificación del canal para el informe</t>
  </si>
  <si>
    <t>Se fija el cierre definitivo del campo para el viernes 18 y se anuncia la sesión del miércoles: se trabaja en la plataforma en línea y se hace la primera lectura de los datos recogidos.</t>
  </si>
  <si>
    <t>Síntesis y puente</t>
  </si>
  <si>
    <t>Sesión 9 — Metodología de aplicación de encuestas</t>
  </si>
  <si>
    <t>Instrumento de evaluación de la sesión: Rúbrica de la matriz comparativa de tipos de encuesta</t>
  </si>
  <si>
    <t>SESIÓN 10  ·  SEMANA 5  ·  Miércoles 16/09/2026  ·  Actividad 5 (continuación)  —  Tema: Plataformas en línea de recolección y primera lectura de datos   |   • Uso de plataformas online de recolección (Google Forms, SurveyMonkey, Typeform).   |   Instrumento de evaluación: Lista de cotejo del formulario elaborado en la plataforma online</t>
  </si>
  <si>
    <t>16/09/2026</t>
  </si>
  <si>
    <t>Encuesta comercial publicada</t>
  </si>
  <si>
    <t>Se muestra en pantalla una encuesta comercial real ya publicada y se pregunta al aula qué hace bien y qué haría abandonar el formulario a la mitad.</t>
  </si>
  <si>
    <t>Demostración detonante</t>
  </si>
  <si>
    <t>Laboratorio con internet, Proyector, diapositivas</t>
  </si>
  <si>
    <t>Observaciones orales</t>
  </si>
  <si>
    <t>Uso de plataformas en línea: Google Forms, SurveyMonkey y Typeform</t>
  </si>
  <si>
    <t>Demostración comparativa de las tres plataformas y de las funciones que importan para un estudio serio: preguntas obligatorias, validación de respuesta, lógica de salto por pregunta filtro, aleatorización de alternativas y descarga de la base en formato de hoja de cálculo.</t>
  </si>
  <si>
    <t>Demostración guiada</t>
  </si>
  <si>
    <t>Funciones anotadas en la guía</t>
  </si>
  <si>
    <t>Proyecto integrador · Mejora del formulario en línea</t>
  </si>
  <si>
    <t>Cada equipo aplica a su propio formulario, ya en uso, lo demostrado: activa la lógica de salto de sus preguntas filtro, marca las obligatorias, corrige la visualización en celular y verifica que la descarga de la base funcione. Se aplica la lista de cotejo del formulario.</t>
  </si>
  <si>
    <t>Laboratorio con lista de cotejo</t>
  </si>
  <si>
    <t>Laboratorio con internet, Celulares de los estudiantes</t>
  </si>
  <si>
    <t>Formulario corregido y lista de cotejo firmada</t>
  </si>
  <si>
    <t>Proyecto integrador · Primera lectura de la base recogida</t>
  </si>
  <si>
    <t>Cada equipo descarga su base y revisa lo elemental: cuántas respuestas tiene, cuántas están incompletas y si hay encuestados fuera del público objetivo. Los casos dudosos se marcan sin eliminarlos todavía.</t>
  </si>
  <si>
    <t>Laboratorio guiado</t>
  </si>
  <si>
    <t>Base descargada con casos dudosos marcados</t>
  </si>
  <si>
    <t>Espacio para resolver problemas técnicos de la plataforma o de la descarga.</t>
  </si>
  <si>
    <t>Proyecto integrador · Primer reporte de resultados para los demás cursos</t>
  </si>
  <si>
    <t>Con la función de conteo, cada equipo calcula el porcentaje de respuesta de sus cinco preguntas más importantes y lo vuelca en una hoja de resumen de una página, indicando qué dato necesita cada curso del proyecto.</t>
  </si>
  <si>
    <t>Taller con plantilla de reporte</t>
  </si>
  <si>
    <t>Laboratorio de cómputo con Excel, plantilla de reporte</t>
  </si>
  <si>
    <t>PRIMER REPORTE DE RESULTADOS ENTREGADO</t>
  </si>
  <si>
    <t>Advertencia metodológica y cierre</t>
  </si>
  <si>
    <t>Se advierte que estos resultados son preliminares: la base todavía no está auditada ni codificada, y ningún dato es definitivo hasta la semana 7. Encargo: cerrar el campo el viernes.</t>
  </si>
  <si>
    <t>Síntesis con advertencia</t>
  </si>
  <si>
    <t>Registro de la entrega</t>
  </si>
  <si>
    <t>Sesión 10 — Plataformas en línea de recolección y primera lectura de datos</t>
  </si>
  <si>
    <t>Instrumento de evaluación de la sesión: Lista de cotejo del formulario elaborado en la plataforma online</t>
  </si>
  <si>
    <t>SESIÓN 11  ·  SEMANA 6  ·  Martes 22/09/2026  ·  Actividad 6: Diseño y estructura del cuestionario  —  Tema: Construcción del instrumento de recolección de datos   |   • Estructura formal y flujo lógico del cuestionario (filtros, control, cuerpo, demográficos y cierre).   • Tipos y redacción de preguntas: cerradas de opción única, de opción múltiple y escalas.   |   Instrumento de evaluación: Rúbrica de diseño del cuestionario (Avance 4 del proyecto)</t>
  </si>
  <si>
    <t>22/09/2026</t>
  </si>
  <si>
    <t>Meta del día: auditar el cuestionario que ya aplicaron y producir la versión corregida que irá al anexo del informe.</t>
  </si>
  <si>
    <t>Cuestionario con errores deliberados</t>
  </si>
  <si>
    <t>Se entrega un cuestionario preparado con seis errores: pregunta doble, pregunta sesgada, rangos de respuesta superpuestos, alternativa faltante, escala invertida a mitad del bloque y dato sensible al inicio. Cada estudiante marca los que detecta antes de cualquier explicación.</t>
  </si>
  <si>
    <t>Errores detectados y marcados</t>
  </si>
  <si>
    <t>Estructura formal y flujo lógico del cuestionario</t>
  </si>
  <si>
    <t>Corrección del ejercicio anterior y microexplicación del flujo obligatorio: presentación y consentimiento, preguntas filtro, preguntas de control, cuerpo por bloques temáticos, datos demográficos al final y cierre. Se explica por qué alterar el orden cambia los resultados.</t>
  </si>
  <si>
    <t>Corrección del ejercicio y microclase</t>
  </si>
  <si>
    <t>Esquema del flujo en el cuaderno</t>
  </si>
  <si>
    <t>Tipos y redacción de preguntas cerradas de opción única y múltiple</t>
  </si>
  <si>
    <t>Microexplicación de cada tipo con su regla: alternativas excluyentes y exhaustivas, rangos que no se superponen, límite de menciones en la respuesta múltiple y uso de la alternativa «otro». Ejercicio en parejas: convertir dos preguntas abiertas en cerradas correctas.</t>
  </si>
  <si>
    <t>Microclase y práctica en parejas</t>
  </si>
  <si>
    <t>Dos preguntas convertidas</t>
  </si>
  <si>
    <t>Preguntas con escala dentro del cuestionario</t>
  </si>
  <si>
    <t>Se retoma lo trabajado en la sesión 6: dónde ubicar los bloques de escala, por qué no se alterna el número de puntos dentro del mismo instrumento y cómo se reduce la fatiga en las preguntas matriciales.</t>
  </si>
  <si>
    <t>Microclase con revisión de casos del aula</t>
  </si>
  <si>
    <t>Criterios anotados</t>
  </si>
  <si>
    <t>Espacio para consultas y para terminar los ejercicios.</t>
  </si>
  <si>
    <t>Proyecto integrador · Avance 4: auditoría del instrumento aplicado</t>
  </si>
  <si>
    <t>Cada equipo audita su propio cuestionario con la lista de las diez reglas técnicas y elabora el cuadro comparativo de la versión aplicada frente a la versión corregida, justificando cada cambio. Esta versión corregida es la que se adjunta al anexo del informe.</t>
  </si>
  <si>
    <t>2.2.3 y Anexo A.2</t>
  </si>
  <si>
    <t>Auditoría con lista de cotejo</t>
  </si>
  <si>
    <t>Lista de las diez reglas, computadora</t>
  </si>
  <si>
    <t>Cuadro comparativo de la versión aplicada y la corregida</t>
  </si>
  <si>
    <t>Auditoría cruzada entre equipos</t>
  </si>
  <si>
    <t>Los equipos intercambian cuestionarios y aplican la lista de cotejo al instrumento del otro equipo, devolviendo tres observaciones fundamentadas. Se sistematizan en la pizarra los errores más frecuentes del aula.</t>
  </si>
  <si>
    <t>Evaluación entre pares</t>
  </si>
  <si>
    <t>Cuestionario con observaciones del equipo par</t>
  </si>
  <si>
    <t>Encuadre de la prueba piloto</t>
  </si>
  <si>
    <t>Se explica qué es un pre-test, qué indicadores se observan en él y qué se debe traer el miércoles para ejecutarlo sobre las preguntas corregidas.</t>
  </si>
  <si>
    <t>Sesión 11 — Construcción del instrumento de recolección de datos</t>
  </si>
  <si>
    <t>Instrumento de evaluación de la sesión: Rúbrica de diseño del cuestionario (Avance 4 del proyecto)</t>
  </si>
  <si>
    <t>SESIÓN 12  ·  SEMANA 6  ·  Miércoles 23/09/2026  ·  Actividad 6 (continuación)  —  Tema: Prueba piloto o pre-test del instrumento   |   • Diseño y ejecución de la prueba piloto o preliminar (pre-test).   |   Instrumento de evaluación: Ficha de registro del pre-test y lista de cotejo de ajustes</t>
  </si>
  <si>
    <t>23/09/2026</t>
  </si>
  <si>
    <t>Finalidad del pre-test</t>
  </si>
  <si>
    <t>Microexplicación de por qué existe el pre-test y de los cuatro indicadores que se observan: preguntas que generan dudas, alternativas que faltan, tiempo de llenado y tasa de abandono.</t>
  </si>
  <si>
    <t>Encuadre conceptual</t>
  </si>
  <si>
    <t>Indicadores anotados</t>
  </si>
  <si>
    <t>Ejecución del pre-test cruzado</t>
  </si>
  <si>
    <t>Cada equipo aplica su cuestionario corregido a cinco estudiantes de otro equipo, cronometrando el tiempo de llenado y anotando toda duda que surja. Regla estricta: no se ayuda al encuestado; si no entiende, la pregunta está mal redactada.</t>
  </si>
  <si>
    <t>Simulación de campo</t>
  </si>
  <si>
    <t>Celulares de los estudiantes, cronómetro</t>
  </si>
  <si>
    <t>Cinco registros de pre-test por equipo</t>
  </si>
  <si>
    <t>Ficha de registro del pre-test</t>
  </si>
  <si>
    <t>Cada equipo vuelca sus observaciones en la ficha de registro: pregunta observada, problema detectado, decisión tomada y versión final del ítem. Es la evidencia que sustenta los cambios ante el jurado.</t>
  </si>
  <si>
    <t>Registro documentado</t>
  </si>
  <si>
    <t>Ficha de registro del pre-test completa</t>
  </si>
  <si>
    <t>Ajustes finales y validación del instrumento</t>
  </si>
  <si>
    <t>Los equipos aplican los ajustes y presentan el instrumento al docente, que actúa como experto validador y firma la ficha de validación evaluando claridad, pertinencia y suficiencia de cada bloque.</t>
  </si>
  <si>
    <t>Validación asistida por el docente</t>
  </si>
  <si>
    <t>Ficha de validación</t>
  </si>
  <si>
    <t>Ficha de validación firmada</t>
  </si>
  <si>
    <t>Espacio para consultas y ajustes de última hora.</t>
  </si>
  <si>
    <t>Proyecto integrador · Armado del anexo del instrumento</t>
  </si>
  <si>
    <t>Cada equipo arma la carpeta del anexo: cuestionario final, ficha técnica del instrumento, ficha de registro del pre-test, ficha de validación firmada y capturas del formulario en línea. Se verifica con lista de cotejo.</t>
  </si>
  <si>
    <t>Anexo A.2</t>
  </si>
  <si>
    <t>Armado con lista de cotejo</t>
  </si>
  <si>
    <t>Computadora, lista de cotejo</t>
  </si>
  <si>
    <t>ANEXO A.2 ARMADO Y VERIFICADO</t>
  </si>
  <si>
    <t>Cierre y puente al procesamiento</t>
  </si>
  <si>
    <t>Síntesis de la unidad del instrumento y anuncio: la próxima semana se entra al laboratorio a auditar y codificar la base, y solo después los resultados serán definitivos.</t>
  </si>
  <si>
    <t>Registro del avance</t>
  </si>
  <si>
    <t>Sesión 12 — Prueba piloto o pre-test del instrumento</t>
  </si>
  <si>
    <t>Instrumento de evaluación de la sesión: Ficha de registro del pre-test y lista de cotejo de ajustes</t>
  </si>
  <si>
    <t>SESIÓN 13  ·  SEMANA 7  ·  Martes 29/09/2026  ·  Actividad 7: Procesamiento de datos con Microsoft Excel  —  Tema: Limpieza y codificación de bases de datos cuantitativas   |   • Auditoría de campo: revisión, validación y edición de encuestas recolectadas.   |   Instrumento de evaluación: Lista de cotejo de la auditoría de la base de datos</t>
  </si>
  <si>
    <t>29/09/2026</t>
  </si>
  <si>
    <t>Encuadre y advertencia</t>
  </si>
  <si>
    <t>Encuadre del día con una advertencia: el análisis más elegante sobre una base sucia produce conclusiones falsas y decisiones comerciales equivocadas.</t>
  </si>
  <si>
    <t>Base de datos con errores reales</t>
  </si>
  <si>
    <t>Se proyecta una base con duplicados, edades imposibles, celdas vacías, respuestas contradictorias entre dos preguntas y un caso que responde en 40 segundos. Los estudiantes identifican en dos minutos todo lo que esté mal y se listan los hallazgos.</t>
  </si>
  <si>
    <t>Reto de detección</t>
  </si>
  <si>
    <t>Proyector, diapositivas, base de práctica</t>
  </si>
  <si>
    <t>Errores identificados y listados</t>
  </si>
  <si>
    <t>Auditoría de campo: revisión de las encuestas recolectadas</t>
  </si>
  <si>
    <t>Microexplicación de la revisión: verificación de que cada encuesta esté completa, de que las preguntas filtro se hayan respetado y de que el encuestado pertenezca al público objetivo.</t>
  </si>
  <si>
    <t>Microclase con aplicación al caso proyectado</t>
  </si>
  <si>
    <t>Criterios de revisión en el cuaderno</t>
  </si>
  <si>
    <t>Validación: criterios de anulación de una encuesta</t>
  </si>
  <si>
    <t>Microexplicación de los cuatro motivos de anulación: encuesta incompleta, patrón de respuesta constante, tiempo de llenado inverosímil y encuestado no elegible. Se aplican a la base proyectada y se decide en plenaria qué casos caen.</t>
  </si>
  <si>
    <t>Microclase y decisión en plenaria</t>
  </si>
  <si>
    <t>Criterios de anulación aplicados</t>
  </si>
  <si>
    <t>Edición y depuración de la base en Excel</t>
  </si>
  <si>
    <t>Laboratorio paso a paso sobre la base de práctica: eliminación de duplicados, filtros para detectar valores fuera de rango, formato condicional para resaltar vacíos y creación de la columna de estado del caso.</t>
  </si>
  <si>
    <t>Laboratorio guiado paso a paso</t>
  </si>
  <si>
    <t>Laboratorio de cómputo con Excel, guía de laboratorio</t>
  </si>
  <si>
    <t>Base de práctica depurada</t>
  </si>
  <si>
    <t>Espacio para resolver dificultades con las funciones de Excel.</t>
  </si>
  <si>
    <t>Proyecto integrador · Auditoría de la base del proyecto</t>
  </si>
  <si>
    <t>Cada equipo aplica el procedimiento a su propia base: marca los casos anulados con su motivo, elimina duplicados y completa la columna de estado del caso. Se registra cuántas encuestas válidas quedan realmente frente a las que se recogieron.</t>
  </si>
  <si>
    <t>Laboratorio aplicado al proyecto</t>
  </si>
  <si>
    <t>Base del proyecto auditada y lista de cotejo</t>
  </si>
  <si>
    <t>Impacto de la depuración sobre los resultados</t>
  </si>
  <si>
    <t>Cada equipo compara el porcentaje de una pregunta clave antes y después de depurar, y explica en dos líneas si su reporte preliminar de la semana 5 cambia y por qué. Se discute qué se declara en el informe.</t>
  </si>
  <si>
    <t>Contraste antes y después</t>
  </si>
  <si>
    <t>Comparación escrita del antes y el después</t>
  </si>
  <si>
    <t>Síntesis sobre honestidad metodológica: los casos anulados se declaran en el informe, no se ocultan. Encargo: traer la base auditada para codificarla íntegramente el miércoles.</t>
  </si>
  <si>
    <t>Sesión 13 — Limpieza y codificación de bases de datos cuantitativas</t>
  </si>
  <si>
    <t>Instrumento de evaluación de la sesión: Lista de cotejo de la auditoría de la base de datos</t>
  </si>
  <si>
    <t>SESIÓN 14  ·  SEMANA 7  ·  Miércoles 30/09/2026  ·  Actividad 7 (continuación)  —  Tema: Codificación de variables y estructura de la base de datos   |   • Codificación de variables y tratamiento de preguntas abiertas.   • Creación y estructuración lógica de la base de datos en Excel.   |   Instrumento de evaluación: Rúbrica del libro de códigos y de la base de datos estructurada</t>
  </si>
  <si>
    <t>30/09/2026</t>
  </si>
  <si>
    <t>Recuperación de saberes sobre niveles de medición</t>
  </si>
  <si>
    <t>Se retoma la clasificación de la sesión 5: cada nivel de medición determina cómo se codifica la variable. Ejercicio oral rápido con cinco variables del propio cuestionario del aula.</t>
  </si>
  <si>
    <t>Recuperación de saberes</t>
  </si>
  <si>
    <t>Codificación de variables</t>
  </si>
  <si>
    <t>Microexplicación con ejemplo: nombre corto de la variable, etiqueta, asignación de códigos numéricos a las alternativas, código único para la no respuesta y la regla de no dejar nunca una celda vacía en una columna numérica.</t>
  </si>
  <si>
    <t>Microclase con ejemplo</t>
  </si>
  <si>
    <t>Estructura del libro de códigos</t>
  </si>
  <si>
    <t>Tratamiento de preguntas abiertas</t>
  </si>
  <si>
    <t>Microexplicación y práctica: lectura de las respuestas abiertas, construcción de categorías emergentes y codificación, con la regla de no crear una categoría por cada respuesta. Se practica sobre veinte respuestas abiertas reales.</t>
  </si>
  <si>
    <t>Análisis de contenido simplificado</t>
  </si>
  <si>
    <t>Veinte respuestas categorizadas</t>
  </si>
  <si>
    <t>Creación y estructuración lógica de la base en Excel</t>
  </si>
  <si>
    <t>Laboratorio: una fila por encuestado y una columna por variable; tratamiento especial de la respuesta múltiple, que exige una columna dicotómica por alternativa; nombres de columna sin espacios ni tildes para el software estadístico.</t>
  </si>
  <si>
    <t>Base de práctica estructurada</t>
  </si>
  <si>
    <t>Espacio para resolver dificultades de codificación.</t>
  </si>
  <si>
    <t>ADELANTO PUNTUAL · Tratamiento de la respuesta múltiple y de la matriz de atributos por marca (contenido oficial de la semana 13)</t>
  </si>
  <si>
    <t>Microexplicación condensada de cómo se codifica y se lee una pregunta de respuesta múltiple (una columna dicotómica por alternativa, porcentaje calculado sobre casos y no sobre menciones) y la matriz de atributos por marca, que es la base del mapa de posicionamiento. Se adelanta porque sin este tratamiento el bloque de imagen del cuestionario quedaría sin poder analizarse.</t>
  </si>
  <si>
    <t>Microclase condensada con ejemplo en Excel</t>
  </si>
  <si>
    <t>Procedimiento anotado en la guía</t>
  </si>
  <si>
    <t>Proyecto integrador · Libro de códigos y base definitiva</t>
  </si>
  <si>
    <t>Cada equipo elabora el libro de códigos de su propio cuestionario, variable por variable, y deja su base codificada y estructurada. Se entrega como parte del Avance 5.</t>
  </si>
  <si>
    <t>2.3.1 y Anexo A.3</t>
  </si>
  <si>
    <t>Taller con plantilla</t>
  </si>
  <si>
    <t>Laboratorio de cómputo con Excel, plantilla de libro de códigos</t>
  </si>
  <si>
    <t>AVANCE 5-A: base codificada y libro de códigos</t>
  </si>
  <si>
    <t>Verificación por un tercero</t>
  </si>
  <si>
    <t>Cada equipo entrega su base a otro equipo, que debe encontrar un dato concreto usando solo el libro de códigos. Si no lo logra, la base no está lista.</t>
  </si>
  <si>
    <t>Prueba de legibilidad cruzada</t>
  </si>
  <si>
    <t>Bases de los equipos</t>
  </si>
  <si>
    <t>Base validada por el equipo par</t>
  </si>
  <si>
    <t>Cierre y anuncio de la evaluación</t>
  </si>
  <si>
    <t>Síntesis y anuncio del temario de la Evaluación Permanente 1 del martes: depuración, codificación, tabulación y lectura de resultados en Excel.</t>
  </si>
  <si>
    <t>Encuadre de la evaluación</t>
  </si>
  <si>
    <t>Temario de la evaluación entregado</t>
  </si>
  <si>
    <t>Sesión 14 — Codificación de variables y estructura de la base de datos</t>
  </si>
  <si>
    <t>Instrumento de evaluación de la sesión: Rúbrica del libro de códigos y de la base de datos estructurada</t>
  </si>
  <si>
    <t>SESIÓN 15  ·  SEMANA 8  ·  Martes 06/10/2026  ·  Actividad 8: Análisis descriptivo y visualización en Excel  —  Tema: Tabulación estadística univariante y bivariante   |   • Tabulación univariante: distribución de frecuencias y porcentajes.   • Tabulación bivariante: tablas de contingencia cruzadas mediante tablas dinámicas.   |   Instrumento de evaluación: Práctica calificada en Excel (Evaluación Permanente 1 – 30%)</t>
  </si>
  <si>
    <t>06/10/2026</t>
  </si>
  <si>
    <t>Tablero comercial detonante</t>
  </si>
  <si>
    <t>Se proyecta un tablero comercial real y se plantea la pregunta: ¿qué decisión sustenta cada cuadro? Se recogen tres respuestas antes de entrar al procedimiento.</t>
  </si>
  <si>
    <t>Tabulación univariante: distribución de frecuencias y porcentajes</t>
  </si>
  <si>
    <t>Modelado en el proyector y réplica inmediata de cada estudiante: tabla de frecuencia absoluta, relativa y acumulada con la función de conteo y con tabla dinámica. Se advierte cuándo el porcentaje se calcula sobre casos y cuándo sobre menciones.</t>
  </si>
  <si>
    <t>Modelado y réplica inmediata</t>
  </si>
  <si>
    <t>Tabla de frecuencias construida</t>
  </si>
  <si>
    <t>Medidas que corresponden a cada nivel de medición</t>
  </si>
  <si>
    <t>Laboratorio: media, mediana, moda, varianza y desviación estándar, con la regla de qué medida admite cada nivel de medición. Ejercicio de detección: tres tablas donde el estadístico usado es incorrecto y hay que explicar por qué.</t>
  </si>
  <si>
    <t>Laboratorio y caza del error</t>
  </si>
  <si>
    <t>Laboratorio de cómputo con Excel, Ficha de trabajo impresa</t>
  </si>
  <si>
    <t>Ejercicio de medidas resuelto</t>
  </si>
  <si>
    <t>Tabulación bivariante con tablas dinámicas</t>
  </si>
  <si>
    <t>Modelado de la tabla de contingencia: cruce de una variable de clasificación con una de comportamiento, y lectura del porcentaje por fila frente al porcentaje por columna, que es donde se produce el error de interpretación más frecuente.</t>
  </si>
  <si>
    <t>Tabla de contingencia construida e interpretada</t>
  </si>
  <si>
    <t>Indicaciones de la evaluación</t>
  </si>
  <si>
    <t>Instrucciones de la práctica calificada, entrega de la base de evaluación y verificación de los equipos de cómputo.</t>
  </si>
  <si>
    <t>Base de evaluación distribuida</t>
  </si>
  <si>
    <t>EVALUACIÓN PERMANENTE 1: práctica calificada en Excel</t>
  </si>
  <si>
    <t>Práctica individual calificada: depurar una base entregada aplicando los criterios de anulación, codificar dos variables, construir una tabla de frecuencias y una tabla de contingencia, calcular las medidas que correspondan al nivel de medición y redactar la interpretación comercial de un resultado.</t>
  </si>
  <si>
    <t>2.3.1 y 2.3.2</t>
  </si>
  <si>
    <t>Evaluación práctica individual</t>
  </si>
  <si>
    <t>EVALUACIÓN PERMANENTE 1 (30%)</t>
  </si>
  <si>
    <t>Cierre de archivos, entrega de los trabajos y consultas finales.</t>
  </si>
  <si>
    <t>16:30</t>
  </si>
  <si>
    <t>ADELANTO PUNTUAL · Contraste de hipótesis: hipótesis nula, valor p y prueba ji cuadrada (contenido oficial de la semana 10)</t>
  </si>
  <si>
    <t>Microexplicación condensada del contraste de hipótesis con una sola idea operativa: si el valor p es menor que 0,05 se rechaza la hipótesis nula. Se ejecuta la prueba ji cuadrada sobre una tabla de contingencia ya construida en Excel y se redacta la conclusión en lenguaje comercial. Se adelanta para que los equipos puedan contrastar en la sesión 16 las hipótesis que formularon en la sesión 5 y cerrar el punto 2.3.3.</t>
  </si>
  <si>
    <t>Microclase condensada con ejecución en Excel</t>
  </si>
  <si>
    <t>Prueba ji cuadrada ejecutada sobre una tabla</t>
  </si>
  <si>
    <t>Retroalimentación inmediata</t>
  </si>
  <si>
    <t>Se resuelven en el proyector los dos ejercicios de mayor dificultad y cada estudiante contrasta su procedimiento con el correcto.</t>
  </si>
  <si>
    <t>Corrección modelada</t>
  </si>
  <si>
    <t>Autocorrección registrada</t>
  </si>
  <si>
    <t>Encargo para la sesión de gráficos</t>
  </si>
  <si>
    <t>Encargo: traer las tablas de su proyecto ya construidas, porque el miércoles se convierten en la lámina de resultados del informe.</t>
  </si>
  <si>
    <t>Encargo</t>
  </si>
  <si>
    <t>Sesión 15 — Tabulación estadística univariante y bivariante</t>
  </si>
  <si>
    <t>Instrumento de evaluación de la sesión: Práctica calificada en Excel (Evaluación Permanente 1 – 30%)</t>
  </si>
  <si>
    <t>SESIÓN 16  ·  SEMANA 8  ·  Miércoles 07/10/2026  ·  Actividad 8 (continuación)  —  Tema: Diseño de gráficos comerciales y lámina de resultados   |   • Diseño de gráficos comerciales adaptados a variables de comportamiento del consumidor.   |   Instrumento de evaluación: Lista de cotejo de la lámina de resultados gráficos</t>
  </si>
  <si>
    <t>07/10/2026</t>
  </si>
  <si>
    <t>Dos gráficos del mismo dato</t>
  </si>
  <si>
    <t>Se proyectan dos gráficos construidos con el mismo dato, uno claro y otro distorsionado por el eje truncado y el exceso de categorías. El aula identifica qué hace mentir al segundo.</t>
  </si>
  <si>
    <t>Comparación detonante</t>
  </si>
  <si>
    <t>Qué gráfico corresponde a cada variable</t>
  </si>
  <si>
    <t>Microexplicación del criterio de elección según el nivel de medición: barras para nominales y ordinales, histograma para variables de razón agrupadas, barras apiladas al cien por ciento para escalas de Likert y embudo para la recordación de marca. Errores frecuentes que se penalizan.</t>
  </si>
  <si>
    <t>Criterio de elección en el cuaderno</t>
  </si>
  <si>
    <t>Construcción de gráficos comerciales en Excel</t>
  </si>
  <si>
    <t>Laboratorio: construcción de los cuatro gráficos más usados en un informe de mercado, con título que comunica el hallazgo y no solo el nombre de la variable, etiquetas de dato, indicación del número de casos y fuente al pie.</t>
  </si>
  <si>
    <t>Cuatro gráficos construidos</t>
  </si>
  <si>
    <t>ADELANTO PUNTUAL · Intervalo de confianza y margen de error real alcanzado (contenido oficial de la semana 10)</t>
  </si>
  <si>
    <t>Microexplicación condensada: cómo se calcula en Excel el intervalo de confianza de una proporción y cómo se declara el margen de error realmente alcanzado con la muestra que se logró, que casi nunca coincide con el planificado. Cada equipo lo calcula para su propio estudio y lo incorpora a la ficha técnica.</t>
  </si>
  <si>
    <t>Microclase condensada con cálculo aplicado</t>
  </si>
  <si>
    <t>Margen de error real declarado en la ficha técnica</t>
  </si>
  <si>
    <t>ADELANTO PUNTUAL · Qué debe decir cada apartado especializado del informe (contenido oficial de las semanas 11 a 14)</t>
  </si>
  <si>
    <t>Microexplicación condensada de la estructura exigida en los cuatro apartados que faltan redactar: 2.4 y 2.4.1 (perfil del público objetivo y hábitos, con el dato que respalda cada rasgo), 2.6.1 (percepción, uso y satisfacción del producto) y 2.5.1 (imagen y posicionamiento con el mapa de atributos). Se entrega la plantilla de redacción de cada uno y se reparte la responsabilidad entre los integrantes del equipo.</t>
  </si>
  <si>
    <t>2.4, 2.4.1, 2.5.1 y 2.6.1</t>
  </si>
  <si>
    <t>Microclase condensada con plantillas de redacción</t>
  </si>
  <si>
    <t>Plantillas de redacción de los apartados</t>
  </si>
  <si>
    <t>Plantillas repartidas y responsables asignados</t>
  </si>
  <si>
    <t>Proyecto integrador · Lámina de resultados del estudio</t>
  </si>
  <si>
    <t>Cada equipo construye la lámina de resultados de su proyecto con sus propias tablas y gráficos, aplicando la lista de cotejo: título que comunica el hallazgo, número de casos visible, fuente al pie y ningún gráfico sin lectura.</t>
  </si>
  <si>
    <t>Taller con lista de cotejo</t>
  </si>
  <si>
    <t>Lámina de resultados del proyecto</t>
  </si>
  <si>
    <t>Espacio para resolver dificultades con los gráficos.</t>
  </si>
  <si>
    <t>Redacción de la lectura comercial de cada gráfico</t>
  </si>
  <si>
    <t>Se presenta la regla de los tres párrafos: qué dice el dato, qué significa para el consumidor y qué decisión sustenta. Cada equipo redacta el comentario de uno de sus gráficos y lo lee en voz alta.</t>
  </si>
  <si>
    <t>Modelado de escritura académica</t>
  </si>
  <si>
    <t>Plantilla de redacción</t>
  </si>
  <si>
    <t>Comentario de un gráfico redactado</t>
  </si>
  <si>
    <t>Cierre de la primera unidad</t>
  </si>
  <si>
    <t>Síntesis del recorrido de las ocho semanas: del problema al dato analizado. Cada equipo verifica en su lista de control qué puntos del informe ya tiene cubiertos y cuáles quedan pendientes. Anuncio de la segunda mitad del curso, dedicada a la inferencia y a los estudios especializados de mercado.</t>
  </si>
  <si>
    <t>Síntesis con lista de control</t>
  </si>
  <si>
    <t>Lista de control del proyecto</t>
  </si>
  <si>
    <t>Lista de control del proyecto actualizada</t>
  </si>
  <si>
    <t>Sesión 16 — Diseño de gráficos comerciales y lámina de resultados</t>
  </si>
  <si>
    <t>Instrumento de evaluación de la sesión: Lista de cotejo de la lámina de resultados gráficos</t>
  </si>
  <si>
    <t>RESUMEN POR SESIÓN · SESIONES 3 A 16 · coherente con el control de avance silábico</t>
  </si>
  <si>
    <t>ACTIVIDAD Y TEMA DEL SÍLABO</t>
  </si>
  <si>
    <t>SUBTEMAS EXACTOS DEL SÍLABO</t>
  </si>
  <si>
    <t>ENTREGABLE DEL PROYECTO</t>
  </si>
  <si>
    <t>INSTRUMENTO DE EVALUACIÓN</t>
  </si>
  <si>
    <t>MIN DOCENTE</t>
  </si>
  <si>
    <t>MIN ESTUDIANTE</t>
  </si>
  <si>
    <t>MIN PROYECTO</t>
  </si>
  <si>
    <t>MIN ADELANTO</t>
  </si>
  <si>
    <t>% ESTUDIANTE</t>
  </si>
  <si>
    <t>Actividad 2: Planteamiento de la investigación cuantitativa — Formulación del problema de investigación de mercados</t>
  </si>
  <si>
    <t>• Definición del planteamiento cuantitativo.
• Formulación del problema y objetivos de la investigación.</t>
  </si>
  <si>
    <t>Problema de investigación y objetivo general del equipo</t>
  </si>
  <si>
    <t>Rúbrica de formulación del problema y objetivos (Avance 1 del proyecto)</t>
  </si>
  <si>
    <t>Actividad 2 (continuación) — Casuística comercial, justificación, alcance y limitaciones</t>
  </si>
  <si>
    <t>• Casuística y aplicación en entornos comerciales de marketing.
• Justificación, alcance y limitaciones del estudio.</t>
  </si>
  <si>
    <t>AVANCE 1 entregado: planteamiento completo y población objetivo</t>
  </si>
  <si>
    <t>Lista de cotejo del análisis de casuística</t>
  </si>
  <si>
    <t>Actividad 3: Medición y escalas de medición — Formulación de variables, hipótesis y niveles de medición</t>
  </si>
  <si>
    <t>• Definición y operacionalización de variables (dependientes e independientes).
• Planteamiento y características de las hipótesis de investigación.
• Niveles de medición: escala nominal, ordinal, de intervalo y de razón.</t>
  </si>
  <si>
    <t>2.2.1 · 2.4.1</t>
  </si>
  <si>
    <t>AVANCE 2 entregado: matriz de operacionalización e hipótesis, ya con los indicadores de hábitos y actitudes</t>
  </si>
  <si>
    <t>Rúbrica de la matriz de operacionalización de variables e hipótesis (Avance 2)</t>
  </si>
  <si>
    <t>Actividad 3 (continuación) — Escalas de actitud aplicadas al instrumento del proyecto</t>
  </si>
  <si>
    <t>• Escalas de actitud aplicadas: escala de Likert y diferencial semántico.
• Escalas comparativas y no comparativas.</t>
  </si>
  <si>
    <t>2.2.3 · 2.5.1 · 2.6.1</t>
  </si>
  <si>
    <t>CUESTIONARIO COMPLETO: filtro, hábitos, producto, imagen, sostenibilidad y clasificación</t>
  </si>
  <si>
    <t>Lista de cotejo del ejercicio de construcción de escalas</t>
  </si>
  <si>
    <t>Actividad 4: Técnicas de muestreo y tamaño de muestra — Diseño muestral de la investigación cuantitativa</t>
  </si>
  <si>
    <t>• Muestreo probabilístico: aleatorio simple, sistemático y estratificado.
• Muestreo no probabilístico: conveniencia, cuotas y bola de nieve.</t>
  </si>
  <si>
    <t>Rúbrica de justificación del diseño muestral (Avance 3)</t>
  </si>
  <si>
    <t>Actividad 4 (continuación) — Cálculo del tamaño de muestra y captación de encuestados</t>
  </si>
  <si>
    <t>• Cálculo del tamaño de la muestra para estimación de medias y proporciones.
• Criterios de selección y captación de encuestados en el estudio de mercado.</t>
  </si>
  <si>
    <t>AVANCE 3 entregado: tamaño de muestra, cuotas y plan de campo. Campo autorizado</t>
  </si>
  <si>
    <t>Actividad 5: La encuesta como técnica de recolección — Metodología de aplicación de encuestas</t>
  </si>
  <si>
    <t>• Definición técnica del método de encuesta.
• Tipos de encuestas: telefónicas, personales, por correo y electrónicas.
• Ventajas, desventajas y adaptación del canal a los dispositivos móviles.</t>
  </si>
  <si>
    <t>2.2.3 y 2.3</t>
  </si>
  <si>
    <t>Ficha técnica del estudio y justificación del canal de aplicación</t>
  </si>
  <si>
    <t>Rúbrica de la matriz comparativa de tipos de encuesta</t>
  </si>
  <si>
    <t>Actividad 5 (continuación) — Plataformas en línea de recolección y primera lectura de datos</t>
  </si>
  <si>
    <t>• Uso de plataformas online de recolección (Google Forms, SurveyMonkey, Typeform).</t>
  </si>
  <si>
    <t>2.2.3 y 2.3.1</t>
  </si>
  <si>
    <t>PRIMER REPORTE DE RESULTADOS entregado a los demás cursos</t>
  </si>
  <si>
    <t>Lista de cotejo del formulario elaborado en la plataforma online</t>
  </si>
  <si>
    <t>Actividad 6: Diseño y estructura del cuestionario — Construcción del instrumento de recolección de datos</t>
  </si>
  <si>
    <t>• Estructura formal y flujo lógico del cuestionario (filtros, control, cuerpo, demográficos y cierre).
• Tipos y redacción de preguntas: cerradas de opción única, de opción múltiple y escalas.</t>
  </si>
  <si>
    <t>AVANCE 4: cuadro comparativo del cuestionario aplicado frente al corregido</t>
  </si>
  <si>
    <t>Rúbrica de diseño del cuestionario (Avance 4 del proyecto)</t>
  </si>
  <si>
    <t>Actividad 6 (continuación) — Prueba piloto o pre-test del instrumento</t>
  </si>
  <si>
    <t>• Diseño y ejecución de la prueba piloto o preliminar (pre-test).</t>
  </si>
  <si>
    <t>ANEXO A.2 armado: instrumento, pre-test y validación firmada</t>
  </si>
  <si>
    <t>Ficha de registro del pre-test y lista de cotejo de ajustes</t>
  </si>
  <si>
    <t>Actividad 7: Procesamiento de datos con Microsoft Excel — Limpieza y codificación de bases de datos cuantitativas</t>
  </si>
  <si>
    <t>• Auditoría de campo: revisión, validación y edición de encuestas recolectadas.</t>
  </si>
  <si>
    <t>Base del proyecto auditada con casos anulados declarados</t>
  </si>
  <si>
    <t>Lista de cotejo de la auditoría de la base de datos</t>
  </si>
  <si>
    <t>Actividad 7 (continuación) — Codificación de variables y estructura de la base de datos</t>
  </si>
  <si>
    <t>• Codificación de variables y tratamiento de preguntas abiertas.
• Creación y estructuración lógica de la base de datos en Excel.</t>
  </si>
  <si>
    <t>2.3.1 · 2.5.1 · Anexo A.3</t>
  </si>
  <si>
    <t>AVANCE 5-A: base codificada y libro de códigos (Anexo A.3)</t>
  </si>
  <si>
    <t>Rúbrica del libro de códigos y de la base de datos estructurada</t>
  </si>
  <si>
    <t>Actividad 8: Análisis descriptivo y visualización en Excel — Tabulación estadística univariante y bivariante</t>
  </si>
  <si>
    <t>• Tabulación univariante: distribución de frecuencias y porcentajes.
• Tabulación bivariante: tablas de contingencia cruzadas mediante tablas dinámicas.</t>
  </si>
  <si>
    <t>2.3.2 y 2.3.3</t>
  </si>
  <si>
    <t>EVALUACIÓN PERMANENTE 1 (30%) y prueba ji cuadrada ejecutada sobre una tabla de contingencia</t>
  </si>
  <si>
    <t>Práctica calificada en Excel (Evaluación Permanente 1 – 30%)</t>
  </si>
  <si>
    <t>Actividad 8 (continuación) — Diseño de gráficos comerciales y lámina de resultados</t>
  </si>
  <si>
    <t>• Diseño de gráficos comerciales adaptados a variables de comportamiento del consumidor.</t>
  </si>
  <si>
    <t>2.3.2 · 2.3.3 · 2.4 · 2.4.1 · 2.5.1 · 2.6.1</t>
  </si>
  <si>
    <t>CIERRE DEL COMPONENTE: lámina de resultados, margen de error real y plantillas de los apartados 2.4, 2.4.1, 2.5.1 y 2.6.1</t>
  </si>
  <si>
    <t>Lista de cotejo de la lámina de resultados gráficos</t>
  </si>
  <si>
    <t>14 sesiones · semanas 2 a 8</t>
  </si>
  <si>
    <t>MAPA ENTRE EL CURSO Y EL INFORME DEL PROYECTO INTEGRADOR</t>
  </si>
  <si>
    <t>Numeración tomada literalmente del documento «Proyecto Final MKT 2 – II Ciclo», numeral 6: Estructura del Informe Final. Solo se listan los puntos que le competen a Investigación Cuantitativa.</t>
  </si>
  <si>
    <t>PUNTO DEL INFORME FINAL</t>
  </si>
  <si>
    <t>QUÉ EXIGE EL PROYECTO EN ESE PUNTO</t>
  </si>
  <si>
    <t>SESIONES EN QUE SE TRABAJA</t>
  </si>
  <si>
    <t>SESIÓN EN QUE QUEDA CERRADO</t>
  </si>
  <si>
    <t>EVIDENCIA QUE LO SUSTENTA</t>
  </si>
  <si>
    <t>PARA QUÉ CURSO SIRVE</t>
  </si>
  <si>
    <t>2.2 Método de investigación</t>
  </si>
  <si>
    <t>Enfoque, tipo de investigación (descriptiva o correlacional) y diseño (no experimental, transversal) del componente cuantitativo.</t>
  </si>
  <si>
    <t>Sesiones 3 y 4</t>
  </si>
  <si>
    <t>Sesión 4</t>
  </si>
  <si>
    <t>Ficha del Avance 1</t>
  </si>
  <si>
    <t>Investigación Cualitativa, que redacta la parte cualitativa del mismo apartado</t>
  </si>
  <si>
    <t>2.2.1 Planteamiento del problema, variables e hipótesis</t>
  </si>
  <si>
    <t>Problema de investigación, preguntas, objetivo general y específicos, justificación, alcance, limitaciones, matriz de operacionalización de variables e hipótesis.</t>
  </si>
  <si>
    <t>Sesiones 3, 4 y 5</t>
  </si>
  <si>
    <t>Sesión 5</t>
  </si>
  <si>
    <t>Ficha del Avance 1 y matriz del Avance 2</t>
  </si>
  <si>
    <t>Solución de Problemas, que aporta el diagnóstico de la problemática comercial</t>
  </si>
  <si>
    <t>2.2.2 Técnicas de muestreo y determinación del tamaño de la muestra</t>
  </si>
  <si>
    <t>Definición de la población, tipo de muestreo con justificación, cálculo del tamaño de muestra con sus parámetros, cuotas y criterios de inclusión y exclusión.</t>
  </si>
  <si>
    <t>Sesiones 7 y 8</t>
  </si>
  <si>
    <t>Sesión 8</t>
  </si>
  <si>
    <t>Ficha del Avance 3 y hoja de cálculo del tamaño de muestra</t>
  </si>
  <si>
    <t>Estadística Aplicada, que valida la representatividad</t>
  </si>
  <si>
    <t>2.2.3 Diseño de instrumentos cuantitativos: cuestionario, tipos de preguntas y escala de Likert</t>
  </si>
  <si>
    <t>Cuestionario completo por bloques, justificación de los tipos de pregunta y de las escalas, canal de aplicación y prueba piloto documentada.</t>
  </si>
  <si>
    <t>Sesiones 6, 7, 9, 10, 11 y 12</t>
  </si>
  <si>
    <t>Sesión 12</t>
  </si>
  <si>
    <t>Cuestionario final, cuadro comparativo de versiones y ficha del pre-test</t>
  </si>
  <si>
    <t>Investigación Cualitativa, cuyos hallazgos alimentan las alternativas de respuesta</t>
  </si>
  <si>
    <t>2.3 Resultados de la investigación</t>
  </si>
  <si>
    <t>Ficha técnica del estudio: población, muestra planificada frente a la alcanzada, técnica, instrumento, fechas, lugar y margen de error real alcanzado.</t>
  </si>
  <si>
    <t>Sesiones 9, 10 y 16</t>
  </si>
  <si>
    <t>Sesión 16</t>
  </si>
  <si>
    <t>Ficha técnica y primer reporte de resultados</t>
  </si>
  <si>
    <t>Creatividad Comercial, Cultura Ambiental y Estadística Aplicada, que reciben los primeros datos</t>
  </si>
  <si>
    <t>2.3.1 Procesamiento y organización de datos mediante software especializado</t>
  </si>
  <si>
    <t>Base de datos auditada, depurada y codificada; libro de códigos; registro de encuestas anuladas con su motivo.</t>
  </si>
  <si>
    <t>Sesiones 10, 13 y 14</t>
  </si>
  <si>
    <t>Sesión 14</t>
  </si>
  <si>
    <t>Base del proyecto y libro de códigos</t>
  </si>
  <si>
    <t>Estadística Aplicada, que procesa esa misma base</t>
  </si>
  <si>
    <t>2.3.2 Análisis con estadística descriptiva (tendencia central y dispersión)</t>
  </si>
  <si>
    <t>Tablas de frecuencia y de contingencia de todo el cuestionario, medidas que correspondan al nivel de medición y gráficos con su lectura comercial.</t>
  </si>
  <si>
    <t>Sesiones 15 y 16</t>
  </si>
  <si>
    <t>Libro de tablas, gráficos y lámina de resultados</t>
  </si>
  <si>
    <t>Estadística Aplicada, que comparte el cálculo de las medidas</t>
  </si>
  <si>
    <t>2.3.3 Gráficos, reportes, intervalos de confianza y pruebas de hipótesis</t>
  </si>
  <si>
    <t>Contraste de las hipótesis del Avance 2 con su estadístico, su valor p y su decisión; intervalo de confianza y margen de error real. ADELANTADO desde la semana 10 mediante microenseñanza puntual en las sesiones 15 y 16.</t>
  </si>
  <si>
    <t>Sesiones 15 y 16 (adelanto)</t>
  </si>
  <si>
    <t>Salidas de la prueba ji cuadrada y cuadro de hipótesis contrastadas</t>
  </si>
  <si>
    <t>Estadística Aplicada, que profundiza el mismo contenido en la semana 10</t>
  </si>
  <si>
    <t>2.4 Determinación del público objetivo</t>
  </si>
  <si>
    <t>Perfil del público objetivo construido con los datos de la encuesta, con el dato que respalda cada rasgo. ADELANTADO desde la semana 14: la plantilla de redacción se entrega en la sesión 16.</t>
  </si>
  <si>
    <t>Sesiones 5, 15 y 16 (adelanto)</t>
  </si>
  <si>
    <t>Sesión 16, borrador redactado</t>
  </si>
  <si>
    <t>Tablas de las variables de clasificación y plantilla de perfil</t>
  </si>
  <si>
    <t>Creatividad Comercial, que define a quién se dirige la propuesta de valor</t>
  </si>
  <si>
    <t>2.4.1 Estudio de segmentación, hábitos y actitudes del consumidor</t>
  </si>
  <si>
    <t>Bloque de hábitos del cuestionario y su análisis: frecuencia, lugar, momento, gasto, canal y motivos de elección. ADELANTADO desde la semana 11 mediante microenseñanza puntual en la sesión 5.</t>
  </si>
  <si>
    <t>Sesiones 5, 6, 15 y 16 (adelanto)</t>
  </si>
  <si>
    <t>Bloque de hábitos aplicado y sus tablas</t>
  </si>
  <si>
    <t>Creatividad Comercial, que define el momento y el canal de la campaña</t>
  </si>
  <si>
    <t>2.5.1 Estudio de imagen y posicionamiento de marca actual</t>
  </si>
  <si>
    <t>Bloque de imagen del cuestionario y su análisis: recordación espontánea y asistida, atributos por marca y mapa de posicionamiento. ADELANTADO desde la semana 13 mediante microenseñanza puntual en las sesiones 6 y 14.</t>
  </si>
  <si>
    <t>Sesiones 6, 14, 15 y 16 (adelanto)</t>
  </si>
  <si>
    <t>Bloque de imagen aplicado, matriz de atributos y mapa de posicionamiento</t>
  </si>
  <si>
    <t>Creatividad Comercial, que define el territorio de posicionamiento</t>
  </si>
  <si>
    <t>2.6.1 Estudio del producto: percepción, uso y satisfacción del cliente</t>
  </si>
  <si>
    <t>Bloque de producto del cuestionario y su análisis: atributos en escala de Likert, satisfacción global, recomendación e intención de compra. ADELANTADO desde la semana 12 mediante microenseñanza puntual en la sesión 6.</t>
  </si>
  <si>
    <t>Sesiones 6, 15 y 16 (adelanto)</t>
  </si>
  <si>
    <t>Bloque de producto aplicado y sus tablas</t>
  </si>
  <si>
    <t>Creatividad Comercial, que sustenta el rediseño del producto y el prototipo</t>
  </si>
  <si>
    <t>Anexo A.2 Instrumentos de recolección de datos</t>
  </si>
  <si>
    <t>Cuestionario final aplicado, ficha técnica del instrumento, ficha de registro del pre-test, ficha de validación firmada y capturas del formulario en línea.</t>
  </si>
  <si>
    <t>Sesiones 11 y 12</t>
  </si>
  <si>
    <t>Carpeta del anexo A.2 verificada con lista de cotejo</t>
  </si>
  <si>
    <t>Investigación Cualitativa, que comparte el mismo anexo</t>
  </si>
  <si>
    <t>Anexo A.3 Bases de datos y tablas de salida</t>
  </si>
  <si>
    <t>Base de datos completa, libro de códigos y salidas del software, con correspondencia exacta con las tablas del informe.</t>
  </si>
  <si>
    <t>Sesiones 13, 14, 15 y 16</t>
  </si>
  <si>
    <t>Archivo de la base, libro de códigos y salidas</t>
  </si>
  <si>
    <t>Estadística Aplicada, que adjunta sus salidas al mismo anexo</t>
  </si>
  <si>
    <t>Al terminar la sesión 16 el componente de Investigación Cuantitativa queda cerrado en su totalidad: los catorce puntos de este cuadro tienen evidencia producida. De la semana 9 en adelante no se genera material nuevo, solo se revisa y se profundiza, según el detalle de la hoja «SEMANAS 9 A 16».</t>
  </si>
  <si>
    <t>CONTROL DE AVANCE DEL DICTADO · SESIONES 3 A 16</t>
  </si>
  <si>
    <t>PUNTO DEL INFORME</t>
  </si>
  <si>
    <t>ESTADO</t>
  </si>
  <si>
    <t>FECHA REAL</t>
  </si>
  <si>
    <t>OBSERVACIONES DEL DOCENTE</t>
  </si>
  <si>
    <t>Pendiente</t>
  </si>
  <si>
    <t>AVANCE DEL PLAN (sesiones dictadas completas)</t>
  </si>
  <si>
    <t>ADELANTOS PUNTUALES · microenseñanzas que permiten cerrar el proyecto en la semana 8</t>
  </si>
  <si>
    <t>Regla de uso: el temario de cada sesión sigue siendo el del control de avance silábico y no se altera. Estos seis adelantos suman 70 minutos en catorce sesiones (4,4% del tiempo lectivo) y se dictan en formato condensado, solo con el alcance mínimo que el proyecto necesita para no detenerse. El contenido completo se desarrolla igual en su semana original, y ahí los estudiantes ya llegan con la experiencia de haberlo aplicado.</t>
  </si>
  <si>
    <t>N°</t>
  </si>
  <si>
    <t>CONTENIDO QUE SE ADELANTA</t>
  </si>
  <si>
    <t>SEMANA A LA QUE PERTENECE EN EL SÍLABO</t>
  </si>
  <si>
    <t>POR QUÉ NO PUEDE ESPERAR</t>
  </si>
  <si>
    <t>PUNTO DEL INFORME QUE DESBLOQUEA</t>
  </si>
  <si>
    <t>QUÉ SE ENSEÑA EXACTAMENTE (alcance mínimo)</t>
  </si>
  <si>
    <t>QUÉ NO SE ENSEÑA TODAVÍA</t>
  </si>
  <si>
    <t>1</t>
  </si>
  <si>
    <t>Qué mide un estudio de hábitos y actitudes (U&amp;A)</t>
  </si>
  <si>
    <t>Semana 11 · Actividad 10-11</t>
  </si>
  <si>
    <t>La matriz de operacionalización se construye ese día. Un indicador que no entra en la matriz no genera pregunta, y una pregunta que no se formula ya no se puede recuperar cuando el cuestionario esté en la calle.</t>
  </si>
  <si>
    <t>Los seis indicadores estándar de un estudio U&amp;A: frecuencia, lugar, momento, gasto, canal y motivos de elección, con la forma de pregunta que corresponde a cada uno.</t>
  </si>
  <si>
    <t>La metodología completa de un estudio U&amp;A, sus antecedentes y la lectura de informes U&amp;A publicados, que se ven en la semana 11.</t>
  </si>
  <si>
    <t>2</t>
  </si>
  <si>
    <t>Sesión 6</t>
  </si>
  <si>
    <t>Qué mide el estudio de producto, el de imagen y posicionamiento y el de segmentación</t>
  </si>
  <si>
    <t>Semanas 12, 13 y 14</t>
  </si>
  <si>
    <t>El cuestionario se termina ese día y sale a campo en la sesión 8. Si estos tres bloques no entran ahora, los puntos 2.5.1, 2.6.1 y 2.4 se quedarían sin datos y habría que volver a encuestar.</t>
  </si>
  <si>
    <t>2.5.1, 2.6.1 y 2.4</t>
  </si>
  <si>
    <t>Del estudio de producto: atributos en escala, satisfacción global e intención de compra. Del estudio de imagen: recordación espontánea antes que la asistida y asociación de atributos por marca. De la segmentación: qué variables de clasificación permiten cruzar todo lo demás.</t>
  </si>
  <si>
    <t>La prueba de concepto y la prueba de producto, el mapa perceptual y las técnicas de agrupamiento de segmentos, que se ven en las semanas 12, 13 y 14.</t>
  </si>
  <si>
    <t>3</t>
  </si>
  <si>
    <t>Tratamiento de la respuesta múltiple y de la matriz de atributos por marca</t>
  </si>
  <si>
    <t>Semana 13 · Actividad 13</t>
  </si>
  <si>
    <t>La base se codifica ese día. Si el bloque de imagen se codifica mal, el mapa de posicionamiento no se puede construir y hay que rehacer la base entera.</t>
  </si>
  <si>
    <t>Una columna dicotómica por alternativa, porcentaje calculado sobre casos y no sobre menciones, y la estructura de la matriz de marcas por atributos.</t>
  </si>
  <si>
    <t>La construcción e interpretación del mapa perceptual completo y las medidas de distancia entre marcas, que se ven en la semana 13.</t>
  </si>
  <si>
    <t>4</t>
  </si>
  <si>
    <t>Sesión 15</t>
  </si>
  <si>
    <t>Contraste de hipótesis: hipótesis nula, valor p y prueba ji cuadrada</t>
  </si>
  <si>
    <t>Semana 10 · Actividad 9</t>
  </si>
  <si>
    <t>Las hipótesis se formularon en la sesión 5 y quedarían enunciadas pero sin contrastar. El punto 2.3.3 exige la decisión estadística, no la hipótesis sola.</t>
  </si>
  <si>
    <t>Una sola idea operativa: si el valor p es menor que 0,05 se rechaza la hipótesis nula. Ejecución de la prueba ji cuadrada sobre una tabla de contingencia ya construida y redacción de la conclusión.</t>
  </si>
  <si>
    <t>El fundamento teórico del contraste, el error de tipo I y II, la potencia de la prueba y las demás pruebas de asociación, que se ven en la semana 10.</t>
  </si>
  <si>
    <t>5</t>
  </si>
  <si>
    <t>Intervalo de confianza y margen de error real alcanzado</t>
  </si>
  <si>
    <t>La ficha técnica del estudio debe declarar el margen de error de la muestra que realmente se logró, que casi nunca coincide con el planificado.</t>
  </si>
  <si>
    <t>2.3 y 2.3.3</t>
  </si>
  <si>
    <t>Cálculo en Excel del intervalo de confianza de una proporción y del margen de error real con la muestra alcanzada.</t>
  </si>
  <si>
    <t>La estimación de medias, el tamaño del efecto y la interpretación avanzada de intervalos, que se ven en la semana 10.</t>
  </si>
  <si>
    <t>6</t>
  </si>
  <si>
    <t>Qué debe decir cada apartado especializado del informe</t>
  </si>
  <si>
    <t>Semanas 11 a 14</t>
  </si>
  <si>
    <t>Sin la plantilla de redacción, los equipos tendrían las tablas pero no sabrían escribir los apartados, y el borrador no quedaría listo en la semana 8.</t>
  </si>
  <si>
    <t>La estructura exigida de cada apartado y la regla de que cada rasgo del perfil cite el dato que lo respalda. Se reparte la redacción entre los integrantes del equipo.</t>
  </si>
  <si>
    <t>La profundización de cada tipo de estudio con casos reales del mercado, que se ve en las semanas 11 a 14.</t>
  </si>
  <si>
    <t>Total de minutos adelantados sobre 1 575 minutos lectivos</t>
  </si>
  <si>
    <t>SEMANAS 9 A 16 · REVISIÓN Y MEJORAMIENTO DEL COMPONENTE YA TERMINADO</t>
  </si>
  <si>
    <t>En la semana 8 el componente de Investigación Cuantitativa queda cerrado con evidencia en todos sus puntos. De aquí en adelante el sílabo desarrolla los mismos temas en profundidad y los equipos vuelven sobre su propio trabajo: ya no aprenden para producir, sino que producen mejor lo que ya tienen. Esta hoja es un mapa de referencia; el plan detallado de estas semanas se elabora aparte.</t>
  </si>
  <si>
    <t>SEMANA</t>
  </si>
  <si>
    <t>SESIONES</t>
  </si>
  <si>
    <t>TEMA DEL SÍLABO</t>
  </si>
  <si>
    <t>QUÉ SE REVISA O SE PROFUNDIZA DEL PROYECTO YA TERMINADO</t>
  </si>
  <si>
    <t>NIVEL AL QUE DEBE LLEGAR LA NUEVA VERSIÓN</t>
  </si>
  <si>
    <t>PUNTO DEL INFORME QUE MEJORA</t>
  </si>
  <si>
    <t>Semana 9</t>
  </si>
  <si>
    <t>17 y 18</t>
  </si>
  <si>
    <t>Introducción al análisis con Jamovi: interfaz, importación y verificación de la base</t>
  </si>
  <si>
    <t>La base ya depurada y codificada en Excel se migra a Jamovi y se verifica que el nivel de medición declarado en la matriz de operacionalización coincida con el asignado en el software.</t>
  </si>
  <si>
    <t>Toda discrepancia obliga a corregir la matriz, no el software. La base queda replicada en dos entornos, lo que permite verificar que los resultados coinciden.</t>
  </si>
  <si>
    <t>Semana 10</t>
  </si>
  <si>
    <t>19 y 20</t>
  </si>
  <si>
    <t>Inferencia estadística y contraste de hipótesis en Jamovi: ji cuadrada, significancia y valor p</t>
  </si>
  <si>
    <t>Se rehacen en Jamovi los contrastes que se adelantaron en Excel en la sesión 15 y se agregan los que faltaron. Se revisa la redacción de cada decisión estadística.</t>
  </si>
  <si>
    <t>El contraste pasa de una prueba ejecutada a una conclusión argumentada: se distingue asociación de causalidad y se declara qué hipótesis no resultaron significativas.</t>
  </si>
  <si>
    <t>Semana 11</t>
  </si>
  <si>
    <t>21 y 22</t>
  </si>
  <si>
    <t>Estudio de hábitos y actitudes (U&amp;A)</t>
  </si>
  <si>
    <t>Se contrasta el bloque de hábitos del cuestionario con el estándar profesional de un estudio U&amp;A y se identifica qué quedó sin preguntar.</t>
  </si>
  <si>
    <t>Lo faltante se declara como limitación del estudio y el apartado 2.4.1 pasa de un borrador descriptivo a un texto con perfil de consumo argumentado.</t>
  </si>
  <si>
    <t>Semana 12</t>
  </si>
  <si>
    <t>23 y 24</t>
  </si>
  <si>
    <t>Estudio de productos: prueba de concepto y prueba de producto</t>
  </si>
  <si>
    <t>Se eleva el análisis del bloque de producto al estándar de una prueba de concepto: intención de compra, precio aceptado y atributos priorizados.</t>
  </si>
  <si>
    <t>El apartado 2.6.1 deja de describir tablas y pasa a indicar qué se rediseña primero y con qué evidencia.</t>
  </si>
  <si>
    <t>Semana 13</t>
  </si>
  <si>
    <t>25 y 26</t>
  </si>
  <si>
    <t>Estudio de imagen y posicionamiento</t>
  </si>
  <si>
    <t>Con la matriz de atributos por marca ya codificada se construye el mapa de posicionamiento completo y se interpreta el territorio disponible.</t>
  </si>
  <si>
    <t>El apartado 2.5.1 pasa de un cuadro de recordación a una lectura competitiva con territorio identificado para la propuesta.</t>
  </si>
  <si>
    <t>Semana 14</t>
  </si>
  <si>
    <t>27 y 28</t>
  </si>
  <si>
    <t>Estudio de segmentación de mercado y satisfacción del cliente</t>
  </si>
  <si>
    <t>Se revisa el perfil del público objetivo y se verifica que cada rasgo cite el dato que lo respalda; se incorporan los cruces que faltaban.</t>
  </si>
  <si>
    <t>El apartado 2.4 pasa de una descripción genérica a un perfil sustentado dato por dato, listo para que Creatividad Comercial lo use.</t>
  </si>
  <si>
    <t>Semana 15</t>
  </si>
  <si>
    <t>29 y 30</t>
  </si>
  <si>
    <t>Presentación del proyecto final: informe bajo normas APA y sustentación</t>
  </si>
  <si>
    <t>Se integran todos los apartados en un texto continuo, se verifica la trazabilidad entre objetivo, pregunta, tabla y conclusión, y se prepara la defensa metodológica.</t>
  </si>
  <si>
    <t>El informe deja de ser un conjunto de avances y pasa a ser un documento único, con formato APA 7 y anexos ordenados.</t>
  </si>
  <si>
    <t>Todos los puntos del componente</t>
  </si>
  <si>
    <t>Semana 16</t>
  </si>
  <si>
    <t>31 y 32</t>
  </si>
  <si>
    <t>Evaluación final y cierre del curso</t>
  </si>
  <si>
    <t>Se levantan las observaciones metodológicas del jurado y se entrega la versión final de los anexos A.2 y A.3.</t>
  </si>
  <si>
    <t>Versión final del componente cuantitativo, sin observaciones pendientes.</t>
  </si>
  <si>
    <t>Se presenta la meta del día en la pizarra: salir con el problema de investigación y los objetivos del proyecto escritos. Revisión de la lectura asignada en la sesión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</si>
</sst>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1F3864"/>
      <name val="Arial"/>
      <family val="2"/>
    </font>
    <font>
      <i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CE6F1"/>
      </patternFill>
    </fill>
    <fill>
      <patternFill patternType="solid">
        <fgColor rgb="FFD9E2F3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2F3"/>
      </patternFill>
    </fill>
    <fill>
      <patternFill patternType="solid">
        <fgColor rgb="FFF8CBAD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6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8" fillId="1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4DFE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9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2" customWidth="1"/>
    <col min="3" max="3" width="100" customWidth="1"/>
  </cols>
  <sheetData>
    <row r="2" spans="2:3" ht="33.75" customHeight="1" x14ac:dyDescent="0.3">
      <c r="B2" s="7" t="s">
        <v>0</v>
      </c>
      <c r="C2" s="7"/>
    </row>
    <row r="3" spans="2:3" ht="25.5" customHeight="1" x14ac:dyDescent="0.3">
      <c r="B3" s="6" t="s">
        <v>1</v>
      </c>
      <c r="C3" s="6"/>
    </row>
    <row r="5" spans="2:3" ht="21.75" customHeight="1" x14ac:dyDescent="0.3">
      <c r="B5" s="8" t="s">
        <v>2</v>
      </c>
      <c r="C5" s="9" t="s">
        <v>3</v>
      </c>
    </row>
    <row r="6" spans="2:3" ht="21.75" customHeight="1" x14ac:dyDescent="0.3">
      <c r="B6" s="8" t="s">
        <v>4</v>
      </c>
      <c r="C6" s="9" t="s">
        <v>5</v>
      </c>
    </row>
    <row r="7" spans="2:3" ht="21.75" customHeight="1" x14ac:dyDescent="0.3">
      <c r="B7" s="8" t="s">
        <v>6</v>
      </c>
      <c r="C7" s="9" t="s">
        <v>7</v>
      </c>
    </row>
    <row r="8" spans="2:3" ht="21.75" customHeight="1" x14ac:dyDescent="0.3">
      <c r="B8" s="8" t="s">
        <v>8</v>
      </c>
      <c r="C8" s="9" t="s">
        <v>9</v>
      </c>
    </row>
    <row r="9" spans="2:3" ht="21.75" customHeight="1" x14ac:dyDescent="0.3">
      <c r="B9" s="8" t="s">
        <v>10</v>
      </c>
      <c r="C9" s="9" t="s">
        <v>11</v>
      </c>
    </row>
    <row r="10" spans="2:3" ht="21.75" customHeight="1" x14ac:dyDescent="0.3">
      <c r="B10" s="8" t="s">
        <v>12</v>
      </c>
      <c r="C10" s="9" t="s">
        <v>13</v>
      </c>
    </row>
    <row r="11" spans="2:3" ht="21.75" customHeight="1" x14ac:dyDescent="0.3">
      <c r="B11" s="8" t="s">
        <v>14</v>
      </c>
      <c r="C11" s="9" t="s">
        <v>15</v>
      </c>
    </row>
    <row r="12" spans="2:3" ht="21.75" customHeight="1" x14ac:dyDescent="0.3">
      <c r="B12" s="8" t="s">
        <v>16</v>
      </c>
      <c r="C12" s="9" t="s">
        <v>17</v>
      </c>
    </row>
    <row r="13" spans="2:3" ht="21.75" customHeight="1" x14ac:dyDescent="0.3">
      <c r="B13" s="8" t="s">
        <v>18</v>
      </c>
      <c r="C13" s="9" t="s">
        <v>19</v>
      </c>
    </row>
    <row r="14" spans="2:3" ht="21.75" customHeight="1" x14ac:dyDescent="0.3">
      <c r="B14" s="8" t="s">
        <v>20</v>
      </c>
      <c r="C14" s="9" t="s">
        <v>21</v>
      </c>
    </row>
    <row r="16" spans="2:3" ht="21.75" customHeight="1" x14ac:dyDescent="0.3">
      <c r="B16" s="5" t="s">
        <v>22</v>
      </c>
      <c r="C16" s="5"/>
    </row>
    <row r="17" spans="2:3" ht="21.75" customHeight="1" x14ac:dyDescent="0.3">
      <c r="B17" s="10" t="s">
        <v>23</v>
      </c>
      <c r="C17" s="9" t="s">
        <v>24</v>
      </c>
    </row>
    <row r="18" spans="2:3" ht="21.75" customHeight="1" x14ac:dyDescent="0.3">
      <c r="B18" s="10" t="s">
        <v>25</v>
      </c>
      <c r="C18" s="9" t="s">
        <v>26</v>
      </c>
    </row>
    <row r="19" spans="2:3" ht="21.75" customHeight="1" x14ac:dyDescent="0.3">
      <c r="B19" s="10" t="s">
        <v>27</v>
      </c>
      <c r="C19" s="9" t="s">
        <v>28</v>
      </c>
    </row>
    <row r="20" spans="2:3" ht="21.75" customHeight="1" x14ac:dyDescent="0.3">
      <c r="B20" s="10" t="s">
        <v>29</v>
      </c>
      <c r="C20" s="9" t="s">
        <v>30</v>
      </c>
    </row>
    <row r="21" spans="2:3" ht="21.75" customHeight="1" x14ac:dyDescent="0.3">
      <c r="B21" s="10" t="s">
        <v>31</v>
      </c>
      <c r="C21" s="9" t="s">
        <v>32</v>
      </c>
    </row>
    <row r="22" spans="2:3" ht="21.75" customHeight="1" x14ac:dyDescent="0.3">
      <c r="B22" s="10" t="s">
        <v>33</v>
      </c>
      <c r="C22" s="9" t="s">
        <v>34</v>
      </c>
    </row>
    <row r="23" spans="2:3" ht="21.75" customHeight="1" x14ac:dyDescent="0.3">
      <c r="B23" s="10" t="s">
        <v>35</v>
      </c>
      <c r="C23" s="9" t="s">
        <v>36</v>
      </c>
    </row>
    <row r="24" spans="2:3" ht="21.75" customHeight="1" x14ac:dyDescent="0.3">
      <c r="B24" s="10" t="s">
        <v>37</v>
      </c>
      <c r="C24" s="9" t="s">
        <v>38</v>
      </c>
    </row>
    <row r="25" spans="2:3" ht="21.75" customHeight="1" x14ac:dyDescent="0.3">
      <c r="B25" s="10" t="s">
        <v>39</v>
      </c>
      <c r="C25" s="9" t="s">
        <v>40</v>
      </c>
    </row>
    <row r="26" spans="2:3" ht="21.75" customHeight="1" x14ac:dyDescent="0.3">
      <c r="B26" s="10" t="s">
        <v>41</v>
      </c>
      <c r="C26" s="9" t="s">
        <v>42</v>
      </c>
    </row>
    <row r="27" spans="2:3" ht="21.75" customHeight="1" x14ac:dyDescent="0.3">
      <c r="B27" s="10" t="s">
        <v>43</v>
      </c>
      <c r="C27" s="9" t="s">
        <v>44</v>
      </c>
    </row>
    <row r="28" spans="2:3" ht="21.75" customHeight="1" x14ac:dyDescent="0.3">
      <c r="B28" s="10" t="s">
        <v>45</v>
      </c>
      <c r="C28" s="9" t="s">
        <v>46</v>
      </c>
    </row>
    <row r="30" spans="2:3" ht="21.75" customHeight="1" x14ac:dyDescent="0.3">
      <c r="B30" s="5" t="s">
        <v>47</v>
      </c>
      <c r="C30" s="5"/>
    </row>
    <row r="31" spans="2:3" ht="21.75" customHeight="1" x14ac:dyDescent="0.3">
      <c r="B31" s="8" t="s">
        <v>48</v>
      </c>
      <c r="C31" s="9" t="s">
        <v>49</v>
      </c>
    </row>
    <row r="32" spans="2:3" ht="21.75" customHeight="1" x14ac:dyDescent="0.3">
      <c r="B32" s="8" t="s">
        <v>50</v>
      </c>
      <c r="C32" s="9" t="s">
        <v>51</v>
      </c>
    </row>
    <row r="33" spans="2:3" ht="21.75" customHeight="1" x14ac:dyDescent="0.3">
      <c r="B33" s="8" t="s">
        <v>52</v>
      </c>
      <c r="C33" s="9" t="s">
        <v>53</v>
      </c>
    </row>
    <row r="34" spans="2:3" ht="21.75" customHeight="1" x14ac:dyDescent="0.3">
      <c r="B34" s="8" t="s">
        <v>54</v>
      </c>
      <c r="C34" s="9" t="s">
        <v>55</v>
      </c>
    </row>
    <row r="35" spans="2:3" ht="21.75" customHeight="1" x14ac:dyDescent="0.3">
      <c r="B35" s="8" t="s">
        <v>56</v>
      </c>
      <c r="C35" s="9" t="s">
        <v>57</v>
      </c>
    </row>
    <row r="36" spans="2:3" ht="21.75" customHeight="1" x14ac:dyDescent="0.3">
      <c r="B36" s="8" t="s">
        <v>58</v>
      </c>
      <c r="C36" s="9" t="s">
        <v>59</v>
      </c>
    </row>
    <row r="38" spans="2:3" ht="21.75" customHeight="1" x14ac:dyDescent="0.3">
      <c r="B38" s="8" t="s">
        <v>60</v>
      </c>
      <c r="C38" s="9" t="s">
        <v>61</v>
      </c>
    </row>
    <row r="39" spans="2:3" ht="21.75" customHeight="1" x14ac:dyDescent="0.3">
      <c r="B39" s="8" t="s">
        <v>62</v>
      </c>
      <c r="C39" s="9" t="s">
        <v>63</v>
      </c>
    </row>
  </sheetData>
  <mergeCells count="4">
    <mergeCell ref="B2:C2"/>
    <mergeCell ref="B3:C3"/>
    <mergeCell ref="B16:C16"/>
    <mergeCell ref="B30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5"/>
  <sheetViews>
    <sheetView showGridLines="0"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2" sqref="J12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1" customWidth="1"/>
    <col min="4" max="4" width="10" customWidth="1"/>
    <col min="5" max="6" width="8" customWidth="1"/>
    <col min="7" max="7" width="6" customWidth="1"/>
    <col min="8" max="8" width="12" customWidth="1"/>
    <col min="9" max="9" width="34" customWidth="1"/>
    <col min="10" max="10" width="88" customWidth="1"/>
    <col min="11" max="11" width="16" customWidth="1"/>
    <col min="12" max="12" width="30" customWidth="1"/>
    <col min="13" max="13" width="18" customWidth="1"/>
    <col min="14" max="14" width="13" customWidth="1"/>
    <col min="15" max="15" width="28" customWidth="1"/>
    <col min="16" max="16" width="34" customWidth="1"/>
  </cols>
  <sheetData>
    <row r="1" spans="1:16" ht="27.75" customHeight="1" x14ac:dyDescent="0.3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3">
      <c r="A2" s="11" t="s">
        <v>65</v>
      </c>
      <c r="B2" s="11" t="s">
        <v>66</v>
      </c>
      <c r="C2" s="11" t="s">
        <v>67</v>
      </c>
      <c r="D2" s="11" t="s">
        <v>68</v>
      </c>
      <c r="E2" s="11" t="s">
        <v>69</v>
      </c>
      <c r="F2" s="11" t="s">
        <v>70</v>
      </c>
      <c r="G2" s="11" t="s">
        <v>71</v>
      </c>
      <c r="H2" s="11" t="s">
        <v>72</v>
      </c>
      <c r="I2" s="11" t="s">
        <v>73</v>
      </c>
      <c r="J2" s="11" t="s">
        <v>74</v>
      </c>
      <c r="K2" s="11" t="s">
        <v>75</v>
      </c>
      <c r="L2" s="11" t="s">
        <v>76</v>
      </c>
      <c r="M2" s="11" t="s">
        <v>77</v>
      </c>
      <c r="N2" s="11" t="s">
        <v>78</v>
      </c>
      <c r="O2" s="11" t="s">
        <v>79</v>
      </c>
      <c r="P2" s="11" t="s">
        <v>80</v>
      </c>
    </row>
    <row r="3" spans="1:16" ht="30" customHeight="1" x14ac:dyDescent="0.3">
      <c r="A3" s="3" t="s">
        <v>81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8" customHeight="1" x14ac:dyDescent="0.3">
      <c r="A4" s="12">
        <v>2</v>
      </c>
      <c r="B4" s="12">
        <v>3</v>
      </c>
      <c r="C4" s="12" t="s">
        <v>82</v>
      </c>
      <c r="D4" s="12" t="s">
        <v>83</v>
      </c>
      <c r="E4" s="12" t="s">
        <v>84</v>
      </c>
      <c r="F4" s="12" t="s">
        <v>85</v>
      </c>
      <c r="G4" s="12">
        <v>5</v>
      </c>
      <c r="H4" s="13" t="s">
        <v>86</v>
      </c>
      <c r="I4" s="14" t="s">
        <v>87</v>
      </c>
      <c r="J4" s="56" t="s">
        <v>923</v>
      </c>
      <c r="K4" s="12" t="s">
        <v>88</v>
      </c>
      <c r="L4" s="15" t="s">
        <v>89</v>
      </c>
      <c r="M4" s="15" t="s">
        <v>90</v>
      </c>
      <c r="N4" s="15" t="s">
        <v>8</v>
      </c>
      <c r="O4" s="15" t="s">
        <v>91</v>
      </c>
      <c r="P4" s="15" t="s">
        <v>88</v>
      </c>
    </row>
    <row r="5" spans="1:16" ht="48" customHeight="1" x14ac:dyDescent="0.3">
      <c r="A5" s="12">
        <v>2</v>
      </c>
      <c r="B5" s="12">
        <v>3</v>
      </c>
      <c r="C5" s="12" t="s">
        <v>82</v>
      </c>
      <c r="D5" s="12" t="s">
        <v>83</v>
      </c>
      <c r="E5" s="12" t="s">
        <v>85</v>
      </c>
      <c r="F5" s="12" t="s">
        <v>92</v>
      </c>
      <c r="G5" s="12">
        <v>15</v>
      </c>
      <c r="H5" s="13" t="s">
        <v>86</v>
      </c>
      <c r="I5" s="14" t="s">
        <v>93</v>
      </c>
      <c r="J5" s="56" t="s">
        <v>94</v>
      </c>
      <c r="K5" s="12" t="s">
        <v>88</v>
      </c>
      <c r="L5" s="15" t="s">
        <v>95</v>
      </c>
      <c r="M5" s="15" t="s">
        <v>96</v>
      </c>
      <c r="N5" s="15" t="s">
        <v>97</v>
      </c>
      <c r="O5" s="15" t="s">
        <v>98</v>
      </c>
      <c r="P5" s="15" t="s">
        <v>99</v>
      </c>
    </row>
    <row r="6" spans="1:16" ht="48" customHeight="1" x14ac:dyDescent="0.3">
      <c r="A6" s="12">
        <v>2</v>
      </c>
      <c r="B6" s="12">
        <v>3</v>
      </c>
      <c r="C6" s="12" t="s">
        <v>82</v>
      </c>
      <c r="D6" s="12" t="s">
        <v>83</v>
      </c>
      <c r="E6" s="12" t="s">
        <v>92</v>
      </c>
      <c r="F6" s="12" t="s">
        <v>100</v>
      </c>
      <c r="G6" s="12">
        <v>10</v>
      </c>
      <c r="H6" s="16" t="s">
        <v>101</v>
      </c>
      <c r="I6" s="17" t="s">
        <v>102</v>
      </c>
      <c r="J6" s="56" t="s">
        <v>103</v>
      </c>
      <c r="K6" s="18" t="s">
        <v>23</v>
      </c>
      <c r="L6" s="15" t="s">
        <v>104</v>
      </c>
      <c r="M6" s="15" t="s">
        <v>90</v>
      </c>
      <c r="N6" s="15" t="s">
        <v>8</v>
      </c>
      <c r="O6" s="15" t="s">
        <v>105</v>
      </c>
      <c r="P6" s="15" t="s">
        <v>106</v>
      </c>
    </row>
    <row r="7" spans="1:16" ht="48" customHeight="1" x14ac:dyDescent="0.3">
      <c r="A7" s="12">
        <v>2</v>
      </c>
      <c r="B7" s="12">
        <v>3</v>
      </c>
      <c r="C7" s="12" t="s">
        <v>82</v>
      </c>
      <c r="D7" s="12" t="s">
        <v>83</v>
      </c>
      <c r="E7" s="12" t="s">
        <v>100</v>
      </c>
      <c r="F7" s="12" t="s">
        <v>107</v>
      </c>
      <c r="G7" s="12">
        <v>10</v>
      </c>
      <c r="H7" s="16" t="s">
        <v>101</v>
      </c>
      <c r="I7" s="17" t="s">
        <v>108</v>
      </c>
      <c r="J7" s="56" t="s">
        <v>109</v>
      </c>
      <c r="K7" s="18" t="s">
        <v>23</v>
      </c>
      <c r="L7" s="15" t="s">
        <v>110</v>
      </c>
      <c r="M7" s="15" t="s">
        <v>90</v>
      </c>
      <c r="N7" s="15" t="s">
        <v>8</v>
      </c>
      <c r="O7" s="15" t="s">
        <v>91</v>
      </c>
      <c r="P7" s="15" t="s">
        <v>111</v>
      </c>
    </row>
    <row r="8" spans="1:16" ht="48" customHeight="1" x14ac:dyDescent="0.3">
      <c r="A8" s="12">
        <v>2</v>
      </c>
      <c r="B8" s="12">
        <v>3</v>
      </c>
      <c r="C8" s="12" t="s">
        <v>82</v>
      </c>
      <c r="D8" s="12" t="s">
        <v>83</v>
      </c>
      <c r="E8" s="12" t="s">
        <v>107</v>
      </c>
      <c r="F8" s="12" t="s">
        <v>112</v>
      </c>
      <c r="G8" s="12">
        <v>20</v>
      </c>
      <c r="H8" s="16" t="s">
        <v>101</v>
      </c>
      <c r="I8" s="17" t="s">
        <v>113</v>
      </c>
      <c r="J8" s="56" t="s">
        <v>114</v>
      </c>
      <c r="K8" s="18" t="s">
        <v>23</v>
      </c>
      <c r="L8" s="15" t="s">
        <v>115</v>
      </c>
      <c r="M8" s="15" t="s">
        <v>116</v>
      </c>
      <c r="N8" s="15" t="s">
        <v>97</v>
      </c>
      <c r="O8" s="15" t="s">
        <v>117</v>
      </c>
      <c r="P8" s="15" t="s">
        <v>118</v>
      </c>
    </row>
    <row r="9" spans="1:16" ht="48" customHeight="1" x14ac:dyDescent="0.3">
      <c r="A9" s="12">
        <v>2</v>
      </c>
      <c r="B9" s="12">
        <v>3</v>
      </c>
      <c r="C9" s="12" t="s">
        <v>82</v>
      </c>
      <c r="D9" s="12" t="s">
        <v>83</v>
      </c>
      <c r="E9" s="12" t="s">
        <v>112</v>
      </c>
      <c r="F9" s="12" t="s">
        <v>119</v>
      </c>
      <c r="G9" s="12">
        <v>10</v>
      </c>
      <c r="H9" s="16" t="s">
        <v>101</v>
      </c>
      <c r="I9" s="17" t="s">
        <v>120</v>
      </c>
      <c r="J9" s="56" t="s">
        <v>121</v>
      </c>
      <c r="K9" s="18" t="s">
        <v>23</v>
      </c>
      <c r="L9" s="15" t="s">
        <v>122</v>
      </c>
      <c r="M9" s="15" t="s">
        <v>90</v>
      </c>
      <c r="N9" s="15" t="s">
        <v>123</v>
      </c>
      <c r="O9" s="15" t="s">
        <v>124</v>
      </c>
      <c r="P9" s="15" t="s">
        <v>125</v>
      </c>
    </row>
    <row r="10" spans="1:16" ht="48" customHeight="1" x14ac:dyDescent="0.3">
      <c r="A10" s="12">
        <v>2</v>
      </c>
      <c r="B10" s="12">
        <v>3</v>
      </c>
      <c r="C10" s="12" t="s">
        <v>82</v>
      </c>
      <c r="D10" s="12" t="s">
        <v>83</v>
      </c>
      <c r="E10" s="12" t="s">
        <v>119</v>
      </c>
      <c r="F10" s="12" t="s">
        <v>126</v>
      </c>
      <c r="G10" s="12">
        <v>15</v>
      </c>
      <c r="H10" s="16" t="s">
        <v>101</v>
      </c>
      <c r="I10" s="17" t="s">
        <v>127</v>
      </c>
      <c r="J10" s="56" t="s">
        <v>128</v>
      </c>
      <c r="K10" s="18" t="s">
        <v>23</v>
      </c>
      <c r="L10" s="15" t="s">
        <v>129</v>
      </c>
      <c r="M10" s="15" t="s">
        <v>96</v>
      </c>
      <c r="N10" s="15" t="s">
        <v>97</v>
      </c>
      <c r="O10" s="15" t="s">
        <v>117</v>
      </c>
      <c r="P10" s="15" t="s">
        <v>130</v>
      </c>
    </row>
    <row r="11" spans="1:16" ht="48" customHeight="1" x14ac:dyDescent="0.3">
      <c r="A11" s="12">
        <v>2</v>
      </c>
      <c r="B11" s="12">
        <v>3</v>
      </c>
      <c r="C11" s="12" t="s">
        <v>82</v>
      </c>
      <c r="D11" s="12" t="s">
        <v>83</v>
      </c>
      <c r="E11" s="12" t="s">
        <v>126</v>
      </c>
      <c r="F11" s="12" t="s">
        <v>131</v>
      </c>
      <c r="G11" s="12">
        <v>5</v>
      </c>
      <c r="H11" s="16" t="s">
        <v>101</v>
      </c>
      <c r="I11" s="17" t="s">
        <v>132</v>
      </c>
      <c r="J11" s="15" t="s">
        <v>133</v>
      </c>
      <c r="K11" s="12" t="s">
        <v>88</v>
      </c>
      <c r="L11" s="15" t="s">
        <v>88</v>
      </c>
      <c r="M11" s="15" t="s">
        <v>88</v>
      </c>
      <c r="N11" s="15" t="s">
        <v>88</v>
      </c>
      <c r="O11" s="15" t="s">
        <v>88</v>
      </c>
      <c r="P11" s="15" t="s">
        <v>88</v>
      </c>
    </row>
    <row r="12" spans="1:16" ht="48" customHeight="1" x14ac:dyDescent="0.3">
      <c r="A12" s="19">
        <v>2</v>
      </c>
      <c r="B12" s="19">
        <v>3</v>
      </c>
      <c r="C12" s="19" t="s">
        <v>82</v>
      </c>
      <c r="D12" s="19" t="s">
        <v>83</v>
      </c>
      <c r="E12" s="19" t="s">
        <v>131</v>
      </c>
      <c r="F12" s="19" t="s">
        <v>134</v>
      </c>
      <c r="G12" s="19">
        <v>25</v>
      </c>
      <c r="H12" s="20" t="s">
        <v>101</v>
      </c>
      <c r="I12" s="21" t="s">
        <v>135</v>
      </c>
      <c r="J12" s="20" t="s">
        <v>136</v>
      </c>
      <c r="K12" s="22" t="s">
        <v>23</v>
      </c>
      <c r="L12" s="20" t="s">
        <v>137</v>
      </c>
      <c r="M12" s="20" t="s">
        <v>138</v>
      </c>
      <c r="N12" s="20" t="s">
        <v>97</v>
      </c>
      <c r="O12" s="20" t="s">
        <v>139</v>
      </c>
      <c r="P12" s="20" t="s">
        <v>140</v>
      </c>
    </row>
    <row r="13" spans="1:16" ht="48" customHeight="1" x14ac:dyDescent="0.3">
      <c r="A13" s="12">
        <v>2</v>
      </c>
      <c r="B13" s="12">
        <v>3</v>
      </c>
      <c r="C13" s="12" t="s">
        <v>82</v>
      </c>
      <c r="D13" s="12" t="s">
        <v>83</v>
      </c>
      <c r="E13" s="12" t="s">
        <v>134</v>
      </c>
      <c r="F13" s="12" t="s">
        <v>141</v>
      </c>
      <c r="G13" s="12">
        <v>10</v>
      </c>
      <c r="H13" s="23" t="s">
        <v>142</v>
      </c>
      <c r="I13" s="24" t="s">
        <v>143</v>
      </c>
      <c r="J13" s="15" t="s">
        <v>144</v>
      </c>
      <c r="K13" s="12" t="s">
        <v>88</v>
      </c>
      <c r="L13" s="15" t="s">
        <v>145</v>
      </c>
      <c r="M13" s="15" t="s">
        <v>90</v>
      </c>
      <c r="N13" s="15" t="s">
        <v>123</v>
      </c>
      <c r="O13" s="15" t="s">
        <v>146</v>
      </c>
      <c r="P13" s="15" t="s">
        <v>147</v>
      </c>
    </row>
    <row r="14" spans="1:16" ht="48" customHeight="1" x14ac:dyDescent="0.3">
      <c r="A14" s="12">
        <v>2</v>
      </c>
      <c r="B14" s="12">
        <v>3</v>
      </c>
      <c r="C14" s="12" t="s">
        <v>82</v>
      </c>
      <c r="D14" s="12" t="s">
        <v>83</v>
      </c>
      <c r="E14" s="12" t="s">
        <v>141</v>
      </c>
      <c r="F14" s="12" t="s">
        <v>148</v>
      </c>
      <c r="G14" s="12">
        <v>10</v>
      </c>
      <c r="H14" s="23" t="s">
        <v>142</v>
      </c>
      <c r="I14" s="24" t="s">
        <v>149</v>
      </c>
      <c r="J14" s="15" t="s">
        <v>150</v>
      </c>
      <c r="K14" s="18" t="s">
        <v>23</v>
      </c>
      <c r="L14" s="15" t="s">
        <v>151</v>
      </c>
      <c r="M14" s="15" t="s">
        <v>96</v>
      </c>
      <c r="N14" s="15" t="s">
        <v>97</v>
      </c>
      <c r="O14" s="15" t="s">
        <v>152</v>
      </c>
      <c r="P14" s="15" t="s">
        <v>151</v>
      </c>
    </row>
    <row r="15" spans="1:16" ht="24" customHeight="1" x14ac:dyDescent="0.3">
      <c r="A15" s="25" t="s">
        <v>153</v>
      </c>
      <c r="B15" s="25"/>
      <c r="C15" s="25"/>
      <c r="D15" s="25"/>
      <c r="E15" s="25"/>
      <c r="F15" s="25"/>
      <c r="G15" s="25">
        <f>SUM(G4:G14)</f>
        <v>135</v>
      </c>
      <c r="H15" s="25"/>
      <c r="I15" s="26" t="s">
        <v>154</v>
      </c>
      <c r="J15" s="26" t="s">
        <v>155</v>
      </c>
      <c r="K15" s="25"/>
      <c r="L15" s="25"/>
      <c r="M15" s="25"/>
      <c r="N15" s="25"/>
      <c r="O15" s="25"/>
      <c r="P15" s="25"/>
    </row>
    <row r="16" spans="1:16" ht="30" customHeight="1" x14ac:dyDescent="0.3">
      <c r="A16" s="3" t="s">
        <v>156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48" customHeight="1" x14ac:dyDescent="0.3">
      <c r="A17" s="12">
        <v>2</v>
      </c>
      <c r="B17" s="12">
        <v>4</v>
      </c>
      <c r="C17" s="12" t="s">
        <v>157</v>
      </c>
      <c r="D17" s="12" t="s">
        <v>158</v>
      </c>
      <c r="E17" s="12" t="s">
        <v>159</v>
      </c>
      <c r="F17" s="12" t="s">
        <v>160</v>
      </c>
      <c r="G17" s="12">
        <v>5</v>
      </c>
      <c r="H17" s="13" t="s">
        <v>86</v>
      </c>
      <c r="I17" s="14" t="s">
        <v>161</v>
      </c>
      <c r="J17" s="15" t="s">
        <v>162</v>
      </c>
      <c r="K17" s="12" t="s">
        <v>88</v>
      </c>
      <c r="L17" s="15" t="s">
        <v>163</v>
      </c>
      <c r="M17" s="15" t="s">
        <v>90</v>
      </c>
      <c r="N17" s="15" t="s">
        <v>97</v>
      </c>
      <c r="O17" s="15" t="s">
        <v>91</v>
      </c>
      <c r="P17" s="15" t="s">
        <v>164</v>
      </c>
    </row>
    <row r="18" spans="1:16" ht="48" customHeight="1" x14ac:dyDescent="0.3">
      <c r="A18" s="12">
        <v>2</v>
      </c>
      <c r="B18" s="12">
        <v>4</v>
      </c>
      <c r="C18" s="12" t="s">
        <v>157</v>
      </c>
      <c r="D18" s="12" t="s">
        <v>158</v>
      </c>
      <c r="E18" s="12" t="s">
        <v>160</v>
      </c>
      <c r="F18" s="12" t="s">
        <v>165</v>
      </c>
      <c r="G18" s="12">
        <v>15</v>
      </c>
      <c r="H18" s="16" t="s">
        <v>101</v>
      </c>
      <c r="I18" s="17" t="s">
        <v>166</v>
      </c>
      <c r="J18" s="15" t="s">
        <v>167</v>
      </c>
      <c r="K18" s="18" t="s">
        <v>23</v>
      </c>
      <c r="L18" s="15" t="s">
        <v>168</v>
      </c>
      <c r="M18" s="15" t="s">
        <v>138</v>
      </c>
      <c r="N18" s="15" t="s">
        <v>97</v>
      </c>
      <c r="O18" s="15" t="s">
        <v>117</v>
      </c>
      <c r="P18" s="15" t="s">
        <v>169</v>
      </c>
    </row>
    <row r="19" spans="1:16" ht="48" customHeight="1" x14ac:dyDescent="0.3">
      <c r="A19" s="12">
        <v>2</v>
      </c>
      <c r="B19" s="12">
        <v>4</v>
      </c>
      <c r="C19" s="12" t="s">
        <v>157</v>
      </c>
      <c r="D19" s="12" t="s">
        <v>158</v>
      </c>
      <c r="E19" s="12" t="s">
        <v>165</v>
      </c>
      <c r="F19" s="12" t="s">
        <v>170</v>
      </c>
      <c r="G19" s="12">
        <v>15</v>
      </c>
      <c r="H19" s="16" t="s">
        <v>101</v>
      </c>
      <c r="I19" s="17" t="s">
        <v>171</v>
      </c>
      <c r="J19" s="15" t="s">
        <v>172</v>
      </c>
      <c r="K19" s="18" t="s">
        <v>23</v>
      </c>
      <c r="L19" s="15" t="s">
        <v>173</v>
      </c>
      <c r="M19" s="15" t="s">
        <v>90</v>
      </c>
      <c r="N19" s="15" t="s">
        <v>123</v>
      </c>
      <c r="O19" s="15" t="s">
        <v>174</v>
      </c>
      <c r="P19" s="15" t="s">
        <v>175</v>
      </c>
    </row>
    <row r="20" spans="1:16" ht="48" customHeight="1" x14ac:dyDescent="0.3">
      <c r="A20" s="12">
        <v>2</v>
      </c>
      <c r="B20" s="12">
        <v>4</v>
      </c>
      <c r="C20" s="12" t="s">
        <v>157</v>
      </c>
      <c r="D20" s="12" t="s">
        <v>158</v>
      </c>
      <c r="E20" s="12" t="s">
        <v>170</v>
      </c>
      <c r="F20" s="12" t="s">
        <v>176</v>
      </c>
      <c r="G20" s="12">
        <v>15</v>
      </c>
      <c r="H20" s="16" t="s">
        <v>101</v>
      </c>
      <c r="I20" s="17" t="s">
        <v>177</v>
      </c>
      <c r="J20" s="15" t="s">
        <v>178</v>
      </c>
      <c r="K20" s="18" t="s">
        <v>23</v>
      </c>
      <c r="L20" s="15" t="s">
        <v>179</v>
      </c>
      <c r="M20" s="15" t="s">
        <v>96</v>
      </c>
      <c r="N20" s="15" t="s">
        <v>97</v>
      </c>
      <c r="O20" s="15" t="s">
        <v>117</v>
      </c>
      <c r="P20" s="15" t="s">
        <v>180</v>
      </c>
    </row>
    <row r="21" spans="1:16" ht="48" customHeight="1" x14ac:dyDescent="0.3">
      <c r="A21" s="12">
        <v>2</v>
      </c>
      <c r="B21" s="12">
        <v>4</v>
      </c>
      <c r="C21" s="12" t="s">
        <v>157</v>
      </c>
      <c r="D21" s="12" t="s">
        <v>158</v>
      </c>
      <c r="E21" s="12" t="s">
        <v>176</v>
      </c>
      <c r="F21" s="12" t="s">
        <v>181</v>
      </c>
      <c r="G21" s="12">
        <v>5</v>
      </c>
      <c r="H21" s="16" t="s">
        <v>101</v>
      </c>
      <c r="I21" s="17" t="s">
        <v>132</v>
      </c>
      <c r="J21" s="15" t="s">
        <v>182</v>
      </c>
      <c r="K21" s="12" t="s">
        <v>88</v>
      </c>
      <c r="L21" s="15" t="s">
        <v>88</v>
      </c>
      <c r="M21" s="15" t="s">
        <v>88</v>
      </c>
      <c r="N21" s="15" t="s">
        <v>88</v>
      </c>
      <c r="O21" s="15" t="s">
        <v>88</v>
      </c>
      <c r="P21" s="15" t="s">
        <v>88</v>
      </c>
    </row>
    <row r="22" spans="1:16" ht="48" customHeight="1" x14ac:dyDescent="0.3">
      <c r="A22" s="19">
        <v>2</v>
      </c>
      <c r="B22" s="19">
        <v>4</v>
      </c>
      <c r="C22" s="19" t="s">
        <v>157</v>
      </c>
      <c r="D22" s="19" t="s">
        <v>158</v>
      </c>
      <c r="E22" s="19" t="s">
        <v>181</v>
      </c>
      <c r="F22" s="19" t="s">
        <v>141</v>
      </c>
      <c r="G22" s="19">
        <v>25</v>
      </c>
      <c r="H22" s="20" t="s">
        <v>101</v>
      </c>
      <c r="I22" s="21" t="s">
        <v>183</v>
      </c>
      <c r="J22" s="20" t="s">
        <v>184</v>
      </c>
      <c r="K22" s="22" t="s">
        <v>23</v>
      </c>
      <c r="L22" s="20" t="s">
        <v>185</v>
      </c>
      <c r="M22" s="20" t="s">
        <v>138</v>
      </c>
      <c r="N22" s="20" t="s">
        <v>97</v>
      </c>
      <c r="O22" s="20" t="s">
        <v>186</v>
      </c>
      <c r="P22" s="20" t="s">
        <v>187</v>
      </c>
    </row>
    <row r="23" spans="1:16" ht="48" customHeight="1" x14ac:dyDescent="0.3">
      <c r="A23" s="12">
        <v>2</v>
      </c>
      <c r="B23" s="12">
        <v>4</v>
      </c>
      <c r="C23" s="12" t="s">
        <v>157</v>
      </c>
      <c r="D23" s="12" t="s">
        <v>158</v>
      </c>
      <c r="E23" s="12" t="s">
        <v>141</v>
      </c>
      <c r="F23" s="12" t="s">
        <v>148</v>
      </c>
      <c r="G23" s="12">
        <v>10</v>
      </c>
      <c r="H23" s="23" t="s">
        <v>142</v>
      </c>
      <c r="I23" s="24" t="s">
        <v>188</v>
      </c>
      <c r="J23" s="15" t="s">
        <v>189</v>
      </c>
      <c r="K23" s="18" t="s">
        <v>23</v>
      </c>
      <c r="L23" s="15" t="s">
        <v>190</v>
      </c>
      <c r="M23" s="15" t="s">
        <v>90</v>
      </c>
      <c r="N23" s="15" t="s">
        <v>8</v>
      </c>
      <c r="O23" s="15" t="s">
        <v>191</v>
      </c>
      <c r="P23" s="15" t="s">
        <v>192</v>
      </c>
    </row>
    <row r="24" spans="1:16" ht="24" customHeight="1" x14ac:dyDescent="0.3">
      <c r="A24" s="25" t="s">
        <v>153</v>
      </c>
      <c r="B24" s="25"/>
      <c r="C24" s="25"/>
      <c r="D24" s="25"/>
      <c r="E24" s="25"/>
      <c r="F24" s="25"/>
      <c r="G24" s="25">
        <f>SUM(G17:G23)</f>
        <v>90</v>
      </c>
      <c r="H24" s="25"/>
      <c r="I24" s="26" t="s">
        <v>193</v>
      </c>
      <c r="J24" s="26" t="s">
        <v>194</v>
      </c>
      <c r="K24" s="25"/>
      <c r="L24" s="25"/>
      <c r="M24" s="25"/>
      <c r="N24" s="25"/>
      <c r="O24" s="25"/>
      <c r="P24" s="25"/>
    </row>
    <row r="25" spans="1:16" ht="30" customHeight="1" x14ac:dyDescent="0.3">
      <c r="A25" s="3" t="s">
        <v>195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48" customHeight="1" x14ac:dyDescent="0.3">
      <c r="A26" s="12">
        <v>3</v>
      </c>
      <c r="B26" s="12">
        <v>5</v>
      </c>
      <c r="C26" s="12" t="s">
        <v>196</v>
      </c>
      <c r="D26" s="12" t="s">
        <v>83</v>
      </c>
      <c r="E26" s="12" t="s">
        <v>84</v>
      </c>
      <c r="F26" s="12" t="s">
        <v>85</v>
      </c>
      <c r="G26" s="12">
        <v>5</v>
      </c>
      <c r="H26" s="13" t="s">
        <v>86</v>
      </c>
      <c r="I26" s="14" t="s">
        <v>197</v>
      </c>
      <c r="J26" s="15" t="s">
        <v>198</v>
      </c>
      <c r="K26" s="18" t="s">
        <v>23</v>
      </c>
      <c r="L26" s="15" t="s">
        <v>199</v>
      </c>
      <c r="M26" s="15" t="s">
        <v>90</v>
      </c>
      <c r="N26" s="15" t="s">
        <v>8</v>
      </c>
      <c r="O26" s="15" t="s">
        <v>91</v>
      </c>
      <c r="P26" s="15" t="s">
        <v>200</v>
      </c>
    </row>
    <row r="27" spans="1:16" ht="48" customHeight="1" x14ac:dyDescent="0.3">
      <c r="A27" s="12">
        <v>3</v>
      </c>
      <c r="B27" s="12">
        <v>5</v>
      </c>
      <c r="C27" s="12" t="s">
        <v>196</v>
      </c>
      <c r="D27" s="12" t="s">
        <v>83</v>
      </c>
      <c r="E27" s="12" t="s">
        <v>85</v>
      </c>
      <c r="F27" s="12" t="s">
        <v>201</v>
      </c>
      <c r="G27" s="12">
        <v>10</v>
      </c>
      <c r="H27" s="13" t="s">
        <v>86</v>
      </c>
      <c r="I27" s="14" t="s">
        <v>202</v>
      </c>
      <c r="J27" s="15" t="s">
        <v>203</v>
      </c>
      <c r="K27" s="12" t="s">
        <v>88</v>
      </c>
      <c r="L27" s="15" t="s">
        <v>204</v>
      </c>
      <c r="M27" s="15" t="s">
        <v>138</v>
      </c>
      <c r="N27" s="15" t="s">
        <v>97</v>
      </c>
      <c r="O27" s="15" t="s">
        <v>205</v>
      </c>
      <c r="P27" s="15" t="s">
        <v>206</v>
      </c>
    </row>
    <row r="28" spans="1:16" ht="48" customHeight="1" x14ac:dyDescent="0.3">
      <c r="A28" s="12">
        <v>3</v>
      </c>
      <c r="B28" s="12">
        <v>5</v>
      </c>
      <c r="C28" s="12" t="s">
        <v>196</v>
      </c>
      <c r="D28" s="12" t="s">
        <v>83</v>
      </c>
      <c r="E28" s="12" t="s">
        <v>201</v>
      </c>
      <c r="F28" s="12" t="s">
        <v>207</v>
      </c>
      <c r="G28" s="12">
        <v>10</v>
      </c>
      <c r="H28" s="16" t="s">
        <v>101</v>
      </c>
      <c r="I28" s="17" t="s">
        <v>208</v>
      </c>
      <c r="J28" s="15" t="s">
        <v>209</v>
      </c>
      <c r="K28" s="18" t="s">
        <v>23</v>
      </c>
      <c r="L28" s="15" t="s">
        <v>210</v>
      </c>
      <c r="M28" s="15" t="s">
        <v>90</v>
      </c>
      <c r="N28" s="15" t="s">
        <v>8</v>
      </c>
      <c r="O28" s="15" t="s">
        <v>91</v>
      </c>
      <c r="P28" s="15" t="s">
        <v>211</v>
      </c>
    </row>
    <row r="29" spans="1:16" ht="48" customHeight="1" x14ac:dyDescent="0.3">
      <c r="A29" s="12">
        <v>3</v>
      </c>
      <c r="B29" s="12">
        <v>5</v>
      </c>
      <c r="C29" s="12" t="s">
        <v>196</v>
      </c>
      <c r="D29" s="12" t="s">
        <v>83</v>
      </c>
      <c r="E29" s="12" t="s">
        <v>207</v>
      </c>
      <c r="F29" s="12" t="s">
        <v>107</v>
      </c>
      <c r="G29" s="12">
        <v>15</v>
      </c>
      <c r="H29" s="16" t="s">
        <v>101</v>
      </c>
      <c r="I29" s="17" t="s">
        <v>212</v>
      </c>
      <c r="J29" s="15" t="s">
        <v>213</v>
      </c>
      <c r="K29" s="18" t="s">
        <v>23</v>
      </c>
      <c r="L29" s="15" t="s">
        <v>214</v>
      </c>
      <c r="M29" s="15" t="s">
        <v>215</v>
      </c>
      <c r="N29" s="15" t="s">
        <v>97</v>
      </c>
      <c r="O29" s="15" t="s">
        <v>117</v>
      </c>
      <c r="P29" s="15" t="s">
        <v>216</v>
      </c>
    </row>
    <row r="30" spans="1:16" ht="48" customHeight="1" x14ac:dyDescent="0.3">
      <c r="A30" s="12">
        <v>3</v>
      </c>
      <c r="B30" s="12">
        <v>5</v>
      </c>
      <c r="C30" s="12" t="s">
        <v>196</v>
      </c>
      <c r="D30" s="12" t="s">
        <v>83</v>
      </c>
      <c r="E30" s="12" t="s">
        <v>107</v>
      </c>
      <c r="F30" s="12" t="s">
        <v>217</v>
      </c>
      <c r="G30" s="12">
        <v>15</v>
      </c>
      <c r="H30" s="16" t="s">
        <v>101</v>
      </c>
      <c r="I30" s="17" t="s">
        <v>218</v>
      </c>
      <c r="J30" s="15" t="s">
        <v>219</v>
      </c>
      <c r="K30" s="18" t="s">
        <v>23</v>
      </c>
      <c r="L30" s="15" t="s">
        <v>220</v>
      </c>
      <c r="M30" s="15" t="s">
        <v>116</v>
      </c>
      <c r="N30" s="15" t="s">
        <v>97</v>
      </c>
      <c r="O30" s="15" t="s">
        <v>117</v>
      </c>
      <c r="P30" s="15" t="s">
        <v>221</v>
      </c>
    </row>
    <row r="31" spans="1:16" ht="48" customHeight="1" x14ac:dyDescent="0.3">
      <c r="A31" s="27">
        <v>3</v>
      </c>
      <c r="B31" s="27">
        <v>5</v>
      </c>
      <c r="C31" s="27" t="s">
        <v>196</v>
      </c>
      <c r="D31" s="27" t="s">
        <v>83</v>
      </c>
      <c r="E31" s="27" t="s">
        <v>217</v>
      </c>
      <c r="F31" s="27" t="s">
        <v>165</v>
      </c>
      <c r="G31" s="27">
        <v>10</v>
      </c>
      <c r="H31" s="28" t="s">
        <v>222</v>
      </c>
      <c r="I31" s="29" t="s">
        <v>223</v>
      </c>
      <c r="J31" s="28" t="s">
        <v>224</v>
      </c>
      <c r="K31" s="30" t="s">
        <v>225</v>
      </c>
      <c r="L31" s="28" t="s">
        <v>226</v>
      </c>
      <c r="M31" s="28" t="s">
        <v>90</v>
      </c>
      <c r="N31" s="28" t="s">
        <v>8</v>
      </c>
      <c r="O31" s="28" t="s">
        <v>227</v>
      </c>
      <c r="P31" s="28" t="s">
        <v>228</v>
      </c>
    </row>
    <row r="32" spans="1:16" ht="48" customHeight="1" x14ac:dyDescent="0.3">
      <c r="A32" s="12">
        <v>3</v>
      </c>
      <c r="B32" s="12">
        <v>5</v>
      </c>
      <c r="C32" s="12" t="s">
        <v>196</v>
      </c>
      <c r="D32" s="12" t="s">
        <v>83</v>
      </c>
      <c r="E32" s="12" t="s">
        <v>165</v>
      </c>
      <c r="F32" s="12" t="s">
        <v>170</v>
      </c>
      <c r="G32" s="12">
        <v>15</v>
      </c>
      <c r="H32" s="16" t="s">
        <v>101</v>
      </c>
      <c r="I32" s="17" t="s">
        <v>229</v>
      </c>
      <c r="J32" s="15" t="s">
        <v>230</v>
      </c>
      <c r="K32" s="18" t="s">
        <v>23</v>
      </c>
      <c r="L32" s="15" t="s">
        <v>231</v>
      </c>
      <c r="M32" s="15" t="s">
        <v>90</v>
      </c>
      <c r="N32" s="15" t="s">
        <v>8</v>
      </c>
      <c r="O32" s="15" t="s">
        <v>91</v>
      </c>
      <c r="P32" s="15" t="s">
        <v>232</v>
      </c>
    </row>
    <row r="33" spans="1:16" ht="48" customHeight="1" x14ac:dyDescent="0.3">
      <c r="A33" s="12">
        <v>3</v>
      </c>
      <c r="B33" s="12">
        <v>5</v>
      </c>
      <c r="C33" s="12" t="s">
        <v>196</v>
      </c>
      <c r="D33" s="12" t="s">
        <v>83</v>
      </c>
      <c r="E33" s="12" t="s">
        <v>170</v>
      </c>
      <c r="F33" s="12" t="s">
        <v>126</v>
      </c>
      <c r="G33" s="12">
        <v>5</v>
      </c>
      <c r="H33" s="16" t="s">
        <v>101</v>
      </c>
      <c r="I33" s="17" t="s">
        <v>132</v>
      </c>
      <c r="J33" s="15" t="s">
        <v>233</v>
      </c>
      <c r="K33" s="12" t="s">
        <v>88</v>
      </c>
      <c r="L33" s="15" t="s">
        <v>88</v>
      </c>
      <c r="M33" s="15" t="s">
        <v>88</v>
      </c>
      <c r="N33" s="15" t="s">
        <v>88</v>
      </c>
      <c r="O33" s="15" t="s">
        <v>88</v>
      </c>
      <c r="P33" s="15" t="s">
        <v>88</v>
      </c>
    </row>
    <row r="34" spans="1:16" ht="48" customHeight="1" x14ac:dyDescent="0.3">
      <c r="A34" s="19">
        <v>3</v>
      </c>
      <c r="B34" s="19">
        <v>5</v>
      </c>
      <c r="C34" s="19" t="s">
        <v>196</v>
      </c>
      <c r="D34" s="19" t="s">
        <v>83</v>
      </c>
      <c r="E34" s="19" t="s">
        <v>126</v>
      </c>
      <c r="F34" s="19" t="s">
        <v>134</v>
      </c>
      <c r="G34" s="19">
        <v>30</v>
      </c>
      <c r="H34" s="20" t="s">
        <v>101</v>
      </c>
      <c r="I34" s="21" t="s">
        <v>234</v>
      </c>
      <c r="J34" s="20" t="s">
        <v>235</v>
      </c>
      <c r="K34" s="22" t="s">
        <v>23</v>
      </c>
      <c r="L34" s="20" t="s">
        <v>137</v>
      </c>
      <c r="M34" s="20" t="s">
        <v>138</v>
      </c>
      <c r="N34" s="20" t="s">
        <v>97</v>
      </c>
      <c r="O34" s="20" t="s">
        <v>236</v>
      </c>
      <c r="P34" s="20" t="s">
        <v>237</v>
      </c>
    </row>
    <row r="35" spans="1:16" ht="48" customHeight="1" x14ac:dyDescent="0.3">
      <c r="A35" s="12">
        <v>3</v>
      </c>
      <c r="B35" s="12">
        <v>5</v>
      </c>
      <c r="C35" s="12" t="s">
        <v>196</v>
      </c>
      <c r="D35" s="12" t="s">
        <v>83</v>
      </c>
      <c r="E35" s="12" t="s">
        <v>134</v>
      </c>
      <c r="F35" s="12" t="s">
        <v>141</v>
      </c>
      <c r="G35" s="12">
        <v>10</v>
      </c>
      <c r="H35" s="23" t="s">
        <v>142</v>
      </c>
      <c r="I35" s="24" t="s">
        <v>238</v>
      </c>
      <c r="J35" s="15" t="s">
        <v>239</v>
      </c>
      <c r="K35" s="18" t="s">
        <v>23</v>
      </c>
      <c r="L35" s="15" t="s">
        <v>240</v>
      </c>
      <c r="M35" s="15" t="s">
        <v>138</v>
      </c>
      <c r="N35" s="15" t="s">
        <v>97</v>
      </c>
      <c r="O35" s="15" t="s">
        <v>241</v>
      </c>
      <c r="P35" s="15" t="s">
        <v>242</v>
      </c>
    </row>
    <row r="36" spans="1:16" ht="48" customHeight="1" x14ac:dyDescent="0.3">
      <c r="A36" s="12">
        <v>3</v>
      </c>
      <c r="B36" s="12">
        <v>5</v>
      </c>
      <c r="C36" s="12" t="s">
        <v>196</v>
      </c>
      <c r="D36" s="12" t="s">
        <v>83</v>
      </c>
      <c r="E36" s="12" t="s">
        <v>141</v>
      </c>
      <c r="F36" s="12" t="s">
        <v>148</v>
      </c>
      <c r="G36" s="12">
        <v>10</v>
      </c>
      <c r="H36" s="23" t="s">
        <v>142</v>
      </c>
      <c r="I36" s="24" t="s">
        <v>243</v>
      </c>
      <c r="J36" s="15" t="s">
        <v>244</v>
      </c>
      <c r="K36" s="18" t="s">
        <v>27</v>
      </c>
      <c r="L36" s="15" t="s">
        <v>245</v>
      </c>
      <c r="M36" s="15" t="s">
        <v>90</v>
      </c>
      <c r="N36" s="15" t="s">
        <v>8</v>
      </c>
      <c r="O36" s="15" t="s">
        <v>191</v>
      </c>
      <c r="P36" s="15" t="s">
        <v>246</v>
      </c>
    </row>
    <row r="37" spans="1:16" ht="24" customHeight="1" x14ac:dyDescent="0.3">
      <c r="A37" s="25" t="s">
        <v>153</v>
      </c>
      <c r="B37" s="25"/>
      <c r="C37" s="25"/>
      <c r="D37" s="25"/>
      <c r="E37" s="25"/>
      <c r="F37" s="25"/>
      <c r="G37" s="25">
        <f>SUM(G26:G36)</f>
        <v>135</v>
      </c>
      <c r="H37" s="25"/>
      <c r="I37" s="26" t="s">
        <v>247</v>
      </c>
      <c r="J37" s="26" t="s">
        <v>248</v>
      </c>
      <c r="K37" s="25"/>
      <c r="L37" s="25"/>
      <c r="M37" s="25"/>
      <c r="N37" s="25"/>
      <c r="O37" s="25"/>
      <c r="P37" s="25"/>
    </row>
    <row r="38" spans="1:16" ht="30" customHeight="1" x14ac:dyDescent="0.3">
      <c r="A38" s="3" t="s">
        <v>249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48" customHeight="1" x14ac:dyDescent="0.3">
      <c r="A39" s="12">
        <v>3</v>
      </c>
      <c r="B39" s="12">
        <v>6</v>
      </c>
      <c r="C39" s="12" t="s">
        <v>250</v>
      </c>
      <c r="D39" s="12" t="s">
        <v>158</v>
      </c>
      <c r="E39" s="12" t="s">
        <v>159</v>
      </c>
      <c r="F39" s="12" t="s">
        <v>160</v>
      </c>
      <c r="G39" s="12">
        <v>5</v>
      </c>
      <c r="H39" s="13" t="s">
        <v>86</v>
      </c>
      <c r="I39" s="14" t="s">
        <v>251</v>
      </c>
      <c r="J39" s="15" t="s">
        <v>252</v>
      </c>
      <c r="K39" s="12" t="s">
        <v>88</v>
      </c>
      <c r="L39" s="15" t="s">
        <v>253</v>
      </c>
      <c r="M39" s="15" t="s">
        <v>90</v>
      </c>
      <c r="N39" s="15" t="s">
        <v>97</v>
      </c>
      <c r="O39" s="15" t="s">
        <v>254</v>
      </c>
      <c r="P39" s="15" t="s">
        <v>255</v>
      </c>
    </row>
    <row r="40" spans="1:16" ht="48" customHeight="1" x14ac:dyDescent="0.3">
      <c r="A40" s="12">
        <v>3</v>
      </c>
      <c r="B40" s="12">
        <v>6</v>
      </c>
      <c r="C40" s="12" t="s">
        <v>250</v>
      </c>
      <c r="D40" s="12" t="s">
        <v>158</v>
      </c>
      <c r="E40" s="12" t="s">
        <v>160</v>
      </c>
      <c r="F40" s="12" t="s">
        <v>112</v>
      </c>
      <c r="G40" s="12">
        <v>10</v>
      </c>
      <c r="H40" s="16" t="s">
        <v>101</v>
      </c>
      <c r="I40" s="17" t="s">
        <v>256</v>
      </c>
      <c r="J40" s="15" t="s">
        <v>257</v>
      </c>
      <c r="K40" s="18" t="s">
        <v>27</v>
      </c>
      <c r="L40" s="15" t="s">
        <v>258</v>
      </c>
      <c r="M40" s="15" t="s">
        <v>90</v>
      </c>
      <c r="N40" s="15" t="s">
        <v>8</v>
      </c>
      <c r="O40" s="15" t="s">
        <v>91</v>
      </c>
      <c r="P40" s="15" t="s">
        <v>259</v>
      </c>
    </row>
    <row r="41" spans="1:16" ht="48" customHeight="1" x14ac:dyDescent="0.3">
      <c r="A41" s="12">
        <v>3</v>
      </c>
      <c r="B41" s="12">
        <v>6</v>
      </c>
      <c r="C41" s="12" t="s">
        <v>250</v>
      </c>
      <c r="D41" s="12" t="s">
        <v>158</v>
      </c>
      <c r="E41" s="12" t="s">
        <v>112</v>
      </c>
      <c r="F41" s="12" t="s">
        <v>119</v>
      </c>
      <c r="G41" s="12">
        <v>10</v>
      </c>
      <c r="H41" s="16" t="s">
        <v>101</v>
      </c>
      <c r="I41" s="17" t="s">
        <v>260</v>
      </c>
      <c r="J41" s="15" t="s">
        <v>261</v>
      </c>
      <c r="K41" s="18" t="s">
        <v>27</v>
      </c>
      <c r="L41" s="15" t="s">
        <v>262</v>
      </c>
      <c r="M41" s="15" t="s">
        <v>90</v>
      </c>
      <c r="N41" s="15" t="s">
        <v>8</v>
      </c>
      <c r="O41" s="15" t="s">
        <v>91</v>
      </c>
      <c r="P41" s="15" t="s">
        <v>263</v>
      </c>
    </row>
    <row r="42" spans="1:16" ht="48" customHeight="1" x14ac:dyDescent="0.3">
      <c r="A42" s="27">
        <v>3</v>
      </c>
      <c r="B42" s="27">
        <v>6</v>
      </c>
      <c r="C42" s="27" t="s">
        <v>250</v>
      </c>
      <c r="D42" s="27" t="s">
        <v>158</v>
      </c>
      <c r="E42" s="27" t="s">
        <v>119</v>
      </c>
      <c r="F42" s="27" t="s">
        <v>126</v>
      </c>
      <c r="G42" s="27">
        <v>15</v>
      </c>
      <c r="H42" s="28" t="s">
        <v>222</v>
      </c>
      <c r="I42" s="29" t="s">
        <v>264</v>
      </c>
      <c r="J42" s="28" t="s">
        <v>265</v>
      </c>
      <c r="K42" s="30" t="s">
        <v>266</v>
      </c>
      <c r="L42" s="28" t="s">
        <v>267</v>
      </c>
      <c r="M42" s="28" t="s">
        <v>90</v>
      </c>
      <c r="N42" s="28" t="s">
        <v>8</v>
      </c>
      <c r="O42" s="28" t="s">
        <v>268</v>
      </c>
      <c r="P42" s="28" t="s">
        <v>269</v>
      </c>
    </row>
    <row r="43" spans="1:16" ht="48" customHeight="1" x14ac:dyDescent="0.3">
      <c r="A43" s="19">
        <v>3</v>
      </c>
      <c r="B43" s="19">
        <v>6</v>
      </c>
      <c r="C43" s="19" t="s">
        <v>250</v>
      </c>
      <c r="D43" s="19" t="s">
        <v>158</v>
      </c>
      <c r="E43" s="19" t="s">
        <v>126</v>
      </c>
      <c r="F43" s="19" t="s">
        <v>270</v>
      </c>
      <c r="G43" s="19">
        <v>25</v>
      </c>
      <c r="H43" s="20" t="s">
        <v>101</v>
      </c>
      <c r="I43" s="21" t="s">
        <v>271</v>
      </c>
      <c r="J43" s="20" t="s">
        <v>272</v>
      </c>
      <c r="K43" s="22" t="s">
        <v>27</v>
      </c>
      <c r="L43" s="20" t="s">
        <v>273</v>
      </c>
      <c r="M43" s="20" t="s">
        <v>138</v>
      </c>
      <c r="N43" s="20" t="s">
        <v>97</v>
      </c>
      <c r="O43" s="20" t="s">
        <v>274</v>
      </c>
      <c r="P43" s="20" t="s">
        <v>275</v>
      </c>
    </row>
    <row r="44" spans="1:16" ht="48" customHeight="1" x14ac:dyDescent="0.3">
      <c r="A44" s="12">
        <v>3</v>
      </c>
      <c r="B44" s="12">
        <v>6</v>
      </c>
      <c r="C44" s="12" t="s">
        <v>250</v>
      </c>
      <c r="D44" s="12" t="s">
        <v>158</v>
      </c>
      <c r="E44" s="12" t="s">
        <v>270</v>
      </c>
      <c r="F44" s="12" t="s">
        <v>134</v>
      </c>
      <c r="G44" s="12">
        <v>5</v>
      </c>
      <c r="H44" s="16" t="s">
        <v>101</v>
      </c>
      <c r="I44" s="17" t="s">
        <v>132</v>
      </c>
      <c r="J44" s="15" t="s">
        <v>276</v>
      </c>
      <c r="K44" s="12" t="s">
        <v>88</v>
      </c>
      <c r="L44" s="15" t="s">
        <v>88</v>
      </c>
      <c r="M44" s="15" t="s">
        <v>88</v>
      </c>
      <c r="N44" s="15" t="s">
        <v>88</v>
      </c>
      <c r="O44" s="15" t="s">
        <v>88</v>
      </c>
      <c r="P44" s="15" t="s">
        <v>88</v>
      </c>
    </row>
    <row r="45" spans="1:16" ht="48" customHeight="1" x14ac:dyDescent="0.3">
      <c r="A45" s="19">
        <v>3</v>
      </c>
      <c r="B45" s="19">
        <v>6</v>
      </c>
      <c r="C45" s="19" t="s">
        <v>250</v>
      </c>
      <c r="D45" s="19" t="s">
        <v>158</v>
      </c>
      <c r="E45" s="19" t="s">
        <v>134</v>
      </c>
      <c r="F45" s="19" t="s">
        <v>277</v>
      </c>
      <c r="G45" s="19">
        <v>15</v>
      </c>
      <c r="H45" s="20" t="s">
        <v>101</v>
      </c>
      <c r="I45" s="21" t="s">
        <v>278</v>
      </c>
      <c r="J45" s="20" t="s">
        <v>279</v>
      </c>
      <c r="K45" s="22" t="s">
        <v>280</v>
      </c>
      <c r="L45" s="20" t="s">
        <v>137</v>
      </c>
      <c r="M45" s="20" t="s">
        <v>138</v>
      </c>
      <c r="N45" s="20" t="s">
        <v>97</v>
      </c>
      <c r="O45" s="20" t="s">
        <v>281</v>
      </c>
      <c r="P45" s="20" t="s">
        <v>282</v>
      </c>
    </row>
    <row r="46" spans="1:16" ht="48" customHeight="1" x14ac:dyDescent="0.3">
      <c r="A46" s="12">
        <v>3</v>
      </c>
      <c r="B46" s="12">
        <v>6</v>
      </c>
      <c r="C46" s="12" t="s">
        <v>250</v>
      </c>
      <c r="D46" s="12" t="s">
        <v>158</v>
      </c>
      <c r="E46" s="12" t="s">
        <v>277</v>
      </c>
      <c r="F46" s="12" t="s">
        <v>148</v>
      </c>
      <c r="G46" s="12">
        <v>5</v>
      </c>
      <c r="H46" s="23" t="s">
        <v>142</v>
      </c>
      <c r="I46" s="24" t="s">
        <v>283</v>
      </c>
      <c r="J46" s="15" t="s">
        <v>284</v>
      </c>
      <c r="K46" s="18" t="s">
        <v>27</v>
      </c>
      <c r="L46" s="15" t="s">
        <v>285</v>
      </c>
      <c r="M46" s="15" t="s">
        <v>90</v>
      </c>
      <c r="N46" s="15" t="s">
        <v>8</v>
      </c>
      <c r="O46" s="15" t="s">
        <v>191</v>
      </c>
      <c r="P46" s="15" t="s">
        <v>246</v>
      </c>
    </row>
    <row r="47" spans="1:16" ht="24" customHeight="1" x14ac:dyDescent="0.3">
      <c r="A47" s="25" t="s">
        <v>153</v>
      </c>
      <c r="B47" s="25"/>
      <c r="C47" s="25"/>
      <c r="D47" s="25"/>
      <c r="E47" s="25"/>
      <c r="F47" s="25"/>
      <c r="G47" s="25">
        <f>SUM(G39:G46)</f>
        <v>90</v>
      </c>
      <c r="H47" s="25"/>
      <c r="I47" s="26" t="s">
        <v>286</v>
      </c>
      <c r="J47" s="26" t="s">
        <v>287</v>
      </c>
      <c r="K47" s="25"/>
      <c r="L47" s="25"/>
      <c r="M47" s="25"/>
      <c r="N47" s="25"/>
      <c r="O47" s="25"/>
      <c r="P47" s="25"/>
    </row>
    <row r="48" spans="1:16" ht="30" customHeight="1" x14ac:dyDescent="0.3">
      <c r="A48" s="3" t="s">
        <v>288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48" customHeight="1" x14ac:dyDescent="0.3">
      <c r="A49" s="12">
        <v>4</v>
      </c>
      <c r="B49" s="12">
        <v>7</v>
      </c>
      <c r="C49" s="12" t="s">
        <v>289</v>
      </c>
      <c r="D49" s="12" t="s">
        <v>83</v>
      </c>
      <c r="E49" s="12" t="s">
        <v>84</v>
      </c>
      <c r="F49" s="12" t="s">
        <v>85</v>
      </c>
      <c r="G49" s="12">
        <v>5</v>
      </c>
      <c r="H49" s="13" t="s">
        <v>86</v>
      </c>
      <c r="I49" s="14" t="s">
        <v>290</v>
      </c>
      <c r="J49" s="15" t="s">
        <v>291</v>
      </c>
      <c r="K49" s="18" t="s">
        <v>27</v>
      </c>
      <c r="L49" s="15" t="s">
        <v>292</v>
      </c>
      <c r="M49" s="15" t="s">
        <v>90</v>
      </c>
      <c r="N49" s="15" t="s">
        <v>123</v>
      </c>
      <c r="O49" s="15" t="s">
        <v>293</v>
      </c>
      <c r="P49" s="15" t="s">
        <v>294</v>
      </c>
    </row>
    <row r="50" spans="1:16" ht="48" customHeight="1" x14ac:dyDescent="0.3">
      <c r="A50" s="12">
        <v>4</v>
      </c>
      <c r="B50" s="12">
        <v>7</v>
      </c>
      <c r="C50" s="12" t="s">
        <v>289</v>
      </c>
      <c r="D50" s="12" t="s">
        <v>83</v>
      </c>
      <c r="E50" s="12" t="s">
        <v>85</v>
      </c>
      <c r="F50" s="12" t="s">
        <v>92</v>
      </c>
      <c r="G50" s="12">
        <v>15</v>
      </c>
      <c r="H50" s="13" t="s">
        <v>86</v>
      </c>
      <c r="I50" s="14" t="s">
        <v>295</v>
      </c>
      <c r="J50" s="15" t="s">
        <v>296</v>
      </c>
      <c r="K50" s="12" t="s">
        <v>88</v>
      </c>
      <c r="L50" s="15" t="s">
        <v>297</v>
      </c>
      <c r="M50" s="15" t="s">
        <v>96</v>
      </c>
      <c r="N50" s="15" t="s">
        <v>97</v>
      </c>
      <c r="O50" s="15" t="s">
        <v>91</v>
      </c>
      <c r="P50" s="15" t="s">
        <v>298</v>
      </c>
    </row>
    <row r="51" spans="1:16" ht="48" customHeight="1" x14ac:dyDescent="0.3">
      <c r="A51" s="12">
        <v>4</v>
      </c>
      <c r="B51" s="12">
        <v>7</v>
      </c>
      <c r="C51" s="12" t="s">
        <v>289</v>
      </c>
      <c r="D51" s="12" t="s">
        <v>83</v>
      </c>
      <c r="E51" s="12" t="s">
        <v>92</v>
      </c>
      <c r="F51" s="12" t="s">
        <v>100</v>
      </c>
      <c r="G51" s="12">
        <v>10</v>
      </c>
      <c r="H51" s="16" t="s">
        <v>101</v>
      </c>
      <c r="I51" s="17" t="s">
        <v>299</v>
      </c>
      <c r="J51" s="15" t="s">
        <v>300</v>
      </c>
      <c r="K51" s="18" t="s">
        <v>25</v>
      </c>
      <c r="L51" s="15" t="s">
        <v>301</v>
      </c>
      <c r="M51" s="15" t="s">
        <v>90</v>
      </c>
      <c r="N51" s="15" t="s">
        <v>8</v>
      </c>
      <c r="O51" s="15" t="s">
        <v>91</v>
      </c>
      <c r="P51" s="15" t="s">
        <v>302</v>
      </c>
    </row>
    <row r="52" spans="1:16" ht="48" customHeight="1" x14ac:dyDescent="0.3">
      <c r="A52" s="12">
        <v>4</v>
      </c>
      <c r="B52" s="12">
        <v>7</v>
      </c>
      <c r="C52" s="12" t="s">
        <v>289</v>
      </c>
      <c r="D52" s="12" t="s">
        <v>83</v>
      </c>
      <c r="E52" s="12" t="s">
        <v>100</v>
      </c>
      <c r="F52" s="12" t="s">
        <v>160</v>
      </c>
      <c r="G52" s="12">
        <v>20</v>
      </c>
      <c r="H52" s="16" t="s">
        <v>101</v>
      </c>
      <c r="I52" s="17" t="s">
        <v>303</v>
      </c>
      <c r="J52" s="15" t="s">
        <v>304</v>
      </c>
      <c r="K52" s="18" t="s">
        <v>25</v>
      </c>
      <c r="L52" s="15" t="s">
        <v>305</v>
      </c>
      <c r="M52" s="15" t="s">
        <v>116</v>
      </c>
      <c r="N52" s="15" t="s">
        <v>97</v>
      </c>
      <c r="O52" s="15" t="s">
        <v>117</v>
      </c>
      <c r="P52" s="15" t="s">
        <v>306</v>
      </c>
    </row>
    <row r="53" spans="1:16" ht="48" customHeight="1" x14ac:dyDescent="0.3">
      <c r="A53" s="12">
        <v>4</v>
      </c>
      <c r="B53" s="12">
        <v>7</v>
      </c>
      <c r="C53" s="12" t="s">
        <v>289</v>
      </c>
      <c r="D53" s="12" t="s">
        <v>83</v>
      </c>
      <c r="E53" s="12" t="s">
        <v>160</v>
      </c>
      <c r="F53" s="12" t="s">
        <v>165</v>
      </c>
      <c r="G53" s="12">
        <v>15</v>
      </c>
      <c r="H53" s="16" t="s">
        <v>101</v>
      </c>
      <c r="I53" s="17" t="s">
        <v>307</v>
      </c>
      <c r="J53" s="15" t="s">
        <v>308</v>
      </c>
      <c r="K53" s="18" t="s">
        <v>25</v>
      </c>
      <c r="L53" s="15" t="s">
        <v>309</v>
      </c>
      <c r="M53" s="15" t="s">
        <v>90</v>
      </c>
      <c r="N53" s="15" t="s">
        <v>123</v>
      </c>
      <c r="O53" s="15" t="s">
        <v>91</v>
      </c>
      <c r="P53" s="15" t="s">
        <v>310</v>
      </c>
    </row>
    <row r="54" spans="1:16" ht="48" customHeight="1" x14ac:dyDescent="0.3">
      <c r="A54" s="12">
        <v>4</v>
      </c>
      <c r="B54" s="12">
        <v>7</v>
      </c>
      <c r="C54" s="12" t="s">
        <v>289</v>
      </c>
      <c r="D54" s="12" t="s">
        <v>83</v>
      </c>
      <c r="E54" s="12" t="s">
        <v>165</v>
      </c>
      <c r="F54" s="12" t="s">
        <v>311</v>
      </c>
      <c r="G54" s="12">
        <v>10</v>
      </c>
      <c r="H54" s="16" t="s">
        <v>101</v>
      </c>
      <c r="I54" s="17" t="s">
        <v>312</v>
      </c>
      <c r="J54" s="15" t="s">
        <v>313</v>
      </c>
      <c r="K54" s="18" t="s">
        <v>25</v>
      </c>
      <c r="L54" s="15" t="s">
        <v>314</v>
      </c>
      <c r="M54" s="15" t="s">
        <v>138</v>
      </c>
      <c r="N54" s="15" t="s">
        <v>97</v>
      </c>
      <c r="O54" s="15" t="s">
        <v>117</v>
      </c>
      <c r="P54" s="15" t="s">
        <v>315</v>
      </c>
    </row>
    <row r="55" spans="1:16" ht="48" customHeight="1" x14ac:dyDescent="0.3">
      <c r="A55" s="12">
        <v>4</v>
      </c>
      <c r="B55" s="12">
        <v>7</v>
      </c>
      <c r="C55" s="12" t="s">
        <v>289</v>
      </c>
      <c r="D55" s="12" t="s">
        <v>83</v>
      </c>
      <c r="E55" s="12" t="s">
        <v>311</v>
      </c>
      <c r="F55" s="12" t="s">
        <v>170</v>
      </c>
      <c r="G55" s="12">
        <v>5</v>
      </c>
      <c r="H55" s="16" t="s">
        <v>101</v>
      </c>
      <c r="I55" s="17" t="s">
        <v>132</v>
      </c>
      <c r="J55" s="15" t="s">
        <v>316</v>
      </c>
      <c r="K55" s="12" t="s">
        <v>88</v>
      </c>
      <c r="L55" s="15" t="s">
        <v>88</v>
      </c>
      <c r="M55" s="15" t="s">
        <v>88</v>
      </c>
      <c r="N55" s="15" t="s">
        <v>88</v>
      </c>
      <c r="O55" s="15" t="s">
        <v>88</v>
      </c>
      <c r="P55" s="15" t="s">
        <v>88</v>
      </c>
    </row>
    <row r="56" spans="1:16" ht="48" customHeight="1" x14ac:dyDescent="0.3">
      <c r="A56" s="19">
        <v>4</v>
      </c>
      <c r="B56" s="19">
        <v>7</v>
      </c>
      <c r="C56" s="19" t="s">
        <v>289</v>
      </c>
      <c r="D56" s="19" t="s">
        <v>83</v>
      </c>
      <c r="E56" s="19" t="s">
        <v>170</v>
      </c>
      <c r="F56" s="19" t="s">
        <v>317</v>
      </c>
      <c r="G56" s="19">
        <v>25</v>
      </c>
      <c r="H56" s="20" t="s">
        <v>101</v>
      </c>
      <c r="I56" s="21" t="s">
        <v>318</v>
      </c>
      <c r="J56" s="20" t="s">
        <v>319</v>
      </c>
      <c r="K56" s="22" t="s">
        <v>25</v>
      </c>
      <c r="L56" s="20" t="s">
        <v>137</v>
      </c>
      <c r="M56" s="20" t="s">
        <v>138</v>
      </c>
      <c r="N56" s="20" t="s">
        <v>97</v>
      </c>
      <c r="O56" s="20" t="s">
        <v>320</v>
      </c>
      <c r="P56" s="20" t="s">
        <v>321</v>
      </c>
    </row>
    <row r="57" spans="1:16" ht="48" customHeight="1" x14ac:dyDescent="0.3">
      <c r="A57" s="19">
        <v>4</v>
      </c>
      <c r="B57" s="19">
        <v>7</v>
      </c>
      <c r="C57" s="19" t="s">
        <v>289</v>
      </c>
      <c r="D57" s="19" t="s">
        <v>83</v>
      </c>
      <c r="E57" s="19" t="s">
        <v>317</v>
      </c>
      <c r="F57" s="19" t="s">
        <v>134</v>
      </c>
      <c r="G57" s="19">
        <v>10</v>
      </c>
      <c r="H57" s="20" t="s">
        <v>101</v>
      </c>
      <c r="I57" s="21" t="s">
        <v>322</v>
      </c>
      <c r="J57" s="20" t="s">
        <v>323</v>
      </c>
      <c r="K57" s="22" t="s">
        <v>27</v>
      </c>
      <c r="L57" s="20" t="s">
        <v>324</v>
      </c>
      <c r="M57" s="20" t="s">
        <v>138</v>
      </c>
      <c r="N57" s="20" t="s">
        <v>123</v>
      </c>
      <c r="O57" s="20" t="s">
        <v>325</v>
      </c>
      <c r="P57" s="20" t="s">
        <v>326</v>
      </c>
    </row>
    <row r="58" spans="1:16" ht="48" customHeight="1" x14ac:dyDescent="0.3">
      <c r="A58" s="12">
        <v>4</v>
      </c>
      <c r="B58" s="12">
        <v>7</v>
      </c>
      <c r="C58" s="12" t="s">
        <v>289</v>
      </c>
      <c r="D58" s="12" t="s">
        <v>83</v>
      </c>
      <c r="E58" s="12" t="s">
        <v>134</v>
      </c>
      <c r="F58" s="12" t="s">
        <v>141</v>
      </c>
      <c r="G58" s="12">
        <v>10</v>
      </c>
      <c r="H58" s="23" t="s">
        <v>142</v>
      </c>
      <c r="I58" s="24" t="s">
        <v>327</v>
      </c>
      <c r="J58" s="15" t="s">
        <v>328</v>
      </c>
      <c r="K58" s="18" t="s">
        <v>25</v>
      </c>
      <c r="L58" s="15" t="s">
        <v>145</v>
      </c>
      <c r="M58" s="15" t="s">
        <v>90</v>
      </c>
      <c r="N58" s="15" t="s">
        <v>97</v>
      </c>
      <c r="O58" s="15" t="s">
        <v>329</v>
      </c>
      <c r="P58" s="15" t="s">
        <v>330</v>
      </c>
    </row>
    <row r="59" spans="1:16" ht="48" customHeight="1" x14ac:dyDescent="0.3">
      <c r="A59" s="12">
        <v>4</v>
      </c>
      <c r="B59" s="12">
        <v>7</v>
      </c>
      <c r="C59" s="12" t="s">
        <v>289</v>
      </c>
      <c r="D59" s="12" t="s">
        <v>83</v>
      </c>
      <c r="E59" s="12" t="s">
        <v>141</v>
      </c>
      <c r="F59" s="12" t="s">
        <v>148</v>
      </c>
      <c r="G59" s="12">
        <v>10</v>
      </c>
      <c r="H59" s="23" t="s">
        <v>142</v>
      </c>
      <c r="I59" s="24" t="s">
        <v>331</v>
      </c>
      <c r="J59" s="15" t="s">
        <v>332</v>
      </c>
      <c r="K59" s="18" t="s">
        <v>25</v>
      </c>
      <c r="L59" s="15" t="s">
        <v>333</v>
      </c>
      <c r="M59" s="15" t="s">
        <v>90</v>
      </c>
      <c r="N59" s="15" t="s">
        <v>8</v>
      </c>
      <c r="O59" s="15" t="s">
        <v>191</v>
      </c>
      <c r="P59" s="15" t="s">
        <v>246</v>
      </c>
    </row>
    <row r="60" spans="1:16" ht="24" customHeight="1" x14ac:dyDescent="0.3">
      <c r="A60" s="25" t="s">
        <v>153</v>
      </c>
      <c r="B60" s="25"/>
      <c r="C60" s="25"/>
      <c r="D60" s="25"/>
      <c r="E60" s="25"/>
      <c r="F60" s="25"/>
      <c r="G60" s="25">
        <f>SUM(G49:G59)</f>
        <v>135</v>
      </c>
      <c r="H60" s="25"/>
      <c r="I60" s="26" t="s">
        <v>334</v>
      </c>
      <c r="J60" s="26" t="s">
        <v>335</v>
      </c>
      <c r="K60" s="25"/>
      <c r="L60" s="25"/>
      <c r="M60" s="25"/>
      <c r="N60" s="25"/>
      <c r="O60" s="25"/>
      <c r="P60" s="25"/>
    </row>
    <row r="61" spans="1:16" ht="30" customHeight="1" x14ac:dyDescent="0.3">
      <c r="A61" s="3" t="s">
        <v>336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48" customHeight="1" x14ac:dyDescent="0.3">
      <c r="A62" s="12">
        <v>4</v>
      </c>
      <c r="B62" s="12">
        <v>8</v>
      </c>
      <c r="C62" s="12" t="s">
        <v>337</v>
      </c>
      <c r="D62" s="12" t="s">
        <v>158</v>
      </c>
      <c r="E62" s="12" t="s">
        <v>159</v>
      </c>
      <c r="F62" s="12" t="s">
        <v>160</v>
      </c>
      <c r="G62" s="12">
        <v>5</v>
      </c>
      <c r="H62" s="13" t="s">
        <v>86</v>
      </c>
      <c r="I62" s="14" t="s">
        <v>338</v>
      </c>
      <c r="J62" s="15" t="s">
        <v>339</v>
      </c>
      <c r="K62" s="18" t="s">
        <v>25</v>
      </c>
      <c r="L62" s="15" t="s">
        <v>340</v>
      </c>
      <c r="M62" s="15" t="s">
        <v>90</v>
      </c>
      <c r="N62" s="15" t="s">
        <v>8</v>
      </c>
      <c r="O62" s="15" t="s">
        <v>91</v>
      </c>
      <c r="P62" s="15" t="s">
        <v>341</v>
      </c>
    </row>
    <row r="63" spans="1:16" ht="48" customHeight="1" x14ac:dyDescent="0.3">
      <c r="A63" s="12">
        <v>4</v>
      </c>
      <c r="B63" s="12">
        <v>8</v>
      </c>
      <c r="C63" s="12" t="s">
        <v>337</v>
      </c>
      <c r="D63" s="12" t="s">
        <v>158</v>
      </c>
      <c r="E63" s="12" t="s">
        <v>160</v>
      </c>
      <c r="F63" s="12" t="s">
        <v>165</v>
      </c>
      <c r="G63" s="12">
        <v>15</v>
      </c>
      <c r="H63" s="16" t="s">
        <v>101</v>
      </c>
      <c r="I63" s="17" t="s">
        <v>342</v>
      </c>
      <c r="J63" s="15" t="s">
        <v>343</v>
      </c>
      <c r="K63" s="18" t="s">
        <v>25</v>
      </c>
      <c r="L63" s="15" t="s">
        <v>344</v>
      </c>
      <c r="M63" s="15" t="s">
        <v>90</v>
      </c>
      <c r="N63" s="15" t="s">
        <v>8</v>
      </c>
      <c r="O63" s="15" t="s">
        <v>345</v>
      </c>
      <c r="P63" s="15" t="s">
        <v>346</v>
      </c>
    </row>
    <row r="64" spans="1:16" ht="48" customHeight="1" x14ac:dyDescent="0.3">
      <c r="A64" s="12">
        <v>4</v>
      </c>
      <c r="B64" s="12">
        <v>8</v>
      </c>
      <c r="C64" s="12" t="s">
        <v>337</v>
      </c>
      <c r="D64" s="12" t="s">
        <v>158</v>
      </c>
      <c r="E64" s="12" t="s">
        <v>165</v>
      </c>
      <c r="F64" s="12" t="s">
        <v>311</v>
      </c>
      <c r="G64" s="12">
        <v>10</v>
      </c>
      <c r="H64" s="16" t="s">
        <v>101</v>
      </c>
      <c r="I64" s="17" t="s">
        <v>347</v>
      </c>
      <c r="J64" s="15" t="s">
        <v>348</v>
      </c>
      <c r="K64" s="18" t="s">
        <v>25</v>
      </c>
      <c r="L64" s="15" t="s">
        <v>349</v>
      </c>
      <c r="M64" s="15" t="s">
        <v>90</v>
      </c>
      <c r="N64" s="15" t="s">
        <v>8</v>
      </c>
      <c r="O64" s="15" t="s">
        <v>350</v>
      </c>
      <c r="P64" s="15" t="s">
        <v>351</v>
      </c>
    </row>
    <row r="65" spans="1:16" ht="48" customHeight="1" x14ac:dyDescent="0.3">
      <c r="A65" s="31">
        <v>4</v>
      </c>
      <c r="B65" s="31">
        <v>8</v>
      </c>
      <c r="C65" s="31" t="s">
        <v>337</v>
      </c>
      <c r="D65" s="31" t="s">
        <v>158</v>
      </c>
      <c r="E65" s="31" t="s">
        <v>311</v>
      </c>
      <c r="F65" s="31" t="s">
        <v>176</v>
      </c>
      <c r="G65" s="31">
        <v>20</v>
      </c>
      <c r="H65" s="32" t="s">
        <v>101</v>
      </c>
      <c r="I65" s="33" t="s">
        <v>352</v>
      </c>
      <c r="J65" s="32" t="s">
        <v>353</v>
      </c>
      <c r="K65" s="34" t="s">
        <v>25</v>
      </c>
      <c r="L65" s="32" t="s">
        <v>354</v>
      </c>
      <c r="M65" s="32" t="s">
        <v>96</v>
      </c>
      <c r="N65" s="32" t="s">
        <v>97</v>
      </c>
      <c r="O65" s="32" t="s">
        <v>355</v>
      </c>
      <c r="P65" s="32" t="s">
        <v>356</v>
      </c>
    </row>
    <row r="66" spans="1:16" ht="48" customHeight="1" x14ac:dyDescent="0.3">
      <c r="A66" s="12">
        <v>4</v>
      </c>
      <c r="B66" s="12">
        <v>8</v>
      </c>
      <c r="C66" s="12" t="s">
        <v>337</v>
      </c>
      <c r="D66" s="12" t="s">
        <v>158</v>
      </c>
      <c r="E66" s="12" t="s">
        <v>176</v>
      </c>
      <c r="F66" s="12" t="s">
        <v>317</v>
      </c>
      <c r="G66" s="12">
        <v>10</v>
      </c>
      <c r="H66" s="16" t="s">
        <v>101</v>
      </c>
      <c r="I66" s="17" t="s">
        <v>357</v>
      </c>
      <c r="J66" s="15" t="s">
        <v>358</v>
      </c>
      <c r="K66" s="18" t="s">
        <v>25</v>
      </c>
      <c r="L66" s="15" t="s">
        <v>359</v>
      </c>
      <c r="M66" s="15" t="s">
        <v>90</v>
      </c>
      <c r="N66" s="15" t="s">
        <v>8</v>
      </c>
      <c r="O66" s="15" t="s">
        <v>360</v>
      </c>
      <c r="P66" s="15" t="s">
        <v>361</v>
      </c>
    </row>
    <row r="67" spans="1:16" ht="48" customHeight="1" x14ac:dyDescent="0.3">
      <c r="A67" s="12">
        <v>4</v>
      </c>
      <c r="B67" s="12">
        <v>8</v>
      </c>
      <c r="C67" s="12" t="s">
        <v>337</v>
      </c>
      <c r="D67" s="12" t="s">
        <v>158</v>
      </c>
      <c r="E67" s="12" t="s">
        <v>317</v>
      </c>
      <c r="F67" s="12" t="s">
        <v>270</v>
      </c>
      <c r="G67" s="12">
        <v>5</v>
      </c>
      <c r="H67" s="16" t="s">
        <v>101</v>
      </c>
      <c r="I67" s="17" t="s">
        <v>132</v>
      </c>
      <c r="J67" s="15" t="s">
        <v>362</v>
      </c>
      <c r="K67" s="12" t="s">
        <v>88</v>
      </c>
      <c r="L67" s="15" t="s">
        <v>88</v>
      </c>
      <c r="M67" s="15" t="s">
        <v>88</v>
      </c>
      <c r="N67" s="15" t="s">
        <v>88</v>
      </c>
      <c r="O67" s="15" t="s">
        <v>88</v>
      </c>
      <c r="P67" s="15" t="s">
        <v>88</v>
      </c>
    </row>
    <row r="68" spans="1:16" ht="48" customHeight="1" x14ac:dyDescent="0.3">
      <c r="A68" s="19">
        <v>4</v>
      </c>
      <c r="B68" s="19">
        <v>8</v>
      </c>
      <c r="C68" s="19" t="s">
        <v>337</v>
      </c>
      <c r="D68" s="19" t="s">
        <v>158</v>
      </c>
      <c r="E68" s="19" t="s">
        <v>270</v>
      </c>
      <c r="F68" s="19" t="s">
        <v>277</v>
      </c>
      <c r="G68" s="19">
        <v>20</v>
      </c>
      <c r="H68" s="20" t="s">
        <v>101</v>
      </c>
      <c r="I68" s="21" t="s">
        <v>363</v>
      </c>
      <c r="J68" s="20" t="s">
        <v>364</v>
      </c>
      <c r="K68" s="22" t="s">
        <v>365</v>
      </c>
      <c r="L68" s="20" t="s">
        <v>366</v>
      </c>
      <c r="M68" s="20" t="s">
        <v>138</v>
      </c>
      <c r="N68" s="20" t="s">
        <v>123</v>
      </c>
      <c r="O68" s="20" t="s">
        <v>367</v>
      </c>
      <c r="P68" s="20" t="s">
        <v>368</v>
      </c>
    </row>
    <row r="69" spans="1:16" ht="48" customHeight="1" x14ac:dyDescent="0.3">
      <c r="A69" s="12">
        <v>4</v>
      </c>
      <c r="B69" s="12">
        <v>8</v>
      </c>
      <c r="C69" s="12" t="s">
        <v>337</v>
      </c>
      <c r="D69" s="12" t="s">
        <v>158</v>
      </c>
      <c r="E69" s="12" t="s">
        <v>277</v>
      </c>
      <c r="F69" s="12" t="s">
        <v>148</v>
      </c>
      <c r="G69" s="12">
        <v>5</v>
      </c>
      <c r="H69" s="23" t="s">
        <v>142</v>
      </c>
      <c r="I69" s="24" t="s">
        <v>369</v>
      </c>
      <c r="J69" s="15" t="s">
        <v>370</v>
      </c>
      <c r="K69" s="18" t="s">
        <v>27</v>
      </c>
      <c r="L69" s="15" t="s">
        <v>371</v>
      </c>
      <c r="M69" s="15" t="s">
        <v>90</v>
      </c>
      <c r="N69" s="15" t="s">
        <v>8</v>
      </c>
      <c r="O69" s="15" t="s">
        <v>372</v>
      </c>
      <c r="P69" s="15" t="s">
        <v>373</v>
      </c>
    </row>
    <row r="70" spans="1:16" ht="24" customHeight="1" x14ac:dyDescent="0.3">
      <c r="A70" s="25" t="s">
        <v>153</v>
      </c>
      <c r="B70" s="25"/>
      <c r="C70" s="25"/>
      <c r="D70" s="25"/>
      <c r="E70" s="25"/>
      <c r="F70" s="25"/>
      <c r="G70" s="25">
        <f>SUM(G62:G69)</f>
        <v>90</v>
      </c>
      <c r="H70" s="25"/>
      <c r="I70" s="26" t="s">
        <v>374</v>
      </c>
      <c r="J70" s="26" t="s">
        <v>375</v>
      </c>
      <c r="K70" s="25"/>
      <c r="L70" s="25"/>
      <c r="M70" s="25"/>
      <c r="N70" s="25"/>
      <c r="O70" s="25"/>
      <c r="P70" s="25"/>
    </row>
    <row r="71" spans="1:16" ht="30" customHeight="1" x14ac:dyDescent="0.3">
      <c r="A71" s="3" t="s">
        <v>376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48" customHeight="1" x14ac:dyDescent="0.3">
      <c r="A72" s="12">
        <v>5</v>
      </c>
      <c r="B72" s="12">
        <v>9</v>
      </c>
      <c r="C72" s="12" t="s">
        <v>377</v>
      </c>
      <c r="D72" s="12" t="s">
        <v>83</v>
      </c>
      <c r="E72" s="12" t="s">
        <v>84</v>
      </c>
      <c r="F72" s="12" t="s">
        <v>85</v>
      </c>
      <c r="G72" s="12">
        <v>5</v>
      </c>
      <c r="H72" s="13" t="s">
        <v>86</v>
      </c>
      <c r="I72" s="14" t="s">
        <v>378</v>
      </c>
      <c r="J72" s="15" t="s">
        <v>379</v>
      </c>
      <c r="K72" s="18" t="s">
        <v>27</v>
      </c>
      <c r="L72" s="15" t="s">
        <v>380</v>
      </c>
      <c r="M72" s="15" t="s">
        <v>90</v>
      </c>
      <c r="N72" s="15" t="s">
        <v>123</v>
      </c>
      <c r="O72" s="15" t="s">
        <v>124</v>
      </c>
      <c r="P72" s="15" t="s">
        <v>381</v>
      </c>
    </row>
    <row r="73" spans="1:16" ht="48" customHeight="1" x14ac:dyDescent="0.3">
      <c r="A73" s="12">
        <v>5</v>
      </c>
      <c r="B73" s="12">
        <v>9</v>
      </c>
      <c r="C73" s="12" t="s">
        <v>377</v>
      </c>
      <c r="D73" s="12" t="s">
        <v>83</v>
      </c>
      <c r="E73" s="12" t="s">
        <v>85</v>
      </c>
      <c r="F73" s="12" t="s">
        <v>92</v>
      </c>
      <c r="G73" s="12">
        <v>15</v>
      </c>
      <c r="H73" s="13" t="s">
        <v>86</v>
      </c>
      <c r="I73" s="14" t="s">
        <v>382</v>
      </c>
      <c r="J73" s="15" t="s">
        <v>383</v>
      </c>
      <c r="K73" s="18" t="s">
        <v>27</v>
      </c>
      <c r="L73" s="15" t="s">
        <v>384</v>
      </c>
      <c r="M73" s="15" t="s">
        <v>90</v>
      </c>
      <c r="N73" s="15" t="s">
        <v>97</v>
      </c>
      <c r="O73" s="15" t="s">
        <v>124</v>
      </c>
      <c r="P73" s="15" t="s">
        <v>385</v>
      </c>
    </row>
    <row r="74" spans="1:16" ht="48" customHeight="1" x14ac:dyDescent="0.3">
      <c r="A74" s="12">
        <v>5</v>
      </c>
      <c r="B74" s="12">
        <v>9</v>
      </c>
      <c r="C74" s="12" t="s">
        <v>377</v>
      </c>
      <c r="D74" s="12" t="s">
        <v>83</v>
      </c>
      <c r="E74" s="12" t="s">
        <v>92</v>
      </c>
      <c r="F74" s="12" t="s">
        <v>386</v>
      </c>
      <c r="G74" s="12">
        <v>15</v>
      </c>
      <c r="H74" s="16" t="s">
        <v>101</v>
      </c>
      <c r="I74" s="17" t="s">
        <v>387</v>
      </c>
      <c r="J74" s="15" t="s">
        <v>388</v>
      </c>
      <c r="K74" s="18" t="s">
        <v>27</v>
      </c>
      <c r="L74" s="15" t="s">
        <v>389</v>
      </c>
      <c r="M74" s="15" t="s">
        <v>90</v>
      </c>
      <c r="N74" s="15" t="s">
        <v>8</v>
      </c>
      <c r="O74" s="15" t="s">
        <v>91</v>
      </c>
      <c r="P74" s="15" t="s">
        <v>390</v>
      </c>
    </row>
    <row r="75" spans="1:16" ht="48" customHeight="1" x14ac:dyDescent="0.3">
      <c r="A75" s="12">
        <v>5</v>
      </c>
      <c r="B75" s="12">
        <v>9</v>
      </c>
      <c r="C75" s="12" t="s">
        <v>377</v>
      </c>
      <c r="D75" s="12" t="s">
        <v>83</v>
      </c>
      <c r="E75" s="12" t="s">
        <v>386</v>
      </c>
      <c r="F75" s="12" t="s">
        <v>112</v>
      </c>
      <c r="G75" s="12">
        <v>25</v>
      </c>
      <c r="H75" s="16" t="s">
        <v>101</v>
      </c>
      <c r="I75" s="17" t="s">
        <v>391</v>
      </c>
      <c r="J75" s="15" t="s">
        <v>392</v>
      </c>
      <c r="K75" s="18" t="s">
        <v>27</v>
      </c>
      <c r="L75" s="15" t="s">
        <v>393</v>
      </c>
      <c r="M75" s="15" t="s">
        <v>138</v>
      </c>
      <c r="N75" s="15" t="s">
        <v>97</v>
      </c>
      <c r="O75" s="15" t="s">
        <v>394</v>
      </c>
      <c r="P75" s="15" t="s">
        <v>395</v>
      </c>
    </row>
    <row r="76" spans="1:16" ht="48" customHeight="1" x14ac:dyDescent="0.3">
      <c r="A76" s="12">
        <v>5</v>
      </c>
      <c r="B76" s="12">
        <v>9</v>
      </c>
      <c r="C76" s="12" t="s">
        <v>377</v>
      </c>
      <c r="D76" s="12" t="s">
        <v>83</v>
      </c>
      <c r="E76" s="12" t="s">
        <v>112</v>
      </c>
      <c r="F76" s="12" t="s">
        <v>170</v>
      </c>
      <c r="G76" s="12">
        <v>20</v>
      </c>
      <c r="H76" s="16" t="s">
        <v>101</v>
      </c>
      <c r="I76" s="17" t="s">
        <v>396</v>
      </c>
      <c r="J76" s="15" t="s">
        <v>397</v>
      </c>
      <c r="K76" s="18" t="s">
        <v>27</v>
      </c>
      <c r="L76" s="15" t="s">
        <v>398</v>
      </c>
      <c r="M76" s="15" t="s">
        <v>138</v>
      </c>
      <c r="N76" s="15" t="s">
        <v>123</v>
      </c>
      <c r="O76" s="15" t="s">
        <v>91</v>
      </c>
      <c r="P76" s="15" t="s">
        <v>399</v>
      </c>
    </row>
    <row r="77" spans="1:16" ht="48" customHeight="1" x14ac:dyDescent="0.3">
      <c r="A77" s="12">
        <v>5</v>
      </c>
      <c r="B77" s="12">
        <v>9</v>
      </c>
      <c r="C77" s="12" t="s">
        <v>377</v>
      </c>
      <c r="D77" s="12" t="s">
        <v>83</v>
      </c>
      <c r="E77" s="12" t="s">
        <v>170</v>
      </c>
      <c r="F77" s="12" t="s">
        <v>126</v>
      </c>
      <c r="G77" s="12">
        <v>5</v>
      </c>
      <c r="H77" s="16" t="s">
        <v>101</v>
      </c>
      <c r="I77" s="17" t="s">
        <v>132</v>
      </c>
      <c r="J77" s="15" t="s">
        <v>400</v>
      </c>
      <c r="K77" s="12" t="s">
        <v>88</v>
      </c>
      <c r="L77" s="15" t="s">
        <v>88</v>
      </c>
      <c r="M77" s="15" t="s">
        <v>88</v>
      </c>
      <c r="N77" s="15" t="s">
        <v>88</v>
      </c>
      <c r="O77" s="15" t="s">
        <v>88</v>
      </c>
      <c r="P77" s="15" t="s">
        <v>88</v>
      </c>
    </row>
    <row r="78" spans="1:16" ht="48" customHeight="1" x14ac:dyDescent="0.3">
      <c r="A78" s="19">
        <v>5</v>
      </c>
      <c r="B78" s="19">
        <v>9</v>
      </c>
      <c r="C78" s="19" t="s">
        <v>377</v>
      </c>
      <c r="D78" s="19" t="s">
        <v>83</v>
      </c>
      <c r="E78" s="19" t="s">
        <v>126</v>
      </c>
      <c r="F78" s="19" t="s">
        <v>270</v>
      </c>
      <c r="G78" s="19">
        <v>25</v>
      </c>
      <c r="H78" s="20" t="s">
        <v>101</v>
      </c>
      <c r="I78" s="21" t="s">
        <v>401</v>
      </c>
      <c r="J78" s="20" t="s">
        <v>402</v>
      </c>
      <c r="K78" s="22" t="s">
        <v>29</v>
      </c>
      <c r="L78" s="20" t="s">
        <v>403</v>
      </c>
      <c r="M78" s="20" t="s">
        <v>138</v>
      </c>
      <c r="N78" s="20" t="s">
        <v>123</v>
      </c>
      <c r="O78" s="20" t="s">
        <v>404</v>
      </c>
      <c r="P78" s="20" t="s">
        <v>405</v>
      </c>
    </row>
    <row r="79" spans="1:16" ht="48" customHeight="1" x14ac:dyDescent="0.3">
      <c r="A79" s="12">
        <v>5</v>
      </c>
      <c r="B79" s="12">
        <v>9</v>
      </c>
      <c r="C79" s="12" t="s">
        <v>377</v>
      </c>
      <c r="D79" s="12" t="s">
        <v>83</v>
      </c>
      <c r="E79" s="12" t="s">
        <v>270</v>
      </c>
      <c r="F79" s="12" t="s">
        <v>141</v>
      </c>
      <c r="G79" s="12">
        <v>15</v>
      </c>
      <c r="H79" s="23" t="s">
        <v>142</v>
      </c>
      <c r="I79" s="24" t="s">
        <v>406</v>
      </c>
      <c r="J79" s="15" t="s">
        <v>407</v>
      </c>
      <c r="K79" s="18" t="s">
        <v>27</v>
      </c>
      <c r="L79" s="15" t="s">
        <v>408</v>
      </c>
      <c r="M79" s="15" t="s">
        <v>138</v>
      </c>
      <c r="N79" s="15" t="s">
        <v>97</v>
      </c>
      <c r="O79" s="15" t="s">
        <v>117</v>
      </c>
      <c r="P79" s="15" t="s">
        <v>409</v>
      </c>
    </row>
    <row r="80" spans="1:16" ht="48" customHeight="1" x14ac:dyDescent="0.3">
      <c r="A80" s="12">
        <v>5</v>
      </c>
      <c r="B80" s="12">
        <v>9</v>
      </c>
      <c r="C80" s="12" t="s">
        <v>377</v>
      </c>
      <c r="D80" s="12" t="s">
        <v>83</v>
      </c>
      <c r="E80" s="12" t="s">
        <v>141</v>
      </c>
      <c r="F80" s="12" t="s">
        <v>148</v>
      </c>
      <c r="G80" s="12">
        <v>10</v>
      </c>
      <c r="H80" s="23" t="s">
        <v>142</v>
      </c>
      <c r="I80" s="24" t="s">
        <v>283</v>
      </c>
      <c r="J80" s="15" t="s">
        <v>410</v>
      </c>
      <c r="K80" s="18" t="s">
        <v>31</v>
      </c>
      <c r="L80" s="15" t="s">
        <v>411</v>
      </c>
      <c r="M80" s="15" t="s">
        <v>90</v>
      </c>
      <c r="N80" s="15" t="s">
        <v>8</v>
      </c>
      <c r="O80" s="15" t="s">
        <v>191</v>
      </c>
      <c r="P80" s="15" t="s">
        <v>246</v>
      </c>
    </row>
    <row r="81" spans="1:16" ht="24" customHeight="1" x14ac:dyDescent="0.3">
      <c r="A81" s="25" t="s">
        <v>153</v>
      </c>
      <c r="B81" s="25"/>
      <c r="C81" s="25"/>
      <c r="D81" s="25"/>
      <c r="E81" s="25"/>
      <c r="F81" s="25"/>
      <c r="G81" s="25">
        <f>SUM(G72:G80)</f>
        <v>135</v>
      </c>
      <c r="H81" s="25"/>
      <c r="I81" s="26" t="s">
        <v>412</v>
      </c>
      <c r="J81" s="26" t="s">
        <v>413</v>
      </c>
      <c r="K81" s="25"/>
      <c r="L81" s="25"/>
      <c r="M81" s="25"/>
      <c r="N81" s="25"/>
      <c r="O81" s="25"/>
      <c r="P81" s="25"/>
    </row>
    <row r="82" spans="1:16" ht="30" customHeight="1" x14ac:dyDescent="0.3">
      <c r="A82" s="3" t="s">
        <v>414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48" customHeight="1" x14ac:dyDescent="0.3">
      <c r="A83" s="12">
        <v>5</v>
      </c>
      <c r="B83" s="12">
        <v>10</v>
      </c>
      <c r="C83" s="12" t="s">
        <v>415</v>
      </c>
      <c r="D83" s="12" t="s">
        <v>158</v>
      </c>
      <c r="E83" s="12" t="s">
        <v>159</v>
      </c>
      <c r="F83" s="12" t="s">
        <v>160</v>
      </c>
      <c r="G83" s="12">
        <v>5</v>
      </c>
      <c r="H83" s="13" t="s">
        <v>86</v>
      </c>
      <c r="I83" s="14" t="s">
        <v>416</v>
      </c>
      <c r="J83" s="15" t="s">
        <v>417</v>
      </c>
      <c r="K83" s="18" t="s">
        <v>27</v>
      </c>
      <c r="L83" s="15" t="s">
        <v>418</v>
      </c>
      <c r="M83" s="15" t="s">
        <v>90</v>
      </c>
      <c r="N83" s="15" t="s">
        <v>123</v>
      </c>
      <c r="O83" s="15" t="s">
        <v>419</v>
      </c>
      <c r="P83" s="15" t="s">
        <v>420</v>
      </c>
    </row>
    <row r="84" spans="1:16" ht="48" customHeight="1" x14ac:dyDescent="0.3">
      <c r="A84" s="12">
        <v>5</v>
      </c>
      <c r="B84" s="12">
        <v>10</v>
      </c>
      <c r="C84" s="12" t="s">
        <v>415</v>
      </c>
      <c r="D84" s="12" t="s">
        <v>158</v>
      </c>
      <c r="E84" s="12" t="s">
        <v>160</v>
      </c>
      <c r="F84" s="12" t="s">
        <v>119</v>
      </c>
      <c r="G84" s="12">
        <v>20</v>
      </c>
      <c r="H84" s="16" t="s">
        <v>101</v>
      </c>
      <c r="I84" s="17" t="s">
        <v>421</v>
      </c>
      <c r="J84" s="15" t="s">
        <v>422</v>
      </c>
      <c r="K84" s="18" t="s">
        <v>27</v>
      </c>
      <c r="L84" s="15" t="s">
        <v>423</v>
      </c>
      <c r="M84" s="15" t="s">
        <v>90</v>
      </c>
      <c r="N84" s="15" t="s">
        <v>8</v>
      </c>
      <c r="O84" s="15" t="s">
        <v>419</v>
      </c>
      <c r="P84" s="15" t="s">
        <v>424</v>
      </c>
    </row>
    <row r="85" spans="1:16" ht="48" customHeight="1" x14ac:dyDescent="0.3">
      <c r="A85" s="19">
        <v>5</v>
      </c>
      <c r="B85" s="19">
        <v>10</v>
      </c>
      <c r="C85" s="19" t="s">
        <v>415</v>
      </c>
      <c r="D85" s="19" t="s">
        <v>158</v>
      </c>
      <c r="E85" s="19" t="s">
        <v>119</v>
      </c>
      <c r="F85" s="19" t="s">
        <v>131</v>
      </c>
      <c r="G85" s="19">
        <v>20</v>
      </c>
      <c r="H85" s="20" t="s">
        <v>101</v>
      </c>
      <c r="I85" s="21" t="s">
        <v>425</v>
      </c>
      <c r="J85" s="20" t="s">
        <v>426</v>
      </c>
      <c r="K85" s="22" t="s">
        <v>27</v>
      </c>
      <c r="L85" s="20" t="s">
        <v>427</v>
      </c>
      <c r="M85" s="20" t="s">
        <v>138</v>
      </c>
      <c r="N85" s="20" t="s">
        <v>97</v>
      </c>
      <c r="O85" s="20" t="s">
        <v>428</v>
      </c>
      <c r="P85" s="20" t="s">
        <v>429</v>
      </c>
    </row>
    <row r="86" spans="1:16" ht="48" customHeight="1" x14ac:dyDescent="0.3">
      <c r="A86" s="19">
        <v>5</v>
      </c>
      <c r="B86" s="19">
        <v>10</v>
      </c>
      <c r="C86" s="19" t="s">
        <v>415</v>
      </c>
      <c r="D86" s="19" t="s">
        <v>158</v>
      </c>
      <c r="E86" s="19" t="s">
        <v>131</v>
      </c>
      <c r="F86" s="19" t="s">
        <v>270</v>
      </c>
      <c r="G86" s="19">
        <v>20</v>
      </c>
      <c r="H86" s="20" t="s">
        <v>101</v>
      </c>
      <c r="I86" s="21" t="s">
        <v>430</v>
      </c>
      <c r="J86" s="20" t="s">
        <v>431</v>
      </c>
      <c r="K86" s="22" t="s">
        <v>31</v>
      </c>
      <c r="L86" s="20" t="s">
        <v>432</v>
      </c>
      <c r="M86" s="20" t="s">
        <v>138</v>
      </c>
      <c r="N86" s="20" t="s">
        <v>97</v>
      </c>
      <c r="O86" s="20" t="s">
        <v>350</v>
      </c>
      <c r="P86" s="20" t="s">
        <v>433</v>
      </c>
    </row>
    <row r="87" spans="1:16" ht="48" customHeight="1" x14ac:dyDescent="0.3">
      <c r="A87" s="12">
        <v>5</v>
      </c>
      <c r="B87" s="12">
        <v>10</v>
      </c>
      <c r="C87" s="12" t="s">
        <v>415</v>
      </c>
      <c r="D87" s="12" t="s">
        <v>158</v>
      </c>
      <c r="E87" s="12" t="s">
        <v>270</v>
      </c>
      <c r="F87" s="12" t="s">
        <v>134</v>
      </c>
      <c r="G87" s="12">
        <v>5</v>
      </c>
      <c r="H87" s="16" t="s">
        <v>101</v>
      </c>
      <c r="I87" s="17" t="s">
        <v>132</v>
      </c>
      <c r="J87" s="15" t="s">
        <v>434</v>
      </c>
      <c r="K87" s="12" t="s">
        <v>88</v>
      </c>
      <c r="L87" s="15" t="s">
        <v>88</v>
      </c>
      <c r="M87" s="15" t="s">
        <v>88</v>
      </c>
      <c r="N87" s="15" t="s">
        <v>88</v>
      </c>
      <c r="O87" s="15" t="s">
        <v>88</v>
      </c>
      <c r="P87" s="15" t="s">
        <v>88</v>
      </c>
    </row>
    <row r="88" spans="1:16" ht="48" customHeight="1" x14ac:dyDescent="0.3">
      <c r="A88" s="19">
        <v>5</v>
      </c>
      <c r="B88" s="19">
        <v>10</v>
      </c>
      <c r="C88" s="19" t="s">
        <v>415</v>
      </c>
      <c r="D88" s="19" t="s">
        <v>158</v>
      </c>
      <c r="E88" s="19" t="s">
        <v>134</v>
      </c>
      <c r="F88" s="19" t="s">
        <v>277</v>
      </c>
      <c r="G88" s="19">
        <v>15</v>
      </c>
      <c r="H88" s="20" t="s">
        <v>142</v>
      </c>
      <c r="I88" s="21" t="s">
        <v>435</v>
      </c>
      <c r="J88" s="20" t="s">
        <v>436</v>
      </c>
      <c r="K88" s="22" t="s">
        <v>31</v>
      </c>
      <c r="L88" s="20" t="s">
        <v>437</v>
      </c>
      <c r="M88" s="20" t="s">
        <v>138</v>
      </c>
      <c r="N88" s="20" t="s">
        <v>97</v>
      </c>
      <c r="O88" s="20" t="s">
        <v>438</v>
      </c>
      <c r="P88" s="20" t="s">
        <v>439</v>
      </c>
    </row>
    <row r="89" spans="1:16" ht="48" customHeight="1" x14ac:dyDescent="0.3">
      <c r="A89" s="12">
        <v>5</v>
      </c>
      <c r="B89" s="12">
        <v>10</v>
      </c>
      <c r="C89" s="12" t="s">
        <v>415</v>
      </c>
      <c r="D89" s="12" t="s">
        <v>158</v>
      </c>
      <c r="E89" s="12" t="s">
        <v>277</v>
      </c>
      <c r="F89" s="12" t="s">
        <v>148</v>
      </c>
      <c r="G89" s="12">
        <v>5</v>
      </c>
      <c r="H89" s="23" t="s">
        <v>142</v>
      </c>
      <c r="I89" s="24" t="s">
        <v>440</v>
      </c>
      <c r="J89" s="15" t="s">
        <v>441</v>
      </c>
      <c r="K89" s="18" t="s">
        <v>31</v>
      </c>
      <c r="L89" s="15" t="s">
        <v>442</v>
      </c>
      <c r="M89" s="15" t="s">
        <v>90</v>
      </c>
      <c r="N89" s="15" t="s">
        <v>8</v>
      </c>
      <c r="O89" s="15" t="s">
        <v>191</v>
      </c>
      <c r="P89" s="15" t="s">
        <v>443</v>
      </c>
    </row>
    <row r="90" spans="1:16" ht="24" customHeight="1" x14ac:dyDescent="0.3">
      <c r="A90" s="25" t="s">
        <v>153</v>
      </c>
      <c r="B90" s="25"/>
      <c r="C90" s="25"/>
      <c r="D90" s="25"/>
      <c r="E90" s="25"/>
      <c r="F90" s="25"/>
      <c r="G90" s="25">
        <f>SUM(G83:G89)</f>
        <v>90</v>
      </c>
      <c r="H90" s="25"/>
      <c r="I90" s="26" t="s">
        <v>444</v>
      </c>
      <c r="J90" s="26" t="s">
        <v>445</v>
      </c>
      <c r="K90" s="25"/>
      <c r="L90" s="25"/>
      <c r="M90" s="25"/>
      <c r="N90" s="25"/>
      <c r="O90" s="25"/>
      <c r="P90" s="25"/>
    </row>
    <row r="91" spans="1:16" ht="30" customHeight="1" x14ac:dyDescent="0.3">
      <c r="A91" s="3" t="s">
        <v>446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48" customHeight="1" x14ac:dyDescent="0.3">
      <c r="A92" s="12">
        <v>6</v>
      </c>
      <c r="B92" s="12">
        <v>11</v>
      </c>
      <c r="C92" s="12" t="s">
        <v>447</v>
      </c>
      <c r="D92" s="12" t="s">
        <v>83</v>
      </c>
      <c r="E92" s="12" t="s">
        <v>84</v>
      </c>
      <c r="F92" s="12" t="s">
        <v>85</v>
      </c>
      <c r="G92" s="12">
        <v>5</v>
      </c>
      <c r="H92" s="13" t="s">
        <v>86</v>
      </c>
      <c r="I92" s="14" t="s">
        <v>87</v>
      </c>
      <c r="J92" s="15" t="s">
        <v>448</v>
      </c>
      <c r="K92" s="18" t="s">
        <v>27</v>
      </c>
      <c r="L92" s="15" t="s">
        <v>89</v>
      </c>
      <c r="M92" s="15" t="s">
        <v>90</v>
      </c>
      <c r="N92" s="15" t="s">
        <v>8</v>
      </c>
      <c r="O92" s="15" t="s">
        <v>91</v>
      </c>
      <c r="P92" s="15" t="s">
        <v>88</v>
      </c>
    </row>
    <row r="93" spans="1:16" ht="48" customHeight="1" x14ac:dyDescent="0.3">
      <c r="A93" s="12">
        <v>6</v>
      </c>
      <c r="B93" s="12">
        <v>11</v>
      </c>
      <c r="C93" s="12" t="s">
        <v>447</v>
      </c>
      <c r="D93" s="12" t="s">
        <v>83</v>
      </c>
      <c r="E93" s="12" t="s">
        <v>85</v>
      </c>
      <c r="F93" s="12" t="s">
        <v>92</v>
      </c>
      <c r="G93" s="12">
        <v>15</v>
      </c>
      <c r="H93" s="13" t="s">
        <v>86</v>
      </c>
      <c r="I93" s="14" t="s">
        <v>449</v>
      </c>
      <c r="J93" s="15" t="s">
        <v>450</v>
      </c>
      <c r="K93" s="12" t="s">
        <v>88</v>
      </c>
      <c r="L93" s="15" t="s">
        <v>129</v>
      </c>
      <c r="M93" s="15" t="s">
        <v>96</v>
      </c>
      <c r="N93" s="15" t="s">
        <v>97</v>
      </c>
      <c r="O93" s="15" t="s">
        <v>117</v>
      </c>
      <c r="P93" s="15" t="s">
        <v>451</v>
      </c>
    </row>
    <row r="94" spans="1:16" ht="48" customHeight="1" x14ac:dyDescent="0.3">
      <c r="A94" s="12">
        <v>6</v>
      </c>
      <c r="B94" s="12">
        <v>11</v>
      </c>
      <c r="C94" s="12" t="s">
        <v>447</v>
      </c>
      <c r="D94" s="12" t="s">
        <v>83</v>
      </c>
      <c r="E94" s="12" t="s">
        <v>92</v>
      </c>
      <c r="F94" s="12" t="s">
        <v>386</v>
      </c>
      <c r="G94" s="12">
        <v>15</v>
      </c>
      <c r="H94" s="16" t="s">
        <v>101</v>
      </c>
      <c r="I94" s="17" t="s">
        <v>452</v>
      </c>
      <c r="J94" s="15" t="s">
        <v>453</v>
      </c>
      <c r="K94" s="18" t="s">
        <v>27</v>
      </c>
      <c r="L94" s="15" t="s">
        <v>454</v>
      </c>
      <c r="M94" s="15" t="s">
        <v>90</v>
      </c>
      <c r="N94" s="15" t="s">
        <v>123</v>
      </c>
      <c r="O94" s="15" t="s">
        <v>105</v>
      </c>
      <c r="P94" s="15" t="s">
        <v>455</v>
      </c>
    </row>
    <row r="95" spans="1:16" ht="48" customHeight="1" x14ac:dyDescent="0.3">
      <c r="A95" s="12">
        <v>6</v>
      </c>
      <c r="B95" s="12">
        <v>11</v>
      </c>
      <c r="C95" s="12" t="s">
        <v>447</v>
      </c>
      <c r="D95" s="12" t="s">
        <v>83</v>
      </c>
      <c r="E95" s="12" t="s">
        <v>386</v>
      </c>
      <c r="F95" s="12" t="s">
        <v>217</v>
      </c>
      <c r="G95" s="12">
        <v>20</v>
      </c>
      <c r="H95" s="16" t="s">
        <v>101</v>
      </c>
      <c r="I95" s="17" t="s">
        <v>456</v>
      </c>
      <c r="J95" s="15" t="s">
        <v>457</v>
      </c>
      <c r="K95" s="18" t="s">
        <v>27</v>
      </c>
      <c r="L95" s="15" t="s">
        <v>458</v>
      </c>
      <c r="M95" s="15" t="s">
        <v>116</v>
      </c>
      <c r="N95" s="15" t="s">
        <v>97</v>
      </c>
      <c r="O95" s="15" t="s">
        <v>117</v>
      </c>
      <c r="P95" s="15" t="s">
        <v>459</v>
      </c>
    </row>
    <row r="96" spans="1:16" ht="48" customHeight="1" x14ac:dyDescent="0.3">
      <c r="A96" s="12">
        <v>6</v>
      </c>
      <c r="B96" s="12">
        <v>11</v>
      </c>
      <c r="C96" s="12" t="s">
        <v>447</v>
      </c>
      <c r="D96" s="12" t="s">
        <v>83</v>
      </c>
      <c r="E96" s="12" t="s">
        <v>217</v>
      </c>
      <c r="F96" s="12" t="s">
        <v>119</v>
      </c>
      <c r="G96" s="12">
        <v>15</v>
      </c>
      <c r="H96" s="16" t="s">
        <v>101</v>
      </c>
      <c r="I96" s="17" t="s">
        <v>460</v>
      </c>
      <c r="J96" s="15" t="s">
        <v>461</v>
      </c>
      <c r="K96" s="18" t="s">
        <v>27</v>
      </c>
      <c r="L96" s="15" t="s">
        <v>462</v>
      </c>
      <c r="M96" s="15" t="s">
        <v>90</v>
      </c>
      <c r="N96" s="15" t="s">
        <v>123</v>
      </c>
      <c r="O96" s="15" t="s">
        <v>91</v>
      </c>
      <c r="P96" s="15" t="s">
        <v>463</v>
      </c>
    </row>
    <row r="97" spans="1:16" ht="48" customHeight="1" x14ac:dyDescent="0.3">
      <c r="A97" s="12">
        <v>6</v>
      </c>
      <c r="B97" s="12">
        <v>11</v>
      </c>
      <c r="C97" s="12" t="s">
        <v>447</v>
      </c>
      <c r="D97" s="12" t="s">
        <v>83</v>
      </c>
      <c r="E97" s="12" t="s">
        <v>119</v>
      </c>
      <c r="F97" s="12" t="s">
        <v>311</v>
      </c>
      <c r="G97" s="12">
        <v>5</v>
      </c>
      <c r="H97" s="16" t="s">
        <v>101</v>
      </c>
      <c r="I97" s="17" t="s">
        <v>132</v>
      </c>
      <c r="J97" s="15" t="s">
        <v>464</v>
      </c>
      <c r="K97" s="12" t="s">
        <v>88</v>
      </c>
      <c r="L97" s="15" t="s">
        <v>88</v>
      </c>
      <c r="M97" s="15" t="s">
        <v>88</v>
      </c>
      <c r="N97" s="15" t="s">
        <v>88</v>
      </c>
      <c r="O97" s="15" t="s">
        <v>88</v>
      </c>
      <c r="P97" s="15" t="s">
        <v>88</v>
      </c>
    </row>
    <row r="98" spans="1:16" ht="48" customHeight="1" x14ac:dyDescent="0.3">
      <c r="A98" s="19">
        <v>6</v>
      </c>
      <c r="B98" s="19">
        <v>11</v>
      </c>
      <c r="C98" s="19" t="s">
        <v>447</v>
      </c>
      <c r="D98" s="19" t="s">
        <v>83</v>
      </c>
      <c r="E98" s="19" t="s">
        <v>311</v>
      </c>
      <c r="F98" s="19" t="s">
        <v>317</v>
      </c>
      <c r="G98" s="19">
        <v>30</v>
      </c>
      <c r="H98" s="20" t="s">
        <v>101</v>
      </c>
      <c r="I98" s="21" t="s">
        <v>465</v>
      </c>
      <c r="J98" s="20" t="s">
        <v>466</v>
      </c>
      <c r="K98" s="22" t="s">
        <v>467</v>
      </c>
      <c r="L98" s="20" t="s">
        <v>468</v>
      </c>
      <c r="M98" s="20" t="s">
        <v>138</v>
      </c>
      <c r="N98" s="20" t="s">
        <v>97</v>
      </c>
      <c r="O98" s="20" t="s">
        <v>469</v>
      </c>
      <c r="P98" s="20" t="s">
        <v>470</v>
      </c>
    </row>
    <row r="99" spans="1:16" ht="48" customHeight="1" x14ac:dyDescent="0.3">
      <c r="A99" s="12">
        <v>6</v>
      </c>
      <c r="B99" s="12">
        <v>11</v>
      </c>
      <c r="C99" s="12" t="s">
        <v>447</v>
      </c>
      <c r="D99" s="12" t="s">
        <v>83</v>
      </c>
      <c r="E99" s="12" t="s">
        <v>317</v>
      </c>
      <c r="F99" s="12" t="s">
        <v>141</v>
      </c>
      <c r="G99" s="12">
        <v>20</v>
      </c>
      <c r="H99" s="23" t="s">
        <v>142</v>
      </c>
      <c r="I99" s="24" t="s">
        <v>471</v>
      </c>
      <c r="J99" s="15" t="s">
        <v>472</v>
      </c>
      <c r="K99" s="18" t="s">
        <v>27</v>
      </c>
      <c r="L99" s="15" t="s">
        <v>473</v>
      </c>
      <c r="M99" s="15" t="s">
        <v>138</v>
      </c>
      <c r="N99" s="15" t="s">
        <v>97</v>
      </c>
      <c r="O99" s="15" t="s">
        <v>241</v>
      </c>
      <c r="P99" s="15" t="s">
        <v>474</v>
      </c>
    </row>
    <row r="100" spans="1:16" ht="48" customHeight="1" x14ac:dyDescent="0.3">
      <c r="A100" s="12">
        <v>6</v>
      </c>
      <c r="B100" s="12">
        <v>11</v>
      </c>
      <c r="C100" s="12" t="s">
        <v>447</v>
      </c>
      <c r="D100" s="12" t="s">
        <v>83</v>
      </c>
      <c r="E100" s="12" t="s">
        <v>141</v>
      </c>
      <c r="F100" s="12" t="s">
        <v>148</v>
      </c>
      <c r="G100" s="12">
        <v>10</v>
      </c>
      <c r="H100" s="23" t="s">
        <v>142</v>
      </c>
      <c r="I100" s="24" t="s">
        <v>475</v>
      </c>
      <c r="J100" s="15" t="s">
        <v>476</v>
      </c>
      <c r="K100" s="18" t="s">
        <v>27</v>
      </c>
      <c r="L100" s="15" t="s">
        <v>333</v>
      </c>
      <c r="M100" s="15" t="s">
        <v>90</v>
      </c>
      <c r="N100" s="15" t="s">
        <v>8</v>
      </c>
      <c r="O100" s="15" t="s">
        <v>91</v>
      </c>
      <c r="P100" s="15" t="s">
        <v>246</v>
      </c>
    </row>
    <row r="101" spans="1:16" ht="24" customHeight="1" x14ac:dyDescent="0.3">
      <c r="A101" s="25" t="s">
        <v>153</v>
      </c>
      <c r="B101" s="25"/>
      <c r="C101" s="25"/>
      <c r="D101" s="25"/>
      <c r="E101" s="25"/>
      <c r="F101" s="25"/>
      <c r="G101" s="25">
        <f>SUM(G92:G100)</f>
        <v>135</v>
      </c>
      <c r="H101" s="25"/>
      <c r="I101" s="26" t="s">
        <v>477</v>
      </c>
      <c r="J101" s="26" t="s">
        <v>478</v>
      </c>
      <c r="K101" s="25"/>
      <c r="L101" s="25"/>
      <c r="M101" s="25"/>
      <c r="N101" s="25"/>
      <c r="O101" s="25"/>
      <c r="P101" s="25"/>
    </row>
    <row r="102" spans="1:16" ht="30" customHeight="1" x14ac:dyDescent="0.3">
      <c r="A102" s="3" t="s">
        <v>479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48" customHeight="1" x14ac:dyDescent="0.3">
      <c r="A103" s="12">
        <v>6</v>
      </c>
      <c r="B103" s="12">
        <v>12</v>
      </c>
      <c r="C103" s="12" t="s">
        <v>480</v>
      </c>
      <c r="D103" s="12" t="s">
        <v>158</v>
      </c>
      <c r="E103" s="12" t="s">
        <v>159</v>
      </c>
      <c r="F103" s="12" t="s">
        <v>160</v>
      </c>
      <c r="G103" s="12">
        <v>5</v>
      </c>
      <c r="H103" s="13" t="s">
        <v>86</v>
      </c>
      <c r="I103" s="14" t="s">
        <v>481</v>
      </c>
      <c r="J103" s="15" t="s">
        <v>482</v>
      </c>
      <c r="K103" s="18" t="s">
        <v>27</v>
      </c>
      <c r="L103" s="15" t="s">
        <v>483</v>
      </c>
      <c r="M103" s="15" t="s">
        <v>90</v>
      </c>
      <c r="N103" s="15" t="s">
        <v>8</v>
      </c>
      <c r="O103" s="15" t="s">
        <v>91</v>
      </c>
      <c r="P103" s="15" t="s">
        <v>484</v>
      </c>
    </row>
    <row r="104" spans="1:16" ht="48" customHeight="1" x14ac:dyDescent="0.3">
      <c r="A104" s="12">
        <v>6</v>
      </c>
      <c r="B104" s="12">
        <v>12</v>
      </c>
      <c r="C104" s="12" t="s">
        <v>480</v>
      </c>
      <c r="D104" s="12" t="s">
        <v>158</v>
      </c>
      <c r="E104" s="12" t="s">
        <v>160</v>
      </c>
      <c r="F104" s="12" t="s">
        <v>119</v>
      </c>
      <c r="G104" s="12">
        <v>20</v>
      </c>
      <c r="H104" s="16" t="s">
        <v>101</v>
      </c>
      <c r="I104" s="17" t="s">
        <v>485</v>
      </c>
      <c r="J104" s="15" t="s">
        <v>486</v>
      </c>
      <c r="K104" s="18" t="s">
        <v>27</v>
      </c>
      <c r="L104" s="15" t="s">
        <v>487</v>
      </c>
      <c r="M104" s="15" t="s">
        <v>138</v>
      </c>
      <c r="N104" s="15" t="s">
        <v>97</v>
      </c>
      <c r="O104" s="15" t="s">
        <v>488</v>
      </c>
      <c r="P104" s="15" t="s">
        <v>489</v>
      </c>
    </row>
    <row r="105" spans="1:16" ht="48" customHeight="1" x14ac:dyDescent="0.3">
      <c r="A105" s="12">
        <v>6</v>
      </c>
      <c r="B105" s="12">
        <v>12</v>
      </c>
      <c r="C105" s="12" t="s">
        <v>480</v>
      </c>
      <c r="D105" s="12" t="s">
        <v>158</v>
      </c>
      <c r="E105" s="12" t="s">
        <v>119</v>
      </c>
      <c r="F105" s="12" t="s">
        <v>126</v>
      </c>
      <c r="G105" s="12">
        <v>15</v>
      </c>
      <c r="H105" s="16" t="s">
        <v>101</v>
      </c>
      <c r="I105" s="17" t="s">
        <v>490</v>
      </c>
      <c r="J105" s="15" t="s">
        <v>491</v>
      </c>
      <c r="K105" s="18" t="s">
        <v>467</v>
      </c>
      <c r="L105" s="15" t="s">
        <v>492</v>
      </c>
      <c r="M105" s="15" t="s">
        <v>138</v>
      </c>
      <c r="N105" s="15" t="s">
        <v>97</v>
      </c>
      <c r="O105" s="15" t="s">
        <v>490</v>
      </c>
      <c r="P105" s="15" t="s">
        <v>493</v>
      </c>
    </row>
    <row r="106" spans="1:16" ht="48" customHeight="1" x14ac:dyDescent="0.3">
      <c r="A106" s="12">
        <v>6</v>
      </c>
      <c r="B106" s="12">
        <v>12</v>
      </c>
      <c r="C106" s="12" t="s">
        <v>480</v>
      </c>
      <c r="D106" s="12" t="s">
        <v>158</v>
      </c>
      <c r="E106" s="12" t="s">
        <v>126</v>
      </c>
      <c r="F106" s="12" t="s">
        <v>181</v>
      </c>
      <c r="G106" s="12">
        <v>15</v>
      </c>
      <c r="H106" s="16" t="s">
        <v>101</v>
      </c>
      <c r="I106" s="17" t="s">
        <v>494</v>
      </c>
      <c r="J106" s="15" t="s">
        <v>495</v>
      </c>
      <c r="K106" s="18" t="s">
        <v>467</v>
      </c>
      <c r="L106" s="15" t="s">
        <v>496</v>
      </c>
      <c r="M106" s="15" t="s">
        <v>138</v>
      </c>
      <c r="N106" s="15" t="s">
        <v>123</v>
      </c>
      <c r="O106" s="15" t="s">
        <v>497</v>
      </c>
      <c r="P106" s="15" t="s">
        <v>498</v>
      </c>
    </row>
    <row r="107" spans="1:16" ht="48" customHeight="1" x14ac:dyDescent="0.3">
      <c r="A107" s="12">
        <v>6</v>
      </c>
      <c r="B107" s="12">
        <v>12</v>
      </c>
      <c r="C107" s="12" t="s">
        <v>480</v>
      </c>
      <c r="D107" s="12" t="s">
        <v>158</v>
      </c>
      <c r="E107" s="12" t="s">
        <v>181</v>
      </c>
      <c r="F107" s="12" t="s">
        <v>317</v>
      </c>
      <c r="G107" s="12">
        <v>5</v>
      </c>
      <c r="H107" s="16" t="s">
        <v>101</v>
      </c>
      <c r="I107" s="17" t="s">
        <v>132</v>
      </c>
      <c r="J107" s="15" t="s">
        <v>499</v>
      </c>
      <c r="K107" s="12" t="s">
        <v>88</v>
      </c>
      <c r="L107" s="15" t="s">
        <v>88</v>
      </c>
      <c r="M107" s="15" t="s">
        <v>88</v>
      </c>
      <c r="N107" s="15" t="s">
        <v>88</v>
      </c>
      <c r="O107" s="15" t="s">
        <v>88</v>
      </c>
      <c r="P107" s="15" t="s">
        <v>88</v>
      </c>
    </row>
    <row r="108" spans="1:16" ht="48" customHeight="1" x14ac:dyDescent="0.3">
      <c r="A108" s="19">
        <v>6</v>
      </c>
      <c r="B108" s="19">
        <v>12</v>
      </c>
      <c r="C108" s="19" t="s">
        <v>480</v>
      </c>
      <c r="D108" s="19" t="s">
        <v>158</v>
      </c>
      <c r="E108" s="19" t="s">
        <v>317</v>
      </c>
      <c r="F108" s="19" t="s">
        <v>141</v>
      </c>
      <c r="G108" s="19">
        <v>20</v>
      </c>
      <c r="H108" s="20" t="s">
        <v>142</v>
      </c>
      <c r="I108" s="21" t="s">
        <v>500</v>
      </c>
      <c r="J108" s="20" t="s">
        <v>501</v>
      </c>
      <c r="K108" s="22" t="s">
        <v>502</v>
      </c>
      <c r="L108" s="20" t="s">
        <v>503</v>
      </c>
      <c r="M108" s="20" t="s">
        <v>138</v>
      </c>
      <c r="N108" s="20" t="s">
        <v>97</v>
      </c>
      <c r="O108" s="20" t="s">
        <v>504</v>
      </c>
      <c r="P108" s="20" t="s">
        <v>505</v>
      </c>
    </row>
    <row r="109" spans="1:16" ht="48" customHeight="1" x14ac:dyDescent="0.3">
      <c r="A109" s="12">
        <v>6</v>
      </c>
      <c r="B109" s="12">
        <v>12</v>
      </c>
      <c r="C109" s="12" t="s">
        <v>480</v>
      </c>
      <c r="D109" s="12" t="s">
        <v>158</v>
      </c>
      <c r="E109" s="12" t="s">
        <v>141</v>
      </c>
      <c r="F109" s="12" t="s">
        <v>148</v>
      </c>
      <c r="G109" s="12">
        <v>10</v>
      </c>
      <c r="H109" s="23" t="s">
        <v>142</v>
      </c>
      <c r="I109" s="24" t="s">
        <v>506</v>
      </c>
      <c r="J109" s="15" t="s">
        <v>507</v>
      </c>
      <c r="K109" s="18" t="s">
        <v>31</v>
      </c>
      <c r="L109" s="15" t="s">
        <v>411</v>
      </c>
      <c r="M109" s="15" t="s">
        <v>90</v>
      </c>
      <c r="N109" s="15" t="s">
        <v>8</v>
      </c>
      <c r="O109" s="15" t="s">
        <v>191</v>
      </c>
      <c r="P109" s="15" t="s">
        <v>508</v>
      </c>
    </row>
    <row r="110" spans="1:16" ht="24" customHeight="1" x14ac:dyDescent="0.3">
      <c r="A110" s="25" t="s">
        <v>153</v>
      </c>
      <c r="B110" s="25"/>
      <c r="C110" s="25"/>
      <c r="D110" s="25"/>
      <c r="E110" s="25"/>
      <c r="F110" s="25"/>
      <c r="G110" s="25">
        <f>SUM(G103:G109)</f>
        <v>90</v>
      </c>
      <c r="H110" s="25"/>
      <c r="I110" s="26" t="s">
        <v>509</v>
      </c>
      <c r="J110" s="26" t="s">
        <v>510</v>
      </c>
      <c r="K110" s="25"/>
      <c r="L110" s="25"/>
      <c r="M110" s="25"/>
      <c r="N110" s="25"/>
      <c r="O110" s="25"/>
      <c r="P110" s="25"/>
    </row>
    <row r="111" spans="1:16" ht="30" customHeight="1" x14ac:dyDescent="0.3">
      <c r="A111" s="3" t="s">
        <v>511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48" customHeight="1" x14ac:dyDescent="0.3">
      <c r="A112" s="12">
        <v>7</v>
      </c>
      <c r="B112" s="12">
        <v>13</v>
      </c>
      <c r="C112" s="12" t="s">
        <v>512</v>
      </c>
      <c r="D112" s="12" t="s">
        <v>83</v>
      </c>
      <c r="E112" s="12" t="s">
        <v>84</v>
      </c>
      <c r="F112" s="12" t="s">
        <v>85</v>
      </c>
      <c r="G112" s="12">
        <v>5</v>
      </c>
      <c r="H112" s="13" t="s">
        <v>86</v>
      </c>
      <c r="I112" s="14" t="s">
        <v>513</v>
      </c>
      <c r="J112" s="15" t="s">
        <v>514</v>
      </c>
      <c r="K112" s="18" t="s">
        <v>31</v>
      </c>
      <c r="L112" s="15" t="s">
        <v>89</v>
      </c>
      <c r="M112" s="15" t="s">
        <v>90</v>
      </c>
      <c r="N112" s="15" t="s">
        <v>8</v>
      </c>
      <c r="O112" s="15" t="s">
        <v>91</v>
      </c>
      <c r="P112" s="15" t="s">
        <v>88</v>
      </c>
    </row>
    <row r="113" spans="1:16" ht="48" customHeight="1" x14ac:dyDescent="0.3">
      <c r="A113" s="12">
        <v>7</v>
      </c>
      <c r="B113" s="12">
        <v>13</v>
      </c>
      <c r="C113" s="12" t="s">
        <v>512</v>
      </c>
      <c r="D113" s="12" t="s">
        <v>83</v>
      </c>
      <c r="E113" s="12" t="s">
        <v>85</v>
      </c>
      <c r="F113" s="12" t="s">
        <v>92</v>
      </c>
      <c r="G113" s="12">
        <v>15</v>
      </c>
      <c r="H113" s="13" t="s">
        <v>86</v>
      </c>
      <c r="I113" s="14" t="s">
        <v>515</v>
      </c>
      <c r="J113" s="15" t="s">
        <v>516</v>
      </c>
      <c r="K113" s="18" t="s">
        <v>31</v>
      </c>
      <c r="L113" s="15" t="s">
        <v>517</v>
      </c>
      <c r="M113" s="15" t="s">
        <v>96</v>
      </c>
      <c r="N113" s="15" t="s">
        <v>97</v>
      </c>
      <c r="O113" s="15" t="s">
        <v>518</v>
      </c>
      <c r="P113" s="15" t="s">
        <v>519</v>
      </c>
    </row>
    <row r="114" spans="1:16" ht="48" customHeight="1" x14ac:dyDescent="0.3">
      <c r="A114" s="12">
        <v>7</v>
      </c>
      <c r="B114" s="12">
        <v>13</v>
      </c>
      <c r="C114" s="12" t="s">
        <v>512</v>
      </c>
      <c r="D114" s="12" t="s">
        <v>83</v>
      </c>
      <c r="E114" s="12" t="s">
        <v>92</v>
      </c>
      <c r="F114" s="12" t="s">
        <v>386</v>
      </c>
      <c r="G114" s="12">
        <v>15</v>
      </c>
      <c r="H114" s="16" t="s">
        <v>101</v>
      </c>
      <c r="I114" s="17" t="s">
        <v>520</v>
      </c>
      <c r="J114" s="15" t="s">
        <v>521</v>
      </c>
      <c r="K114" s="18" t="s">
        <v>31</v>
      </c>
      <c r="L114" s="15" t="s">
        <v>522</v>
      </c>
      <c r="M114" s="15" t="s">
        <v>90</v>
      </c>
      <c r="N114" s="15" t="s">
        <v>8</v>
      </c>
      <c r="O114" s="15" t="s">
        <v>91</v>
      </c>
      <c r="P114" s="15" t="s">
        <v>523</v>
      </c>
    </row>
    <row r="115" spans="1:16" ht="48" customHeight="1" x14ac:dyDescent="0.3">
      <c r="A115" s="12">
        <v>7</v>
      </c>
      <c r="B115" s="12">
        <v>13</v>
      </c>
      <c r="C115" s="12" t="s">
        <v>512</v>
      </c>
      <c r="D115" s="12" t="s">
        <v>83</v>
      </c>
      <c r="E115" s="12" t="s">
        <v>386</v>
      </c>
      <c r="F115" s="12" t="s">
        <v>160</v>
      </c>
      <c r="G115" s="12">
        <v>15</v>
      </c>
      <c r="H115" s="16" t="s">
        <v>101</v>
      </c>
      <c r="I115" s="17" t="s">
        <v>524</v>
      </c>
      <c r="J115" s="15" t="s">
        <v>525</v>
      </c>
      <c r="K115" s="18" t="s">
        <v>31</v>
      </c>
      <c r="L115" s="15" t="s">
        <v>526</v>
      </c>
      <c r="M115" s="15" t="s">
        <v>90</v>
      </c>
      <c r="N115" s="15" t="s">
        <v>123</v>
      </c>
      <c r="O115" s="15" t="s">
        <v>91</v>
      </c>
      <c r="P115" s="15" t="s">
        <v>527</v>
      </c>
    </row>
    <row r="116" spans="1:16" ht="48" customHeight="1" x14ac:dyDescent="0.3">
      <c r="A116" s="12">
        <v>7</v>
      </c>
      <c r="B116" s="12">
        <v>13</v>
      </c>
      <c r="C116" s="12" t="s">
        <v>512</v>
      </c>
      <c r="D116" s="12" t="s">
        <v>83</v>
      </c>
      <c r="E116" s="12" t="s">
        <v>160</v>
      </c>
      <c r="F116" s="12" t="s">
        <v>311</v>
      </c>
      <c r="G116" s="12">
        <v>25</v>
      </c>
      <c r="H116" s="16" t="s">
        <v>101</v>
      </c>
      <c r="I116" s="17" t="s">
        <v>528</v>
      </c>
      <c r="J116" s="15" t="s">
        <v>529</v>
      </c>
      <c r="K116" s="18" t="s">
        <v>31</v>
      </c>
      <c r="L116" s="15" t="s">
        <v>530</v>
      </c>
      <c r="M116" s="15" t="s">
        <v>96</v>
      </c>
      <c r="N116" s="15" t="s">
        <v>97</v>
      </c>
      <c r="O116" s="15" t="s">
        <v>531</v>
      </c>
      <c r="P116" s="15" t="s">
        <v>532</v>
      </c>
    </row>
    <row r="117" spans="1:16" ht="48" customHeight="1" x14ac:dyDescent="0.3">
      <c r="A117" s="12">
        <v>7</v>
      </c>
      <c r="B117" s="12">
        <v>13</v>
      </c>
      <c r="C117" s="12" t="s">
        <v>512</v>
      </c>
      <c r="D117" s="12" t="s">
        <v>83</v>
      </c>
      <c r="E117" s="12" t="s">
        <v>311</v>
      </c>
      <c r="F117" s="12" t="s">
        <v>170</v>
      </c>
      <c r="G117" s="12">
        <v>5</v>
      </c>
      <c r="H117" s="16" t="s">
        <v>101</v>
      </c>
      <c r="I117" s="17" t="s">
        <v>132</v>
      </c>
      <c r="J117" s="15" t="s">
        <v>533</v>
      </c>
      <c r="K117" s="12" t="s">
        <v>88</v>
      </c>
      <c r="L117" s="15" t="s">
        <v>88</v>
      </c>
      <c r="M117" s="15" t="s">
        <v>88</v>
      </c>
      <c r="N117" s="15" t="s">
        <v>88</v>
      </c>
      <c r="O117" s="15" t="s">
        <v>88</v>
      </c>
      <c r="P117" s="15" t="s">
        <v>88</v>
      </c>
    </row>
    <row r="118" spans="1:16" ht="48" customHeight="1" x14ac:dyDescent="0.3">
      <c r="A118" s="19">
        <v>7</v>
      </c>
      <c r="B118" s="19">
        <v>13</v>
      </c>
      <c r="C118" s="19" t="s">
        <v>512</v>
      </c>
      <c r="D118" s="19" t="s">
        <v>83</v>
      </c>
      <c r="E118" s="19" t="s">
        <v>170</v>
      </c>
      <c r="F118" s="19" t="s">
        <v>270</v>
      </c>
      <c r="G118" s="19">
        <v>30</v>
      </c>
      <c r="H118" s="20" t="s">
        <v>101</v>
      </c>
      <c r="I118" s="21" t="s">
        <v>534</v>
      </c>
      <c r="J118" s="20" t="s">
        <v>535</v>
      </c>
      <c r="K118" s="22" t="s">
        <v>31</v>
      </c>
      <c r="L118" s="20" t="s">
        <v>536</v>
      </c>
      <c r="M118" s="20" t="s">
        <v>138</v>
      </c>
      <c r="N118" s="20" t="s">
        <v>97</v>
      </c>
      <c r="O118" s="20" t="s">
        <v>350</v>
      </c>
      <c r="P118" s="20" t="s">
        <v>537</v>
      </c>
    </row>
    <row r="119" spans="1:16" ht="48" customHeight="1" x14ac:dyDescent="0.3">
      <c r="A119" s="12">
        <v>7</v>
      </c>
      <c r="B119" s="12">
        <v>13</v>
      </c>
      <c r="C119" s="12" t="s">
        <v>512</v>
      </c>
      <c r="D119" s="12" t="s">
        <v>83</v>
      </c>
      <c r="E119" s="12" t="s">
        <v>270</v>
      </c>
      <c r="F119" s="12" t="s">
        <v>141</v>
      </c>
      <c r="G119" s="12">
        <v>15</v>
      </c>
      <c r="H119" s="23" t="s">
        <v>142</v>
      </c>
      <c r="I119" s="24" t="s">
        <v>538</v>
      </c>
      <c r="J119" s="15" t="s">
        <v>539</v>
      </c>
      <c r="K119" s="18" t="s">
        <v>31</v>
      </c>
      <c r="L119" s="15" t="s">
        <v>540</v>
      </c>
      <c r="M119" s="15" t="s">
        <v>138</v>
      </c>
      <c r="N119" s="15" t="s">
        <v>97</v>
      </c>
      <c r="O119" s="15" t="s">
        <v>350</v>
      </c>
      <c r="P119" s="15" t="s">
        <v>541</v>
      </c>
    </row>
    <row r="120" spans="1:16" ht="48" customHeight="1" x14ac:dyDescent="0.3">
      <c r="A120" s="12">
        <v>7</v>
      </c>
      <c r="B120" s="12">
        <v>13</v>
      </c>
      <c r="C120" s="12" t="s">
        <v>512</v>
      </c>
      <c r="D120" s="12" t="s">
        <v>83</v>
      </c>
      <c r="E120" s="12" t="s">
        <v>141</v>
      </c>
      <c r="F120" s="12" t="s">
        <v>148</v>
      </c>
      <c r="G120" s="12">
        <v>10</v>
      </c>
      <c r="H120" s="23" t="s">
        <v>142</v>
      </c>
      <c r="I120" s="24" t="s">
        <v>283</v>
      </c>
      <c r="J120" s="15" t="s">
        <v>542</v>
      </c>
      <c r="K120" s="18" t="s">
        <v>31</v>
      </c>
      <c r="L120" s="15" t="s">
        <v>411</v>
      </c>
      <c r="M120" s="15" t="s">
        <v>90</v>
      </c>
      <c r="N120" s="15" t="s">
        <v>8</v>
      </c>
      <c r="O120" s="15" t="s">
        <v>191</v>
      </c>
      <c r="P120" s="15" t="s">
        <v>246</v>
      </c>
    </row>
    <row r="121" spans="1:16" ht="24" customHeight="1" x14ac:dyDescent="0.3">
      <c r="A121" s="25" t="s">
        <v>153</v>
      </c>
      <c r="B121" s="25"/>
      <c r="C121" s="25"/>
      <c r="D121" s="25"/>
      <c r="E121" s="25"/>
      <c r="F121" s="25"/>
      <c r="G121" s="25">
        <f>SUM(G112:G120)</f>
        <v>135</v>
      </c>
      <c r="H121" s="25"/>
      <c r="I121" s="26" t="s">
        <v>543</v>
      </c>
      <c r="J121" s="26" t="s">
        <v>544</v>
      </c>
      <c r="K121" s="25"/>
      <c r="L121" s="25"/>
      <c r="M121" s="25"/>
      <c r="N121" s="25"/>
      <c r="O121" s="25"/>
      <c r="P121" s="25"/>
    </row>
    <row r="122" spans="1:16" ht="30" customHeight="1" x14ac:dyDescent="0.3">
      <c r="A122" s="3" t="s">
        <v>545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48" customHeight="1" x14ac:dyDescent="0.3">
      <c r="A123" s="12">
        <v>7</v>
      </c>
      <c r="B123" s="12">
        <v>14</v>
      </c>
      <c r="C123" s="12" t="s">
        <v>546</v>
      </c>
      <c r="D123" s="12" t="s">
        <v>158</v>
      </c>
      <c r="E123" s="12" t="s">
        <v>159</v>
      </c>
      <c r="F123" s="12" t="s">
        <v>160</v>
      </c>
      <c r="G123" s="12">
        <v>5</v>
      </c>
      <c r="H123" s="13" t="s">
        <v>86</v>
      </c>
      <c r="I123" s="14" t="s">
        <v>547</v>
      </c>
      <c r="J123" s="15" t="s">
        <v>548</v>
      </c>
      <c r="K123" s="18" t="s">
        <v>31</v>
      </c>
      <c r="L123" s="15" t="s">
        <v>549</v>
      </c>
      <c r="M123" s="15" t="s">
        <v>90</v>
      </c>
      <c r="N123" s="15" t="s">
        <v>123</v>
      </c>
      <c r="O123" s="15" t="s">
        <v>124</v>
      </c>
      <c r="P123" s="15" t="s">
        <v>164</v>
      </c>
    </row>
    <row r="124" spans="1:16" ht="48" customHeight="1" x14ac:dyDescent="0.3">
      <c r="A124" s="12">
        <v>7</v>
      </c>
      <c r="B124" s="12">
        <v>14</v>
      </c>
      <c r="C124" s="12" t="s">
        <v>546</v>
      </c>
      <c r="D124" s="12" t="s">
        <v>158</v>
      </c>
      <c r="E124" s="12" t="s">
        <v>160</v>
      </c>
      <c r="F124" s="12" t="s">
        <v>165</v>
      </c>
      <c r="G124" s="12">
        <v>15</v>
      </c>
      <c r="H124" s="16" t="s">
        <v>101</v>
      </c>
      <c r="I124" s="17" t="s">
        <v>550</v>
      </c>
      <c r="J124" s="15" t="s">
        <v>551</v>
      </c>
      <c r="K124" s="18" t="s">
        <v>31</v>
      </c>
      <c r="L124" s="15" t="s">
        <v>552</v>
      </c>
      <c r="M124" s="15" t="s">
        <v>90</v>
      </c>
      <c r="N124" s="15" t="s">
        <v>8</v>
      </c>
      <c r="O124" s="15" t="s">
        <v>91</v>
      </c>
      <c r="P124" s="15" t="s">
        <v>553</v>
      </c>
    </row>
    <row r="125" spans="1:16" ht="48" customHeight="1" x14ac:dyDescent="0.3">
      <c r="A125" s="12">
        <v>7</v>
      </c>
      <c r="B125" s="12">
        <v>14</v>
      </c>
      <c r="C125" s="12" t="s">
        <v>546</v>
      </c>
      <c r="D125" s="12" t="s">
        <v>158</v>
      </c>
      <c r="E125" s="12" t="s">
        <v>165</v>
      </c>
      <c r="F125" s="12" t="s">
        <v>311</v>
      </c>
      <c r="G125" s="12">
        <v>10</v>
      </c>
      <c r="H125" s="16" t="s">
        <v>101</v>
      </c>
      <c r="I125" s="17" t="s">
        <v>554</v>
      </c>
      <c r="J125" s="15" t="s">
        <v>555</v>
      </c>
      <c r="K125" s="18" t="s">
        <v>31</v>
      </c>
      <c r="L125" s="15" t="s">
        <v>556</v>
      </c>
      <c r="M125" s="15" t="s">
        <v>116</v>
      </c>
      <c r="N125" s="15" t="s">
        <v>97</v>
      </c>
      <c r="O125" s="15" t="s">
        <v>117</v>
      </c>
      <c r="P125" s="15" t="s">
        <v>557</v>
      </c>
    </row>
    <row r="126" spans="1:16" ht="48" customHeight="1" x14ac:dyDescent="0.3">
      <c r="A126" s="12">
        <v>7</v>
      </c>
      <c r="B126" s="12">
        <v>14</v>
      </c>
      <c r="C126" s="12" t="s">
        <v>546</v>
      </c>
      <c r="D126" s="12" t="s">
        <v>158</v>
      </c>
      <c r="E126" s="12" t="s">
        <v>311</v>
      </c>
      <c r="F126" s="12" t="s">
        <v>126</v>
      </c>
      <c r="G126" s="12">
        <v>10</v>
      </c>
      <c r="H126" s="16" t="s">
        <v>101</v>
      </c>
      <c r="I126" s="17" t="s">
        <v>558</v>
      </c>
      <c r="J126" s="15" t="s">
        <v>559</v>
      </c>
      <c r="K126" s="18" t="s">
        <v>31</v>
      </c>
      <c r="L126" s="15" t="s">
        <v>432</v>
      </c>
      <c r="M126" s="15" t="s">
        <v>96</v>
      </c>
      <c r="N126" s="15" t="s">
        <v>97</v>
      </c>
      <c r="O126" s="15" t="s">
        <v>350</v>
      </c>
      <c r="P126" s="15" t="s">
        <v>560</v>
      </c>
    </row>
    <row r="127" spans="1:16" ht="48" customHeight="1" x14ac:dyDescent="0.3">
      <c r="A127" s="12">
        <v>7</v>
      </c>
      <c r="B127" s="12">
        <v>14</v>
      </c>
      <c r="C127" s="12" t="s">
        <v>546</v>
      </c>
      <c r="D127" s="12" t="s">
        <v>158</v>
      </c>
      <c r="E127" s="12" t="s">
        <v>126</v>
      </c>
      <c r="F127" s="12" t="s">
        <v>131</v>
      </c>
      <c r="G127" s="12">
        <v>5</v>
      </c>
      <c r="H127" s="16" t="s">
        <v>101</v>
      </c>
      <c r="I127" s="17" t="s">
        <v>132</v>
      </c>
      <c r="J127" s="15" t="s">
        <v>561</v>
      </c>
      <c r="K127" s="12" t="s">
        <v>88</v>
      </c>
      <c r="L127" s="15" t="s">
        <v>88</v>
      </c>
      <c r="M127" s="15" t="s">
        <v>88</v>
      </c>
      <c r="N127" s="15" t="s">
        <v>88</v>
      </c>
      <c r="O127" s="15" t="s">
        <v>88</v>
      </c>
      <c r="P127" s="15" t="s">
        <v>88</v>
      </c>
    </row>
    <row r="128" spans="1:16" ht="48" customHeight="1" x14ac:dyDescent="0.3">
      <c r="A128" s="27">
        <v>7</v>
      </c>
      <c r="B128" s="27">
        <v>14</v>
      </c>
      <c r="C128" s="27" t="s">
        <v>546</v>
      </c>
      <c r="D128" s="27" t="s">
        <v>158</v>
      </c>
      <c r="E128" s="27" t="s">
        <v>131</v>
      </c>
      <c r="F128" s="27" t="s">
        <v>181</v>
      </c>
      <c r="G128" s="27">
        <v>10</v>
      </c>
      <c r="H128" s="28" t="s">
        <v>222</v>
      </c>
      <c r="I128" s="29" t="s">
        <v>562</v>
      </c>
      <c r="J128" s="28" t="s">
        <v>563</v>
      </c>
      <c r="K128" s="30" t="s">
        <v>41</v>
      </c>
      <c r="L128" s="28" t="s">
        <v>564</v>
      </c>
      <c r="M128" s="28" t="s">
        <v>90</v>
      </c>
      <c r="N128" s="28" t="s">
        <v>8</v>
      </c>
      <c r="O128" s="28" t="s">
        <v>345</v>
      </c>
      <c r="P128" s="28" t="s">
        <v>565</v>
      </c>
    </row>
    <row r="129" spans="1:16" ht="48" customHeight="1" x14ac:dyDescent="0.3">
      <c r="A129" s="19">
        <v>7</v>
      </c>
      <c r="B129" s="19">
        <v>14</v>
      </c>
      <c r="C129" s="19" t="s">
        <v>546</v>
      </c>
      <c r="D129" s="19" t="s">
        <v>158</v>
      </c>
      <c r="E129" s="19" t="s">
        <v>181</v>
      </c>
      <c r="F129" s="19" t="s">
        <v>141</v>
      </c>
      <c r="G129" s="19">
        <v>25</v>
      </c>
      <c r="H129" s="20" t="s">
        <v>101</v>
      </c>
      <c r="I129" s="21" t="s">
        <v>566</v>
      </c>
      <c r="J129" s="20" t="s">
        <v>567</v>
      </c>
      <c r="K129" s="22" t="s">
        <v>568</v>
      </c>
      <c r="L129" s="20" t="s">
        <v>569</v>
      </c>
      <c r="M129" s="20" t="s">
        <v>138</v>
      </c>
      <c r="N129" s="20" t="s">
        <v>97</v>
      </c>
      <c r="O129" s="20" t="s">
        <v>570</v>
      </c>
      <c r="P129" s="20" t="s">
        <v>571</v>
      </c>
    </row>
    <row r="130" spans="1:16" ht="48" customHeight="1" x14ac:dyDescent="0.3">
      <c r="A130" s="12">
        <v>7</v>
      </c>
      <c r="B130" s="12">
        <v>14</v>
      </c>
      <c r="C130" s="12" t="s">
        <v>546</v>
      </c>
      <c r="D130" s="12" t="s">
        <v>158</v>
      </c>
      <c r="E130" s="12" t="s">
        <v>141</v>
      </c>
      <c r="F130" s="12" t="s">
        <v>277</v>
      </c>
      <c r="G130" s="12">
        <v>5</v>
      </c>
      <c r="H130" s="23" t="s">
        <v>142</v>
      </c>
      <c r="I130" s="24" t="s">
        <v>572</v>
      </c>
      <c r="J130" s="15" t="s">
        <v>573</v>
      </c>
      <c r="K130" s="18" t="s">
        <v>31</v>
      </c>
      <c r="L130" s="15" t="s">
        <v>574</v>
      </c>
      <c r="M130" s="15" t="s">
        <v>138</v>
      </c>
      <c r="N130" s="15" t="s">
        <v>97</v>
      </c>
      <c r="O130" s="15" t="s">
        <v>575</v>
      </c>
      <c r="P130" s="15" t="s">
        <v>576</v>
      </c>
    </row>
    <row r="131" spans="1:16" ht="48" customHeight="1" x14ac:dyDescent="0.3">
      <c r="A131" s="12">
        <v>7</v>
      </c>
      <c r="B131" s="12">
        <v>14</v>
      </c>
      <c r="C131" s="12" t="s">
        <v>546</v>
      </c>
      <c r="D131" s="12" t="s">
        <v>158</v>
      </c>
      <c r="E131" s="12" t="s">
        <v>277</v>
      </c>
      <c r="F131" s="12" t="s">
        <v>148</v>
      </c>
      <c r="G131" s="12">
        <v>5</v>
      </c>
      <c r="H131" s="23" t="s">
        <v>142</v>
      </c>
      <c r="I131" s="24" t="s">
        <v>577</v>
      </c>
      <c r="J131" s="15" t="s">
        <v>578</v>
      </c>
      <c r="K131" s="18" t="s">
        <v>33</v>
      </c>
      <c r="L131" s="15" t="s">
        <v>579</v>
      </c>
      <c r="M131" s="15" t="s">
        <v>90</v>
      </c>
      <c r="N131" s="15" t="s">
        <v>8</v>
      </c>
      <c r="O131" s="15" t="s">
        <v>191</v>
      </c>
      <c r="P131" s="15" t="s">
        <v>580</v>
      </c>
    </row>
    <row r="132" spans="1:16" ht="24" customHeight="1" x14ac:dyDescent="0.3">
      <c r="A132" s="25" t="s">
        <v>153</v>
      </c>
      <c r="B132" s="25"/>
      <c r="C132" s="25"/>
      <c r="D132" s="25"/>
      <c r="E132" s="25"/>
      <c r="F132" s="25"/>
      <c r="G132" s="25">
        <f>SUM(G123:G131)</f>
        <v>90</v>
      </c>
      <c r="H132" s="25"/>
      <c r="I132" s="26" t="s">
        <v>581</v>
      </c>
      <c r="J132" s="26" t="s">
        <v>582</v>
      </c>
      <c r="K132" s="25"/>
      <c r="L132" s="25"/>
      <c r="M132" s="25"/>
      <c r="N132" s="25"/>
      <c r="O132" s="25"/>
      <c r="P132" s="25"/>
    </row>
    <row r="133" spans="1:16" ht="30" customHeight="1" x14ac:dyDescent="0.3">
      <c r="A133" s="3" t="s">
        <v>583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48" customHeight="1" x14ac:dyDescent="0.3">
      <c r="A134" s="12">
        <v>8</v>
      </c>
      <c r="B134" s="12">
        <v>15</v>
      </c>
      <c r="C134" s="12" t="s">
        <v>584</v>
      </c>
      <c r="D134" s="12" t="s">
        <v>83</v>
      </c>
      <c r="E134" s="12" t="s">
        <v>84</v>
      </c>
      <c r="F134" s="12" t="s">
        <v>85</v>
      </c>
      <c r="G134" s="12">
        <v>5</v>
      </c>
      <c r="H134" s="13" t="s">
        <v>86</v>
      </c>
      <c r="I134" s="14" t="s">
        <v>585</v>
      </c>
      <c r="J134" s="15" t="s">
        <v>586</v>
      </c>
      <c r="K134" s="12" t="s">
        <v>88</v>
      </c>
      <c r="L134" s="15" t="s">
        <v>297</v>
      </c>
      <c r="M134" s="15" t="s">
        <v>90</v>
      </c>
      <c r="N134" s="15" t="s">
        <v>97</v>
      </c>
      <c r="O134" s="15" t="s">
        <v>91</v>
      </c>
      <c r="P134" s="15" t="s">
        <v>164</v>
      </c>
    </row>
    <row r="135" spans="1:16" ht="48" customHeight="1" x14ac:dyDescent="0.3">
      <c r="A135" s="12">
        <v>8</v>
      </c>
      <c r="B135" s="12">
        <v>15</v>
      </c>
      <c r="C135" s="12" t="s">
        <v>584</v>
      </c>
      <c r="D135" s="12" t="s">
        <v>83</v>
      </c>
      <c r="E135" s="12" t="s">
        <v>85</v>
      </c>
      <c r="F135" s="12" t="s">
        <v>92</v>
      </c>
      <c r="G135" s="12">
        <v>15</v>
      </c>
      <c r="H135" s="16" t="s">
        <v>101</v>
      </c>
      <c r="I135" s="17" t="s">
        <v>587</v>
      </c>
      <c r="J135" s="15" t="s">
        <v>588</v>
      </c>
      <c r="K135" s="18" t="s">
        <v>33</v>
      </c>
      <c r="L135" s="15" t="s">
        <v>589</v>
      </c>
      <c r="M135" s="15" t="s">
        <v>96</v>
      </c>
      <c r="N135" s="15" t="s">
        <v>97</v>
      </c>
      <c r="O135" s="15" t="s">
        <v>350</v>
      </c>
      <c r="P135" s="15" t="s">
        <v>590</v>
      </c>
    </row>
    <row r="136" spans="1:16" ht="48" customHeight="1" x14ac:dyDescent="0.3">
      <c r="A136" s="12">
        <v>8</v>
      </c>
      <c r="B136" s="12">
        <v>15</v>
      </c>
      <c r="C136" s="12" t="s">
        <v>584</v>
      </c>
      <c r="D136" s="12" t="s">
        <v>83</v>
      </c>
      <c r="E136" s="12" t="s">
        <v>92</v>
      </c>
      <c r="F136" s="12" t="s">
        <v>107</v>
      </c>
      <c r="G136" s="12">
        <v>20</v>
      </c>
      <c r="H136" s="16" t="s">
        <v>101</v>
      </c>
      <c r="I136" s="17" t="s">
        <v>591</v>
      </c>
      <c r="J136" s="15" t="s">
        <v>592</v>
      </c>
      <c r="K136" s="18" t="s">
        <v>33</v>
      </c>
      <c r="L136" s="15" t="s">
        <v>593</v>
      </c>
      <c r="M136" s="15" t="s">
        <v>116</v>
      </c>
      <c r="N136" s="15" t="s">
        <v>97</v>
      </c>
      <c r="O136" s="15" t="s">
        <v>594</v>
      </c>
      <c r="P136" s="15" t="s">
        <v>595</v>
      </c>
    </row>
    <row r="137" spans="1:16" ht="48" customHeight="1" x14ac:dyDescent="0.3">
      <c r="A137" s="12">
        <v>8</v>
      </c>
      <c r="B137" s="12">
        <v>15</v>
      </c>
      <c r="C137" s="12" t="s">
        <v>584</v>
      </c>
      <c r="D137" s="12" t="s">
        <v>83</v>
      </c>
      <c r="E137" s="12" t="s">
        <v>107</v>
      </c>
      <c r="F137" s="12" t="s">
        <v>217</v>
      </c>
      <c r="G137" s="12">
        <v>15</v>
      </c>
      <c r="H137" s="16" t="s">
        <v>101</v>
      </c>
      <c r="I137" s="17" t="s">
        <v>596</v>
      </c>
      <c r="J137" s="15" t="s">
        <v>597</v>
      </c>
      <c r="K137" s="18" t="s">
        <v>33</v>
      </c>
      <c r="L137" s="15" t="s">
        <v>214</v>
      </c>
      <c r="M137" s="15" t="s">
        <v>116</v>
      </c>
      <c r="N137" s="15" t="s">
        <v>97</v>
      </c>
      <c r="O137" s="15" t="s">
        <v>350</v>
      </c>
      <c r="P137" s="15" t="s">
        <v>598</v>
      </c>
    </row>
    <row r="138" spans="1:16" ht="48" customHeight="1" x14ac:dyDescent="0.3">
      <c r="A138" s="12">
        <v>8</v>
      </c>
      <c r="B138" s="12">
        <v>15</v>
      </c>
      <c r="C138" s="12" t="s">
        <v>584</v>
      </c>
      <c r="D138" s="12" t="s">
        <v>83</v>
      </c>
      <c r="E138" s="12" t="s">
        <v>217</v>
      </c>
      <c r="F138" s="12" t="s">
        <v>112</v>
      </c>
      <c r="G138" s="12">
        <v>5</v>
      </c>
      <c r="H138" s="16" t="s">
        <v>101</v>
      </c>
      <c r="I138" s="17" t="s">
        <v>599</v>
      </c>
      <c r="J138" s="15" t="s">
        <v>600</v>
      </c>
      <c r="K138" s="12" t="s">
        <v>88</v>
      </c>
      <c r="L138" s="15" t="s">
        <v>579</v>
      </c>
      <c r="M138" s="15" t="s">
        <v>90</v>
      </c>
      <c r="N138" s="15" t="s">
        <v>8</v>
      </c>
      <c r="O138" s="15" t="s">
        <v>350</v>
      </c>
      <c r="P138" s="15" t="s">
        <v>601</v>
      </c>
    </row>
    <row r="139" spans="1:16" ht="48" customHeight="1" x14ac:dyDescent="0.3">
      <c r="A139" s="31">
        <v>8</v>
      </c>
      <c r="B139" s="31">
        <v>15</v>
      </c>
      <c r="C139" s="31" t="s">
        <v>584</v>
      </c>
      <c r="D139" s="31" t="s">
        <v>83</v>
      </c>
      <c r="E139" s="31" t="s">
        <v>112</v>
      </c>
      <c r="F139" s="31" t="s">
        <v>181</v>
      </c>
      <c r="G139" s="31">
        <v>40</v>
      </c>
      <c r="H139" s="32" t="s">
        <v>101</v>
      </c>
      <c r="I139" s="33" t="s">
        <v>602</v>
      </c>
      <c r="J139" s="32" t="s">
        <v>603</v>
      </c>
      <c r="K139" s="34" t="s">
        <v>604</v>
      </c>
      <c r="L139" s="32" t="s">
        <v>605</v>
      </c>
      <c r="M139" s="32" t="s">
        <v>96</v>
      </c>
      <c r="N139" s="32" t="s">
        <v>97</v>
      </c>
      <c r="O139" s="32" t="s">
        <v>355</v>
      </c>
      <c r="P139" s="32" t="s">
        <v>606</v>
      </c>
    </row>
    <row r="140" spans="1:16" ht="48" customHeight="1" x14ac:dyDescent="0.3">
      <c r="A140" s="12">
        <v>8</v>
      </c>
      <c r="B140" s="12">
        <v>15</v>
      </c>
      <c r="C140" s="12" t="s">
        <v>584</v>
      </c>
      <c r="D140" s="12" t="s">
        <v>83</v>
      </c>
      <c r="E140" s="12" t="s">
        <v>181</v>
      </c>
      <c r="F140" s="12" t="s">
        <v>317</v>
      </c>
      <c r="G140" s="12">
        <v>5</v>
      </c>
      <c r="H140" s="16" t="s">
        <v>101</v>
      </c>
      <c r="I140" s="17" t="s">
        <v>132</v>
      </c>
      <c r="J140" s="15" t="s">
        <v>607</v>
      </c>
      <c r="K140" s="12" t="s">
        <v>88</v>
      </c>
      <c r="L140" s="15" t="s">
        <v>88</v>
      </c>
      <c r="M140" s="15" t="s">
        <v>88</v>
      </c>
      <c r="N140" s="15" t="s">
        <v>88</v>
      </c>
      <c r="O140" s="15" t="s">
        <v>88</v>
      </c>
      <c r="P140" s="15" t="s">
        <v>88</v>
      </c>
    </row>
    <row r="141" spans="1:16" ht="48" customHeight="1" x14ac:dyDescent="0.3">
      <c r="A141" s="27">
        <v>8</v>
      </c>
      <c r="B141" s="27">
        <v>15</v>
      </c>
      <c r="C141" s="27" t="s">
        <v>584</v>
      </c>
      <c r="D141" s="27" t="s">
        <v>83</v>
      </c>
      <c r="E141" s="27" t="s">
        <v>317</v>
      </c>
      <c r="F141" s="27" t="s">
        <v>608</v>
      </c>
      <c r="G141" s="27">
        <v>15</v>
      </c>
      <c r="H141" s="28" t="s">
        <v>222</v>
      </c>
      <c r="I141" s="29" t="s">
        <v>609</v>
      </c>
      <c r="J141" s="28" t="s">
        <v>610</v>
      </c>
      <c r="K141" s="30" t="s">
        <v>35</v>
      </c>
      <c r="L141" s="28" t="s">
        <v>611</v>
      </c>
      <c r="M141" s="28" t="s">
        <v>90</v>
      </c>
      <c r="N141" s="28" t="s">
        <v>8</v>
      </c>
      <c r="O141" s="28" t="s">
        <v>345</v>
      </c>
      <c r="P141" s="28" t="s">
        <v>612</v>
      </c>
    </row>
    <row r="142" spans="1:16" ht="48" customHeight="1" x14ac:dyDescent="0.3">
      <c r="A142" s="12">
        <v>8</v>
      </c>
      <c r="B142" s="12">
        <v>15</v>
      </c>
      <c r="C142" s="12" t="s">
        <v>584</v>
      </c>
      <c r="D142" s="12" t="s">
        <v>83</v>
      </c>
      <c r="E142" s="12" t="s">
        <v>608</v>
      </c>
      <c r="F142" s="12" t="s">
        <v>277</v>
      </c>
      <c r="G142" s="12">
        <v>10</v>
      </c>
      <c r="H142" s="23" t="s">
        <v>142</v>
      </c>
      <c r="I142" s="24" t="s">
        <v>613</v>
      </c>
      <c r="J142" s="15" t="s">
        <v>614</v>
      </c>
      <c r="K142" s="18" t="s">
        <v>33</v>
      </c>
      <c r="L142" s="15" t="s">
        <v>615</v>
      </c>
      <c r="M142" s="15" t="s">
        <v>90</v>
      </c>
      <c r="N142" s="15" t="s">
        <v>123</v>
      </c>
      <c r="O142" s="15" t="s">
        <v>91</v>
      </c>
      <c r="P142" s="15" t="s">
        <v>616</v>
      </c>
    </row>
    <row r="143" spans="1:16" ht="48" customHeight="1" x14ac:dyDescent="0.3">
      <c r="A143" s="12">
        <v>8</v>
      </c>
      <c r="B143" s="12">
        <v>15</v>
      </c>
      <c r="C143" s="12" t="s">
        <v>584</v>
      </c>
      <c r="D143" s="12" t="s">
        <v>83</v>
      </c>
      <c r="E143" s="12" t="s">
        <v>277</v>
      </c>
      <c r="F143" s="12" t="s">
        <v>148</v>
      </c>
      <c r="G143" s="12">
        <v>5</v>
      </c>
      <c r="H143" s="23" t="s">
        <v>142</v>
      </c>
      <c r="I143" s="24" t="s">
        <v>617</v>
      </c>
      <c r="J143" s="15" t="s">
        <v>618</v>
      </c>
      <c r="K143" s="18" t="s">
        <v>33</v>
      </c>
      <c r="L143" s="15" t="s">
        <v>619</v>
      </c>
      <c r="M143" s="15" t="s">
        <v>90</v>
      </c>
      <c r="N143" s="15" t="s">
        <v>8</v>
      </c>
      <c r="O143" s="15" t="s">
        <v>191</v>
      </c>
      <c r="P143" s="15" t="s">
        <v>246</v>
      </c>
    </row>
    <row r="144" spans="1:16" ht="24" customHeight="1" x14ac:dyDescent="0.3">
      <c r="A144" s="25" t="s">
        <v>153</v>
      </c>
      <c r="B144" s="25"/>
      <c r="C144" s="25"/>
      <c r="D144" s="25"/>
      <c r="E144" s="25"/>
      <c r="F144" s="25"/>
      <c r="G144" s="25">
        <f>SUM(G134:G143)</f>
        <v>135</v>
      </c>
      <c r="H144" s="25"/>
      <c r="I144" s="26" t="s">
        <v>620</v>
      </c>
      <c r="J144" s="26" t="s">
        <v>621</v>
      </c>
      <c r="K144" s="25"/>
      <c r="L144" s="25"/>
      <c r="M144" s="25"/>
      <c r="N144" s="25"/>
      <c r="O144" s="25"/>
      <c r="P144" s="25"/>
    </row>
    <row r="145" spans="1:16" ht="30" customHeight="1" x14ac:dyDescent="0.3">
      <c r="A145" s="3" t="s">
        <v>622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48" customHeight="1" x14ac:dyDescent="0.3">
      <c r="A146" s="12">
        <v>8</v>
      </c>
      <c r="B146" s="12">
        <v>16</v>
      </c>
      <c r="C146" s="12" t="s">
        <v>623</v>
      </c>
      <c r="D146" s="12" t="s">
        <v>158</v>
      </c>
      <c r="E146" s="12" t="s">
        <v>159</v>
      </c>
      <c r="F146" s="12" t="s">
        <v>160</v>
      </c>
      <c r="G146" s="12">
        <v>5</v>
      </c>
      <c r="H146" s="13" t="s">
        <v>86</v>
      </c>
      <c r="I146" s="14" t="s">
        <v>624</v>
      </c>
      <c r="J146" s="15" t="s">
        <v>625</v>
      </c>
      <c r="K146" s="18" t="s">
        <v>33</v>
      </c>
      <c r="L146" s="15" t="s">
        <v>626</v>
      </c>
      <c r="M146" s="15" t="s">
        <v>90</v>
      </c>
      <c r="N146" s="15" t="s">
        <v>97</v>
      </c>
      <c r="O146" s="15" t="s">
        <v>91</v>
      </c>
      <c r="P146" s="15" t="s">
        <v>420</v>
      </c>
    </row>
    <row r="147" spans="1:16" ht="48" customHeight="1" x14ac:dyDescent="0.3">
      <c r="A147" s="12">
        <v>8</v>
      </c>
      <c r="B147" s="12">
        <v>16</v>
      </c>
      <c r="C147" s="12" t="s">
        <v>623</v>
      </c>
      <c r="D147" s="12" t="s">
        <v>158</v>
      </c>
      <c r="E147" s="12" t="s">
        <v>160</v>
      </c>
      <c r="F147" s="12" t="s">
        <v>112</v>
      </c>
      <c r="G147" s="12">
        <v>10</v>
      </c>
      <c r="H147" s="16" t="s">
        <v>101</v>
      </c>
      <c r="I147" s="17" t="s">
        <v>627</v>
      </c>
      <c r="J147" s="15" t="s">
        <v>628</v>
      </c>
      <c r="K147" s="18" t="s">
        <v>33</v>
      </c>
      <c r="L147" s="15" t="s">
        <v>231</v>
      </c>
      <c r="M147" s="15" t="s">
        <v>90</v>
      </c>
      <c r="N147" s="15" t="s">
        <v>8</v>
      </c>
      <c r="O147" s="15" t="s">
        <v>91</v>
      </c>
      <c r="P147" s="15" t="s">
        <v>629</v>
      </c>
    </row>
    <row r="148" spans="1:16" ht="48" customHeight="1" x14ac:dyDescent="0.3">
      <c r="A148" s="12">
        <v>8</v>
      </c>
      <c r="B148" s="12">
        <v>16</v>
      </c>
      <c r="C148" s="12" t="s">
        <v>623</v>
      </c>
      <c r="D148" s="12" t="s">
        <v>158</v>
      </c>
      <c r="E148" s="12" t="s">
        <v>112</v>
      </c>
      <c r="F148" s="12" t="s">
        <v>311</v>
      </c>
      <c r="G148" s="12">
        <v>15</v>
      </c>
      <c r="H148" s="16" t="s">
        <v>101</v>
      </c>
      <c r="I148" s="17" t="s">
        <v>630</v>
      </c>
      <c r="J148" s="15" t="s">
        <v>631</v>
      </c>
      <c r="K148" s="18" t="s">
        <v>33</v>
      </c>
      <c r="L148" s="15" t="s">
        <v>432</v>
      </c>
      <c r="M148" s="15" t="s">
        <v>96</v>
      </c>
      <c r="N148" s="15" t="s">
        <v>97</v>
      </c>
      <c r="O148" s="15" t="s">
        <v>350</v>
      </c>
      <c r="P148" s="15" t="s">
        <v>632</v>
      </c>
    </row>
    <row r="149" spans="1:16" ht="48" customHeight="1" x14ac:dyDescent="0.3">
      <c r="A149" s="27">
        <v>8</v>
      </c>
      <c r="B149" s="27">
        <v>16</v>
      </c>
      <c r="C149" s="27" t="s">
        <v>623</v>
      </c>
      <c r="D149" s="27" t="s">
        <v>158</v>
      </c>
      <c r="E149" s="27" t="s">
        <v>311</v>
      </c>
      <c r="F149" s="27" t="s">
        <v>126</v>
      </c>
      <c r="G149" s="27">
        <v>10</v>
      </c>
      <c r="H149" s="28" t="s">
        <v>222</v>
      </c>
      <c r="I149" s="29" t="s">
        <v>633</v>
      </c>
      <c r="J149" s="28" t="s">
        <v>634</v>
      </c>
      <c r="K149" s="30" t="s">
        <v>35</v>
      </c>
      <c r="L149" s="28" t="s">
        <v>635</v>
      </c>
      <c r="M149" s="28" t="s">
        <v>90</v>
      </c>
      <c r="N149" s="28" t="s">
        <v>123</v>
      </c>
      <c r="O149" s="28" t="s">
        <v>350</v>
      </c>
      <c r="P149" s="28" t="s">
        <v>636</v>
      </c>
    </row>
    <row r="150" spans="1:16" ht="48" customHeight="1" x14ac:dyDescent="0.3">
      <c r="A150" s="27">
        <v>8</v>
      </c>
      <c r="B150" s="27">
        <v>16</v>
      </c>
      <c r="C150" s="27" t="s">
        <v>623</v>
      </c>
      <c r="D150" s="27" t="s">
        <v>158</v>
      </c>
      <c r="E150" s="27" t="s">
        <v>126</v>
      </c>
      <c r="F150" s="27" t="s">
        <v>176</v>
      </c>
      <c r="G150" s="27">
        <v>10</v>
      </c>
      <c r="H150" s="28" t="s">
        <v>222</v>
      </c>
      <c r="I150" s="29" t="s">
        <v>637</v>
      </c>
      <c r="J150" s="28" t="s">
        <v>638</v>
      </c>
      <c r="K150" s="30" t="s">
        <v>639</v>
      </c>
      <c r="L150" s="28" t="s">
        <v>640</v>
      </c>
      <c r="M150" s="28" t="s">
        <v>90</v>
      </c>
      <c r="N150" s="28" t="s">
        <v>8</v>
      </c>
      <c r="O150" s="28" t="s">
        <v>641</v>
      </c>
      <c r="P150" s="28" t="s">
        <v>642</v>
      </c>
    </row>
    <row r="151" spans="1:16" ht="48" customHeight="1" x14ac:dyDescent="0.3">
      <c r="A151" s="19">
        <v>8</v>
      </c>
      <c r="B151" s="19">
        <v>16</v>
      </c>
      <c r="C151" s="19" t="s">
        <v>623</v>
      </c>
      <c r="D151" s="19" t="s">
        <v>158</v>
      </c>
      <c r="E151" s="19" t="s">
        <v>176</v>
      </c>
      <c r="F151" s="19" t="s">
        <v>134</v>
      </c>
      <c r="G151" s="19">
        <v>20</v>
      </c>
      <c r="H151" s="20" t="s">
        <v>101</v>
      </c>
      <c r="I151" s="21" t="s">
        <v>643</v>
      </c>
      <c r="J151" s="20" t="s">
        <v>644</v>
      </c>
      <c r="K151" s="22" t="s">
        <v>33</v>
      </c>
      <c r="L151" s="20" t="s">
        <v>645</v>
      </c>
      <c r="M151" s="20" t="s">
        <v>138</v>
      </c>
      <c r="N151" s="20" t="s">
        <v>97</v>
      </c>
      <c r="O151" s="20" t="s">
        <v>350</v>
      </c>
      <c r="P151" s="20" t="s">
        <v>646</v>
      </c>
    </row>
    <row r="152" spans="1:16" ht="48" customHeight="1" x14ac:dyDescent="0.3">
      <c r="A152" s="12">
        <v>8</v>
      </c>
      <c r="B152" s="12">
        <v>16</v>
      </c>
      <c r="C152" s="12" t="s">
        <v>623</v>
      </c>
      <c r="D152" s="12" t="s">
        <v>158</v>
      </c>
      <c r="E152" s="12" t="s">
        <v>134</v>
      </c>
      <c r="F152" s="12" t="s">
        <v>608</v>
      </c>
      <c r="G152" s="12">
        <v>5</v>
      </c>
      <c r="H152" s="16" t="s">
        <v>101</v>
      </c>
      <c r="I152" s="17" t="s">
        <v>132</v>
      </c>
      <c r="J152" s="15" t="s">
        <v>647</v>
      </c>
      <c r="K152" s="12" t="s">
        <v>88</v>
      </c>
      <c r="L152" s="15" t="s">
        <v>88</v>
      </c>
      <c r="M152" s="15" t="s">
        <v>88</v>
      </c>
      <c r="N152" s="15" t="s">
        <v>88</v>
      </c>
      <c r="O152" s="15" t="s">
        <v>88</v>
      </c>
      <c r="P152" s="15" t="s">
        <v>88</v>
      </c>
    </row>
    <row r="153" spans="1:16" ht="48" customHeight="1" x14ac:dyDescent="0.3">
      <c r="A153" s="12">
        <v>8</v>
      </c>
      <c r="B153" s="12">
        <v>16</v>
      </c>
      <c r="C153" s="12" t="s">
        <v>623</v>
      </c>
      <c r="D153" s="12" t="s">
        <v>158</v>
      </c>
      <c r="E153" s="12" t="s">
        <v>608</v>
      </c>
      <c r="F153" s="12" t="s">
        <v>277</v>
      </c>
      <c r="G153" s="12">
        <v>10</v>
      </c>
      <c r="H153" s="23" t="s">
        <v>142</v>
      </c>
      <c r="I153" s="24" t="s">
        <v>648</v>
      </c>
      <c r="J153" s="15" t="s">
        <v>649</v>
      </c>
      <c r="K153" s="18" t="s">
        <v>33</v>
      </c>
      <c r="L153" s="15" t="s">
        <v>650</v>
      </c>
      <c r="M153" s="15" t="s">
        <v>138</v>
      </c>
      <c r="N153" s="15" t="s">
        <v>97</v>
      </c>
      <c r="O153" s="15" t="s">
        <v>651</v>
      </c>
      <c r="P153" s="15" t="s">
        <v>652</v>
      </c>
    </row>
    <row r="154" spans="1:16" ht="48" customHeight="1" x14ac:dyDescent="0.3">
      <c r="A154" s="12">
        <v>8</v>
      </c>
      <c r="B154" s="12">
        <v>16</v>
      </c>
      <c r="C154" s="12" t="s">
        <v>623</v>
      </c>
      <c r="D154" s="12" t="s">
        <v>158</v>
      </c>
      <c r="E154" s="12" t="s">
        <v>277</v>
      </c>
      <c r="F154" s="12" t="s">
        <v>148</v>
      </c>
      <c r="G154" s="12">
        <v>5</v>
      </c>
      <c r="H154" s="23" t="s">
        <v>142</v>
      </c>
      <c r="I154" s="24" t="s">
        <v>653</v>
      </c>
      <c r="J154" s="15" t="s">
        <v>654</v>
      </c>
      <c r="K154" s="18" t="s">
        <v>33</v>
      </c>
      <c r="L154" s="15" t="s">
        <v>655</v>
      </c>
      <c r="M154" s="15" t="s">
        <v>90</v>
      </c>
      <c r="N154" s="15" t="s">
        <v>123</v>
      </c>
      <c r="O154" s="15" t="s">
        <v>656</v>
      </c>
      <c r="P154" s="15" t="s">
        <v>657</v>
      </c>
    </row>
    <row r="155" spans="1:16" ht="24" customHeight="1" x14ac:dyDescent="0.3">
      <c r="A155" s="25" t="s">
        <v>153</v>
      </c>
      <c r="B155" s="25"/>
      <c r="C155" s="25"/>
      <c r="D155" s="25"/>
      <c r="E155" s="25"/>
      <c r="F155" s="25"/>
      <c r="G155" s="25">
        <f>SUM(G146:G154)</f>
        <v>90</v>
      </c>
      <c r="H155" s="25"/>
      <c r="I155" s="26" t="s">
        <v>658</v>
      </c>
      <c r="J155" s="26" t="s">
        <v>659</v>
      </c>
      <c r="K155" s="25"/>
      <c r="L155" s="25"/>
      <c r="M155" s="25"/>
      <c r="N155" s="25"/>
      <c r="O155" s="25"/>
      <c r="P155" s="25"/>
    </row>
  </sheetData>
  <mergeCells count="15">
    <mergeCell ref="A102:P102"/>
    <mergeCell ref="A111:P111"/>
    <mergeCell ref="A122:P122"/>
    <mergeCell ref="A133:P133"/>
    <mergeCell ref="A145:P145"/>
    <mergeCell ref="A48:P48"/>
    <mergeCell ref="A61:P61"/>
    <mergeCell ref="A71:P71"/>
    <mergeCell ref="A82:P82"/>
    <mergeCell ref="A91:P91"/>
    <mergeCell ref="A1:P1"/>
    <mergeCell ref="A3:P3"/>
    <mergeCell ref="A16:P16"/>
    <mergeCell ref="A25:P25"/>
    <mergeCell ref="A38:P3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1" customWidth="1"/>
    <col min="4" max="4" width="10" customWidth="1"/>
    <col min="5" max="5" width="7" customWidth="1"/>
    <col min="6" max="6" width="44" customWidth="1"/>
    <col min="7" max="7" width="54" customWidth="1"/>
    <col min="8" max="8" width="20" customWidth="1"/>
    <col min="9" max="10" width="42" customWidth="1"/>
    <col min="11" max="11" width="11" customWidth="1"/>
    <col min="12" max="12" width="13" customWidth="1"/>
    <col min="13" max="15" width="12" customWidth="1"/>
  </cols>
  <sheetData>
    <row r="1" spans="1:15" ht="25.5" customHeight="1" x14ac:dyDescent="0.3">
      <c r="A1" s="4" t="s">
        <v>660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3.75" customHeight="1" x14ac:dyDescent="0.3">
      <c r="A2" s="11" t="s">
        <v>65</v>
      </c>
      <c r="B2" s="11" t="s">
        <v>66</v>
      </c>
      <c r="C2" s="11" t="s">
        <v>67</v>
      </c>
      <c r="D2" s="11" t="s">
        <v>68</v>
      </c>
      <c r="E2" s="11" t="s">
        <v>71</v>
      </c>
      <c r="F2" s="11" t="s">
        <v>661</v>
      </c>
      <c r="G2" s="11" t="s">
        <v>662</v>
      </c>
      <c r="H2" s="11" t="s">
        <v>75</v>
      </c>
      <c r="I2" s="11" t="s">
        <v>663</v>
      </c>
      <c r="J2" s="11" t="s">
        <v>664</v>
      </c>
      <c r="K2" s="11" t="s">
        <v>665</v>
      </c>
      <c r="L2" s="11" t="s">
        <v>666</v>
      </c>
      <c r="M2" s="11" t="s">
        <v>667</v>
      </c>
      <c r="N2" s="11" t="s">
        <v>668</v>
      </c>
      <c r="O2" s="11" t="s">
        <v>669</v>
      </c>
    </row>
    <row r="3" spans="1:15" ht="61.5" customHeight="1" x14ac:dyDescent="0.3">
      <c r="A3" s="35">
        <v>2</v>
      </c>
      <c r="B3" s="35">
        <v>3</v>
      </c>
      <c r="C3" s="35" t="s">
        <v>82</v>
      </c>
      <c r="D3" s="35" t="s">
        <v>83</v>
      </c>
      <c r="E3" s="35">
        <v>135</v>
      </c>
      <c r="F3" s="36" t="s">
        <v>670</v>
      </c>
      <c r="G3" s="36" t="s">
        <v>671</v>
      </c>
      <c r="H3" s="37" t="s">
        <v>23</v>
      </c>
      <c r="I3" s="36" t="s">
        <v>672</v>
      </c>
      <c r="J3" s="36" t="s">
        <v>673</v>
      </c>
      <c r="K3" s="35">
        <v>25</v>
      </c>
      <c r="L3" s="35">
        <v>85</v>
      </c>
      <c r="M3" s="35">
        <v>25</v>
      </c>
      <c r="N3" s="35">
        <v>0</v>
      </c>
      <c r="O3" s="38">
        <f t="shared" ref="O3:O17" si="0">ROUND(L3/E3,3)</f>
        <v>0.63</v>
      </c>
    </row>
    <row r="4" spans="1:15" ht="61.5" customHeight="1" x14ac:dyDescent="0.3">
      <c r="A4" s="39">
        <v>2</v>
      </c>
      <c r="B4" s="39">
        <v>4</v>
      </c>
      <c r="C4" s="39" t="s">
        <v>157</v>
      </c>
      <c r="D4" s="39" t="s">
        <v>158</v>
      </c>
      <c r="E4" s="39">
        <v>90</v>
      </c>
      <c r="F4" s="40" t="s">
        <v>674</v>
      </c>
      <c r="G4" s="40" t="s">
        <v>675</v>
      </c>
      <c r="H4" s="41" t="s">
        <v>23</v>
      </c>
      <c r="I4" s="42" t="s">
        <v>676</v>
      </c>
      <c r="J4" s="40" t="s">
        <v>677</v>
      </c>
      <c r="K4" s="39">
        <v>10</v>
      </c>
      <c r="L4" s="39">
        <v>60</v>
      </c>
      <c r="M4" s="39">
        <v>25</v>
      </c>
      <c r="N4" s="39">
        <v>0</v>
      </c>
      <c r="O4" s="43">
        <f t="shared" si="0"/>
        <v>0.66700000000000004</v>
      </c>
    </row>
    <row r="5" spans="1:15" ht="61.5" customHeight="1" x14ac:dyDescent="0.3">
      <c r="A5" s="35">
        <v>3</v>
      </c>
      <c r="B5" s="35">
        <v>5</v>
      </c>
      <c r="C5" s="35" t="s">
        <v>196</v>
      </c>
      <c r="D5" s="35" t="s">
        <v>83</v>
      </c>
      <c r="E5" s="35">
        <v>135</v>
      </c>
      <c r="F5" s="36" t="s">
        <v>678</v>
      </c>
      <c r="G5" s="36" t="s">
        <v>679</v>
      </c>
      <c r="H5" s="37" t="s">
        <v>680</v>
      </c>
      <c r="I5" s="42" t="s">
        <v>681</v>
      </c>
      <c r="J5" s="36" t="s">
        <v>682</v>
      </c>
      <c r="K5" s="35">
        <v>50</v>
      </c>
      <c r="L5" s="35">
        <v>80</v>
      </c>
      <c r="M5" s="35">
        <v>30</v>
      </c>
      <c r="N5" s="35">
        <v>10</v>
      </c>
      <c r="O5" s="38">
        <f t="shared" si="0"/>
        <v>0.59299999999999997</v>
      </c>
    </row>
    <row r="6" spans="1:15" ht="61.5" customHeight="1" x14ac:dyDescent="0.3">
      <c r="A6" s="39">
        <v>3</v>
      </c>
      <c r="B6" s="39">
        <v>6</v>
      </c>
      <c r="C6" s="39" t="s">
        <v>250</v>
      </c>
      <c r="D6" s="39" t="s">
        <v>158</v>
      </c>
      <c r="E6" s="39">
        <v>90</v>
      </c>
      <c r="F6" s="40" t="s">
        <v>683</v>
      </c>
      <c r="G6" s="40" t="s">
        <v>684</v>
      </c>
      <c r="H6" s="41" t="s">
        <v>685</v>
      </c>
      <c r="I6" s="40" t="s">
        <v>686</v>
      </c>
      <c r="J6" s="40" t="s">
        <v>687</v>
      </c>
      <c r="K6" s="39">
        <v>40</v>
      </c>
      <c r="L6" s="39">
        <v>45</v>
      </c>
      <c r="M6" s="39">
        <v>40</v>
      </c>
      <c r="N6" s="39">
        <v>15</v>
      </c>
      <c r="O6" s="43">
        <f t="shared" si="0"/>
        <v>0.5</v>
      </c>
    </row>
    <row r="7" spans="1:15" ht="61.5" customHeight="1" x14ac:dyDescent="0.3">
      <c r="A7" s="35">
        <v>4</v>
      </c>
      <c r="B7" s="35">
        <v>7</v>
      </c>
      <c r="C7" s="35" t="s">
        <v>289</v>
      </c>
      <c r="D7" s="35" t="s">
        <v>83</v>
      </c>
      <c r="E7" s="35">
        <v>135</v>
      </c>
      <c r="F7" s="36" t="s">
        <v>688</v>
      </c>
      <c r="G7" s="36" t="s">
        <v>689</v>
      </c>
      <c r="H7" s="37" t="s">
        <v>365</v>
      </c>
      <c r="I7" s="36" t="s">
        <v>321</v>
      </c>
      <c r="J7" s="36" t="s">
        <v>690</v>
      </c>
      <c r="K7" s="35">
        <v>20</v>
      </c>
      <c r="L7" s="35">
        <v>80</v>
      </c>
      <c r="M7" s="35">
        <v>35</v>
      </c>
      <c r="N7" s="35">
        <v>0</v>
      </c>
      <c r="O7" s="38">
        <f t="shared" si="0"/>
        <v>0.59299999999999997</v>
      </c>
    </row>
    <row r="8" spans="1:15" ht="61.5" customHeight="1" x14ac:dyDescent="0.3">
      <c r="A8" s="39">
        <v>4</v>
      </c>
      <c r="B8" s="39">
        <v>8</v>
      </c>
      <c r="C8" s="39" t="s">
        <v>337</v>
      </c>
      <c r="D8" s="39" t="s">
        <v>158</v>
      </c>
      <c r="E8" s="39">
        <v>90</v>
      </c>
      <c r="F8" s="40" t="s">
        <v>691</v>
      </c>
      <c r="G8" s="40" t="s">
        <v>692</v>
      </c>
      <c r="H8" s="41" t="s">
        <v>365</v>
      </c>
      <c r="I8" s="42" t="s">
        <v>693</v>
      </c>
      <c r="J8" s="40" t="s">
        <v>352</v>
      </c>
      <c r="K8" s="39">
        <v>45</v>
      </c>
      <c r="L8" s="39">
        <v>20</v>
      </c>
      <c r="M8" s="39">
        <v>20</v>
      </c>
      <c r="N8" s="39">
        <v>0</v>
      </c>
      <c r="O8" s="43">
        <f t="shared" si="0"/>
        <v>0.222</v>
      </c>
    </row>
    <row r="9" spans="1:15" ht="61.5" customHeight="1" x14ac:dyDescent="0.3">
      <c r="A9" s="35">
        <v>5</v>
      </c>
      <c r="B9" s="35">
        <v>9</v>
      </c>
      <c r="C9" s="35" t="s">
        <v>377</v>
      </c>
      <c r="D9" s="35" t="s">
        <v>83</v>
      </c>
      <c r="E9" s="35">
        <v>135</v>
      </c>
      <c r="F9" s="36" t="s">
        <v>694</v>
      </c>
      <c r="G9" s="36" t="s">
        <v>695</v>
      </c>
      <c r="H9" s="37" t="s">
        <v>696</v>
      </c>
      <c r="I9" s="36" t="s">
        <v>697</v>
      </c>
      <c r="J9" s="36" t="s">
        <v>698</v>
      </c>
      <c r="K9" s="35">
        <v>25</v>
      </c>
      <c r="L9" s="35">
        <v>55</v>
      </c>
      <c r="M9" s="35">
        <v>25</v>
      </c>
      <c r="N9" s="35">
        <v>0</v>
      </c>
      <c r="O9" s="38">
        <f t="shared" si="0"/>
        <v>0.40699999999999997</v>
      </c>
    </row>
    <row r="10" spans="1:15" ht="61.5" customHeight="1" x14ac:dyDescent="0.3">
      <c r="A10" s="39">
        <v>5</v>
      </c>
      <c r="B10" s="39">
        <v>10</v>
      </c>
      <c r="C10" s="39" t="s">
        <v>415</v>
      </c>
      <c r="D10" s="39" t="s">
        <v>158</v>
      </c>
      <c r="E10" s="39">
        <v>90</v>
      </c>
      <c r="F10" s="40" t="s">
        <v>699</v>
      </c>
      <c r="G10" s="40" t="s">
        <v>700</v>
      </c>
      <c r="H10" s="41" t="s">
        <v>701</v>
      </c>
      <c r="I10" s="42" t="s">
        <v>702</v>
      </c>
      <c r="J10" s="40" t="s">
        <v>703</v>
      </c>
      <c r="K10" s="39">
        <v>25</v>
      </c>
      <c r="L10" s="39">
        <v>55</v>
      </c>
      <c r="M10" s="39">
        <v>55</v>
      </c>
      <c r="N10" s="39">
        <v>0</v>
      </c>
      <c r="O10" s="43">
        <f t="shared" si="0"/>
        <v>0.61099999999999999</v>
      </c>
    </row>
    <row r="11" spans="1:15" ht="61.5" customHeight="1" x14ac:dyDescent="0.3">
      <c r="A11" s="35">
        <v>6</v>
      </c>
      <c r="B11" s="35">
        <v>11</v>
      </c>
      <c r="C11" s="35" t="s">
        <v>447</v>
      </c>
      <c r="D11" s="35" t="s">
        <v>83</v>
      </c>
      <c r="E11" s="35">
        <v>135</v>
      </c>
      <c r="F11" s="36" t="s">
        <v>704</v>
      </c>
      <c r="G11" s="36" t="s">
        <v>705</v>
      </c>
      <c r="H11" s="37" t="s">
        <v>467</v>
      </c>
      <c r="I11" s="42" t="s">
        <v>706</v>
      </c>
      <c r="J11" s="36" t="s">
        <v>707</v>
      </c>
      <c r="K11" s="35">
        <v>15</v>
      </c>
      <c r="L11" s="35">
        <v>85</v>
      </c>
      <c r="M11" s="35">
        <v>30</v>
      </c>
      <c r="N11" s="35">
        <v>0</v>
      </c>
      <c r="O11" s="38">
        <f t="shared" si="0"/>
        <v>0.63</v>
      </c>
    </row>
    <row r="12" spans="1:15" ht="61.5" customHeight="1" x14ac:dyDescent="0.3">
      <c r="A12" s="39">
        <v>6</v>
      </c>
      <c r="B12" s="39">
        <v>12</v>
      </c>
      <c r="C12" s="39" t="s">
        <v>480</v>
      </c>
      <c r="D12" s="39" t="s">
        <v>158</v>
      </c>
      <c r="E12" s="39">
        <v>90</v>
      </c>
      <c r="F12" s="40" t="s">
        <v>708</v>
      </c>
      <c r="G12" s="40" t="s">
        <v>709</v>
      </c>
      <c r="H12" s="41" t="s">
        <v>467</v>
      </c>
      <c r="I12" s="42" t="s">
        <v>710</v>
      </c>
      <c r="J12" s="40" t="s">
        <v>711</v>
      </c>
      <c r="K12" s="39">
        <v>15</v>
      </c>
      <c r="L12" s="39">
        <v>55</v>
      </c>
      <c r="M12" s="39">
        <v>20</v>
      </c>
      <c r="N12" s="39">
        <v>0</v>
      </c>
      <c r="O12" s="43">
        <f t="shared" si="0"/>
        <v>0.61099999999999999</v>
      </c>
    </row>
    <row r="13" spans="1:15" ht="61.5" customHeight="1" x14ac:dyDescent="0.3">
      <c r="A13" s="35">
        <v>7</v>
      </c>
      <c r="B13" s="35">
        <v>13</v>
      </c>
      <c r="C13" s="35" t="s">
        <v>512</v>
      </c>
      <c r="D13" s="35" t="s">
        <v>83</v>
      </c>
      <c r="E13" s="35">
        <v>135</v>
      </c>
      <c r="F13" s="36" t="s">
        <v>712</v>
      </c>
      <c r="G13" s="36" t="s">
        <v>713</v>
      </c>
      <c r="H13" s="37" t="s">
        <v>31</v>
      </c>
      <c r="I13" s="36" t="s">
        <v>714</v>
      </c>
      <c r="J13" s="36" t="s">
        <v>715</v>
      </c>
      <c r="K13" s="35">
        <v>30</v>
      </c>
      <c r="L13" s="35">
        <v>85</v>
      </c>
      <c r="M13" s="35">
        <v>30</v>
      </c>
      <c r="N13" s="35">
        <v>0</v>
      </c>
      <c r="O13" s="38">
        <f t="shared" si="0"/>
        <v>0.63</v>
      </c>
    </row>
    <row r="14" spans="1:15" ht="61.5" customHeight="1" x14ac:dyDescent="0.3">
      <c r="A14" s="39">
        <v>7</v>
      </c>
      <c r="B14" s="39">
        <v>14</v>
      </c>
      <c r="C14" s="39" t="s">
        <v>546</v>
      </c>
      <c r="D14" s="39" t="s">
        <v>158</v>
      </c>
      <c r="E14" s="39">
        <v>90</v>
      </c>
      <c r="F14" s="40" t="s">
        <v>716</v>
      </c>
      <c r="G14" s="40" t="s">
        <v>717</v>
      </c>
      <c r="H14" s="41" t="s">
        <v>718</v>
      </c>
      <c r="I14" s="42" t="s">
        <v>719</v>
      </c>
      <c r="J14" s="40" t="s">
        <v>720</v>
      </c>
      <c r="K14" s="39">
        <v>30</v>
      </c>
      <c r="L14" s="39">
        <v>50</v>
      </c>
      <c r="M14" s="39">
        <v>25</v>
      </c>
      <c r="N14" s="39">
        <v>10</v>
      </c>
      <c r="O14" s="43">
        <f t="shared" si="0"/>
        <v>0.55600000000000005</v>
      </c>
    </row>
    <row r="15" spans="1:15" ht="61.5" customHeight="1" x14ac:dyDescent="0.3">
      <c r="A15" s="35">
        <v>8</v>
      </c>
      <c r="B15" s="35">
        <v>15</v>
      </c>
      <c r="C15" s="35" t="s">
        <v>584</v>
      </c>
      <c r="D15" s="35" t="s">
        <v>83</v>
      </c>
      <c r="E15" s="35">
        <v>135</v>
      </c>
      <c r="F15" s="36" t="s">
        <v>721</v>
      </c>
      <c r="G15" s="36" t="s">
        <v>722</v>
      </c>
      <c r="H15" s="37" t="s">
        <v>723</v>
      </c>
      <c r="I15" s="36" t="s">
        <v>724</v>
      </c>
      <c r="J15" s="36" t="s">
        <v>725</v>
      </c>
      <c r="K15" s="35">
        <v>25</v>
      </c>
      <c r="L15" s="35">
        <v>95</v>
      </c>
      <c r="M15" s="35">
        <v>0</v>
      </c>
      <c r="N15" s="35">
        <v>15</v>
      </c>
      <c r="O15" s="38">
        <f t="shared" si="0"/>
        <v>0.70399999999999996</v>
      </c>
    </row>
    <row r="16" spans="1:15" ht="61.5" customHeight="1" x14ac:dyDescent="0.3">
      <c r="A16" s="39">
        <v>8</v>
      </c>
      <c r="B16" s="39">
        <v>16</v>
      </c>
      <c r="C16" s="39" t="s">
        <v>623</v>
      </c>
      <c r="D16" s="39" t="s">
        <v>158</v>
      </c>
      <c r="E16" s="39">
        <v>90</v>
      </c>
      <c r="F16" s="40" t="s">
        <v>726</v>
      </c>
      <c r="G16" s="40" t="s">
        <v>727</v>
      </c>
      <c r="H16" s="41" t="s">
        <v>728</v>
      </c>
      <c r="I16" s="40" t="s">
        <v>729</v>
      </c>
      <c r="J16" s="40" t="s">
        <v>730</v>
      </c>
      <c r="K16" s="39">
        <v>20</v>
      </c>
      <c r="L16" s="39">
        <v>50</v>
      </c>
      <c r="M16" s="39">
        <v>20</v>
      </c>
      <c r="N16" s="39">
        <v>20</v>
      </c>
      <c r="O16" s="43">
        <f t="shared" si="0"/>
        <v>0.55600000000000005</v>
      </c>
    </row>
    <row r="17" spans="1:15" ht="21.75" customHeight="1" x14ac:dyDescent="0.3">
      <c r="A17" s="44" t="s">
        <v>153</v>
      </c>
      <c r="B17" s="44"/>
      <c r="C17" s="44"/>
      <c r="D17" s="44"/>
      <c r="E17" s="44">
        <f>SUM(E3:E16)</f>
        <v>1575</v>
      </c>
      <c r="F17" s="45" t="s">
        <v>731</v>
      </c>
      <c r="G17" s="44"/>
      <c r="H17" s="44"/>
      <c r="I17" s="44"/>
      <c r="J17" s="44"/>
      <c r="K17" s="44">
        <f>SUM(K3:K16)</f>
        <v>375</v>
      </c>
      <c r="L17" s="44">
        <f>SUM(L3:L16)</f>
        <v>900</v>
      </c>
      <c r="M17" s="44">
        <f>SUM(M3:M16)</f>
        <v>380</v>
      </c>
      <c r="N17" s="44">
        <f>SUM(N3:N16)</f>
        <v>70</v>
      </c>
      <c r="O17" s="46">
        <f t="shared" si="0"/>
        <v>0.57099999999999995</v>
      </c>
    </row>
  </sheetData>
  <mergeCells count="1">
    <mergeCell ref="A1:O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9"/>
  <sheetViews>
    <sheetView showGridLines="0"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4.4" x14ac:dyDescent="0.3"/>
  <cols>
    <col min="1" max="1" width="54" customWidth="1"/>
    <col min="2" max="2" width="58" customWidth="1"/>
    <col min="3" max="3" width="22" customWidth="1"/>
    <col min="4" max="4" width="20" customWidth="1"/>
    <col min="5" max="5" width="46" customWidth="1"/>
    <col min="6" max="6" width="40" customWidth="1"/>
  </cols>
  <sheetData>
    <row r="1" spans="1:6" ht="25.5" customHeight="1" x14ac:dyDescent="0.3">
      <c r="A1" s="4" t="s">
        <v>732</v>
      </c>
      <c r="B1" s="4"/>
      <c r="C1" s="4"/>
      <c r="D1" s="4"/>
      <c r="E1" s="4"/>
      <c r="F1" s="4"/>
    </row>
    <row r="2" spans="1:6" ht="25.5" customHeight="1" x14ac:dyDescent="0.3">
      <c r="A2" s="2" t="s">
        <v>733</v>
      </c>
      <c r="B2" s="2"/>
      <c r="C2" s="2"/>
      <c r="D2" s="2"/>
      <c r="E2" s="2"/>
      <c r="F2" s="2"/>
    </row>
    <row r="3" spans="1:6" ht="30" customHeight="1" x14ac:dyDescent="0.3">
      <c r="A3" s="11" t="s">
        <v>734</v>
      </c>
      <c r="B3" s="11" t="s">
        <v>735</v>
      </c>
      <c r="C3" s="11" t="s">
        <v>736</v>
      </c>
      <c r="D3" s="11" t="s">
        <v>737</v>
      </c>
      <c r="E3" s="11" t="s">
        <v>738</v>
      </c>
      <c r="F3" s="11" t="s">
        <v>739</v>
      </c>
    </row>
    <row r="4" spans="1:6" ht="57.75" customHeight="1" x14ac:dyDescent="0.3">
      <c r="A4" s="47" t="s">
        <v>740</v>
      </c>
      <c r="B4" s="15" t="s">
        <v>741</v>
      </c>
      <c r="C4" s="12" t="s">
        <v>742</v>
      </c>
      <c r="D4" s="12" t="s">
        <v>743</v>
      </c>
      <c r="E4" s="15" t="s">
        <v>744</v>
      </c>
      <c r="F4" s="15" t="s">
        <v>745</v>
      </c>
    </row>
    <row r="5" spans="1:6" ht="57.75" customHeight="1" x14ac:dyDescent="0.3">
      <c r="A5" s="47" t="s">
        <v>746</v>
      </c>
      <c r="B5" s="15" t="s">
        <v>747</v>
      </c>
      <c r="C5" s="12" t="s">
        <v>748</v>
      </c>
      <c r="D5" s="12" t="s">
        <v>749</v>
      </c>
      <c r="E5" s="15" t="s">
        <v>750</v>
      </c>
      <c r="F5" s="15" t="s">
        <v>751</v>
      </c>
    </row>
    <row r="6" spans="1:6" ht="57.75" customHeight="1" x14ac:dyDescent="0.3">
      <c r="A6" s="47" t="s">
        <v>752</v>
      </c>
      <c r="B6" s="15" t="s">
        <v>753</v>
      </c>
      <c r="C6" s="12" t="s">
        <v>754</v>
      </c>
      <c r="D6" s="12" t="s">
        <v>755</v>
      </c>
      <c r="E6" s="15" t="s">
        <v>756</v>
      </c>
      <c r="F6" s="15" t="s">
        <v>757</v>
      </c>
    </row>
    <row r="7" spans="1:6" ht="57.75" customHeight="1" x14ac:dyDescent="0.3">
      <c r="A7" s="47" t="s">
        <v>758</v>
      </c>
      <c r="B7" s="15" t="s">
        <v>759</v>
      </c>
      <c r="C7" s="12" t="s">
        <v>760</v>
      </c>
      <c r="D7" s="12" t="s">
        <v>761</v>
      </c>
      <c r="E7" s="15" t="s">
        <v>762</v>
      </c>
      <c r="F7" s="15" t="s">
        <v>763</v>
      </c>
    </row>
    <row r="8" spans="1:6" ht="57.75" customHeight="1" x14ac:dyDescent="0.3">
      <c r="A8" s="47" t="s">
        <v>764</v>
      </c>
      <c r="B8" s="15" t="s">
        <v>765</v>
      </c>
      <c r="C8" s="12" t="s">
        <v>766</v>
      </c>
      <c r="D8" s="12" t="s">
        <v>767</v>
      </c>
      <c r="E8" s="15" t="s">
        <v>768</v>
      </c>
      <c r="F8" s="15" t="s">
        <v>769</v>
      </c>
    </row>
    <row r="9" spans="1:6" ht="57.75" customHeight="1" x14ac:dyDescent="0.3">
      <c r="A9" s="47" t="s">
        <v>770</v>
      </c>
      <c r="B9" s="15" t="s">
        <v>771</v>
      </c>
      <c r="C9" s="12" t="s">
        <v>772</v>
      </c>
      <c r="D9" s="12" t="s">
        <v>773</v>
      </c>
      <c r="E9" s="15" t="s">
        <v>774</v>
      </c>
      <c r="F9" s="15" t="s">
        <v>775</v>
      </c>
    </row>
    <row r="10" spans="1:6" ht="57.75" customHeight="1" x14ac:dyDescent="0.3">
      <c r="A10" s="47" t="s">
        <v>776</v>
      </c>
      <c r="B10" s="15" t="s">
        <v>777</v>
      </c>
      <c r="C10" s="12" t="s">
        <v>778</v>
      </c>
      <c r="D10" s="12" t="s">
        <v>767</v>
      </c>
      <c r="E10" s="15" t="s">
        <v>779</v>
      </c>
      <c r="F10" s="15" t="s">
        <v>780</v>
      </c>
    </row>
    <row r="11" spans="1:6" ht="57.75" customHeight="1" x14ac:dyDescent="0.3">
      <c r="A11" s="47" t="s">
        <v>781</v>
      </c>
      <c r="B11" s="15" t="s">
        <v>782</v>
      </c>
      <c r="C11" s="12" t="s">
        <v>783</v>
      </c>
      <c r="D11" s="12" t="s">
        <v>767</v>
      </c>
      <c r="E11" s="15" t="s">
        <v>784</v>
      </c>
      <c r="F11" s="15" t="s">
        <v>785</v>
      </c>
    </row>
    <row r="12" spans="1:6" ht="57.75" customHeight="1" x14ac:dyDescent="0.3">
      <c r="A12" s="47" t="s">
        <v>786</v>
      </c>
      <c r="B12" s="15" t="s">
        <v>787</v>
      </c>
      <c r="C12" s="12" t="s">
        <v>788</v>
      </c>
      <c r="D12" s="12" t="s">
        <v>789</v>
      </c>
      <c r="E12" s="15" t="s">
        <v>790</v>
      </c>
      <c r="F12" s="15" t="s">
        <v>791</v>
      </c>
    </row>
    <row r="13" spans="1:6" ht="57.75" customHeight="1" x14ac:dyDescent="0.3">
      <c r="A13" s="47" t="s">
        <v>792</v>
      </c>
      <c r="B13" s="15" t="s">
        <v>793</v>
      </c>
      <c r="C13" s="12" t="s">
        <v>794</v>
      </c>
      <c r="D13" s="12" t="s">
        <v>789</v>
      </c>
      <c r="E13" s="15" t="s">
        <v>795</v>
      </c>
      <c r="F13" s="15" t="s">
        <v>796</v>
      </c>
    </row>
    <row r="14" spans="1:6" ht="57.75" customHeight="1" x14ac:dyDescent="0.3">
      <c r="A14" s="47" t="s">
        <v>797</v>
      </c>
      <c r="B14" s="15" t="s">
        <v>798</v>
      </c>
      <c r="C14" s="12" t="s">
        <v>799</v>
      </c>
      <c r="D14" s="12" t="s">
        <v>789</v>
      </c>
      <c r="E14" s="15" t="s">
        <v>800</v>
      </c>
      <c r="F14" s="15" t="s">
        <v>801</v>
      </c>
    </row>
    <row r="15" spans="1:6" ht="57.75" customHeight="1" x14ac:dyDescent="0.3">
      <c r="A15" s="47" t="s">
        <v>802</v>
      </c>
      <c r="B15" s="15" t="s">
        <v>803</v>
      </c>
      <c r="C15" s="12" t="s">
        <v>804</v>
      </c>
      <c r="D15" s="12" t="s">
        <v>789</v>
      </c>
      <c r="E15" s="15" t="s">
        <v>805</v>
      </c>
      <c r="F15" s="15" t="s">
        <v>806</v>
      </c>
    </row>
    <row r="16" spans="1:6" ht="57.75" customHeight="1" x14ac:dyDescent="0.3">
      <c r="A16" s="47" t="s">
        <v>807</v>
      </c>
      <c r="B16" s="15" t="s">
        <v>808</v>
      </c>
      <c r="C16" s="12" t="s">
        <v>809</v>
      </c>
      <c r="D16" s="12" t="s">
        <v>761</v>
      </c>
      <c r="E16" s="15" t="s">
        <v>810</v>
      </c>
      <c r="F16" s="15" t="s">
        <v>811</v>
      </c>
    </row>
    <row r="17" spans="1:6" ht="57.75" customHeight="1" x14ac:dyDescent="0.3">
      <c r="A17" s="47" t="s">
        <v>812</v>
      </c>
      <c r="B17" s="15" t="s">
        <v>813</v>
      </c>
      <c r="C17" s="12" t="s">
        <v>814</v>
      </c>
      <c r="D17" s="12" t="s">
        <v>767</v>
      </c>
      <c r="E17" s="15" t="s">
        <v>815</v>
      </c>
      <c r="F17" s="15" t="s">
        <v>816</v>
      </c>
    </row>
    <row r="19" spans="1:6" ht="30" customHeight="1" x14ac:dyDescent="0.3">
      <c r="A19" s="1" t="s">
        <v>817</v>
      </c>
      <c r="B19" s="1"/>
      <c r="C19" s="1"/>
      <c r="D19" s="1"/>
      <c r="E19" s="1"/>
      <c r="F19" s="1"/>
    </row>
  </sheetData>
  <mergeCells count="3">
    <mergeCell ref="A1:F1"/>
    <mergeCell ref="A2:F2"/>
    <mergeCell ref="A19:F19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7"/>
  <sheetViews>
    <sheetView showGridLines="0" zoomScaleNormal="100" workbookViewId="0">
      <pane ySplit="2" topLeftCell="A3" activePane="bottomLeft" state="frozen"/>
      <selection pane="bottomLeft" activeCell="D3" sqref="D3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12" customWidth="1"/>
    <col min="4" max="4" width="50" customWidth="1"/>
    <col min="5" max="6" width="18" customWidth="1"/>
    <col min="7" max="7" width="14" customWidth="1"/>
    <col min="8" max="8" width="52" customWidth="1"/>
  </cols>
  <sheetData>
    <row r="1" spans="1:8" ht="25.5" customHeight="1" x14ac:dyDescent="0.3">
      <c r="A1" s="4" t="s">
        <v>818</v>
      </c>
      <c r="B1" s="4"/>
      <c r="C1" s="4"/>
      <c r="D1" s="4"/>
      <c r="E1" s="4"/>
      <c r="F1" s="4"/>
      <c r="G1" s="4"/>
      <c r="H1" s="4"/>
    </row>
    <row r="2" spans="1:8" ht="27.75" customHeight="1" x14ac:dyDescent="0.3">
      <c r="A2" s="11" t="s">
        <v>65</v>
      </c>
      <c r="B2" s="11" t="s">
        <v>66</v>
      </c>
      <c r="C2" s="11" t="s">
        <v>67</v>
      </c>
      <c r="D2" s="11" t="s">
        <v>661</v>
      </c>
      <c r="E2" s="11" t="s">
        <v>819</v>
      </c>
      <c r="F2" s="11" t="s">
        <v>820</v>
      </c>
      <c r="G2" s="11" t="s">
        <v>821</v>
      </c>
      <c r="H2" s="11" t="s">
        <v>822</v>
      </c>
    </row>
    <row r="3" spans="1:8" ht="30" customHeight="1" x14ac:dyDescent="0.3">
      <c r="A3" s="48">
        <v>2</v>
      </c>
      <c r="B3" s="48">
        <v>3</v>
      </c>
      <c r="C3" s="48" t="s">
        <v>82</v>
      </c>
      <c r="D3" s="49" t="s">
        <v>670</v>
      </c>
      <c r="E3" s="48" t="s">
        <v>23</v>
      </c>
      <c r="F3" s="50" t="s">
        <v>823</v>
      </c>
      <c r="G3" s="50"/>
      <c r="H3" s="51"/>
    </row>
    <row r="4" spans="1:8" ht="30" customHeight="1" x14ac:dyDescent="0.3">
      <c r="A4" s="48">
        <v>2</v>
      </c>
      <c r="B4" s="48">
        <v>4</v>
      </c>
      <c r="C4" s="48" t="s">
        <v>157</v>
      </c>
      <c r="D4" s="49" t="s">
        <v>674</v>
      </c>
      <c r="E4" s="48" t="s">
        <v>23</v>
      </c>
      <c r="F4" s="50" t="s">
        <v>823</v>
      </c>
      <c r="G4" s="50"/>
      <c r="H4" s="51"/>
    </row>
    <row r="5" spans="1:8" ht="30" customHeight="1" x14ac:dyDescent="0.3">
      <c r="A5" s="48">
        <v>3</v>
      </c>
      <c r="B5" s="48">
        <v>5</v>
      </c>
      <c r="C5" s="48" t="s">
        <v>196</v>
      </c>
      <c r="D5" s="49" t="s">
        <v>678</v>
      </c>
      <c r="E5" s="48" t="s">
        <v>680</v>
      </c>
      <c r="F5" s="50" t="s">
        <v>823</v>
      </c>
      <c r="G5" s="50"/>
      <c r="H5" s="51"/>
    </row>
    <row r="6" spans="1:8" ht="30" customHeight="1" x14ac:dyDescent="0.3">
      <c r="A6" s="48">
        <v>3</v>
      </c>
      <c r="B6" s="48">
        <v>6</v>
      </c>
      <c r="C6" s="48" t="s">
        <v>250</v>
      </c>
      <c r="D6" s="49" t="s">
        <v>683</v>
      </c>
      <c r="E6" s="48" t="s">
        <v>685</v>
      </c>
      <c r="F6" s="50" t="s">
        <v>823</v>
      </c>
      <c r="G6" s="50"/>
      <c r="H6" s="51"/>
    </row>
    <row r="7" spans="1:8" ht="30" customHeight="1" x14ac:dyDescent="0.3">
      <c r="A7" s="48">
        <v>4</v>
      </c>
      <c r="B7" s="48">
        <v>7</v>
      </c>
      <c r="C7" s="48" t="s">
        <v>289</v>
      </c>
      <c r="D7" s="49" t="s">
        <v>688</v>
      </c>
      <c r="E7" s="48" t="s">
        <v>365</v>
      </c>
      <c r="F7" s="50" t="s">
        <v>823</v>
      </c>
      <c r="G7" s="50"/>
      <c r="H7" s="51"/>
    </row>
    <row r="8" spans="1:8" ht="30" customHeight="1" x14ac:dyDescent="0.3">
      <c r="A8" s="48">
        <v>4</v>
      </c>
      <c r="B8" s="48">
        <v>8</v>
      </c>
      <c r="C8" s="48" t="s">
        <v>337</v>
      </c>
      <c r="D8" s="49" t="s">
        <v>691</v>
      </c>
      <c r="E8" s="48" t="s">
        <v>365</v>
      </c>
      <c r="F8" s="50" t="s">
        <v>823</v>
      </c>
      <c r="G8" s="50"/>
      <c r="H8" s="51"/>
    </row>
    <row r="9" spans="1:8" ht="30" customHeight="1" x14ac:dyDescent="0.3">
      <c r="A9" s="48">
        <v>5</v>
      </c>
      <c r="B9" s="48">
        <v>9</v>
      </c>
      <c r="C9" s="48" t="s">
        <v>377</v>
      </c>
      <c r="D9" s="49" t="s">
        <v>694</v>
      </c>
      <c r="E9" s="48" t="s">
        <v>696</v>
      </c>
      <c r="F9" s="50" t="s">
        <v>823</v>
      </c>
      <c r="G9" s="50"/>
      <c r="H9" s="51"/>
    </row>
    <row r="10" spans="1:8" ht="30" customHeight="1" x14ac:dyDescent="0.3">
      <c r="A10" s="48">
        <v>5</v>
      </c>
      <c r="B10" s="48">
        <v>10</v>
      </c>
      <c r="C10" s="48" t="s">
        <v>415</v>
      </c>
      <c r="D10" s="49" t="s">
        <v>699</v>
      </c>
      <c r="E10" s="48" t="s">
        <v>701</v>
      </c>
      <c r="F10" s="50" t="s">
        <v>823</v>
      </c>
      <c r="G10" s="50"/>
      <c r="H10" s="51"/>
    </row>
    <row r="11" spans="1:8" ht="30" customHeight="1" x14ac:dyDescent="0.3">
      <c r="A11" s="48">
        <v>6</v>
      </c>
      <c r="B11" s="48">
        <v>11</v>
      </c>
      <c r="C11" s="48" t="s">
        <v>447</v>
      </c>
      <c r="D11" s="49" t="s">
        <v>704</v>
      </c>
      <c r="E11" s="48" t="s">
        <v>467</v>
      </c>
      <c r="F11" s="50" t="s">
        <v>823</v>
      </c>
      <c r="G11" s="50"/>
      <c r="H11" s="51"/>
    </row>
    <row r="12" spans="1:8" ht="30" customHeight="1" x14ac:dyDescent="0.3">
      <c r="A12" s="48">
        <v>6</v>
      </c>
      <c r="B12" s="48">
        <v>12</v>
      </c>
      <c r="C12" s="48" t="s">
        <v>480</v>
      </c>
      <c r="D12" s="49" t="s">
        <v>708</v>
      </c>
      <c r="E12" s="48" t="s">
        <v>467</v>
      </c>
      <c r="F12" s="50" t="s">
        <v>823</v>
      </c>
      <c r="G12" s="50"/>
      <c r="H12" s="51"/>
    </row>
    <row r="13" spans="1:8" ht="30" customHeight="1" x14ac:dyDescent="0.3">
      <c r="A13" s="48">
        <v>7</v>
      </c>
      <c r="B13" s="48">
        <v>13</v>
      </c>
      <c r="C13" s="48" t="s">
        <v>512</v>
      </c>
      <c r="D13" s="49" t="s">
        <v>712</v>
      </c>
      <c r="E13" s="48" t="s">
        <v>31</v>
      </c>
      <c r="F13" s="50" t="s">
        <v>823</v>
      </c>
      <c r="G13" s="50"/>
      <c r="H13" s="51"/>
    </row>
    <row r="14" spans="1:8" ht="30" customHeight="1" x14ac:dyDescent="0.3">
      <c r="A14" s="48">
        <v>7</v>
      </c>
      <c r="B14" s="48">
        <v>14</v>
      </c>
      <c r="C14" s="48" t="s">
        <v>546</v>
      </c>
      <c r="D14" s="49" t="s">
        <v>716</v>
      </c>
      <c r="E14" s="48" t="s">
        <v>718</v>
      </c>
      <c r="F14" s="50" t="s">
        <v>823</v>
      </c>
      <c r="G14" s="50"/>
      <c r="H14" s="51"/>
    </row>
    <row r="15" spans="1:8" ht="30" customHeight="1" x14ac:dyDescent="0.3">
      <c r="A15" s="48">
        <v>8</v>
      </c>
      <c r="B15" s="48">
        <v>15</v>
      </c>
      <c r="C15" s="48" t="s">
        <v>584</v>
      </c>
      <c r="D15" s="49" t="s">
        <v>721</v>
      </c>
      <c r="E15" s="48" t="s">
        <v>723</v>
      </c>
      <c r="F15" s="50" t="s">
        <v>823</v>
      </c>
      <c r="G15" s="50"/>
      <c r="H15" s="51"/>
    </row>
    <row r="16" spans="1:8" ht="30" customHeight="1" x14ac:dyDescent="0.3">
      <c r="A16" s="48">
        <v>8</v>
      </c>
      <c r="B16" s="48">
        <v>16</v>
      </c>
      <c r="C16" s="48" t="s">
        <v>623</v>
      </c>
      <c r="D16" s="49" t="s">
        <v>726</v>
      </c>
      <c r="E16" s="48" t="s">
        <v>728</v>
      </c>
      <c r="F16" s="50" t="s">
        <v>823</v>
      </c>
      <c r="G16" s="50"/>
      <c r="H16" s="51"/>
    </row>
    <row r="17" spans="1:8" ht="21.75" customHeight="1" x14ac:dyDescent="0.3">
      <c r="A17" s="44"/>
      <c r="B17" s="44"/>
      <c r="C17" s="44"/>
      <c r="D17" s="45" t="s">
        <v>824</v>
      </c>
      <c r="E17" s="44"/>
      <c r="F17" s="46">
        <f>ROUND(COUNTIF(F3:F16,"Dictada completa")/14,4)</f>
        <v>0</v>
      </c>
      <c r="G17" s="44"/>
      <c r="H17" s="44"/>
    </row>
  </sheetData>
  <mergeCells count="1">
    <mergeCell ref="A1:H1"/>
  </mergeCells>
  <dataValidations count="1">
    <dataValidation type="list" allowBlank="1" sqref="F3:F16" xr:uid="{00000000-0002-0000-0400-000000000000}">
      <formula1>"Pendiente,Dictada completa,Dictada parcial,Reprogramada"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5" customWidth="1"/>
    <col min="2" max="2" width="9" customWidth="1"/>
    <col min="3" max="3" width="11" customWidth="1"/>
    <col min="4" max="4" width="6" customWidth="1"/>
    <col min="5" max="5" width="46" customWidth="1"/>
    <col min="6" max="6" width="26" customWidth="1"/>
    <col min="7" max="7" width="50" customWidth="1"/>
    <col min="8" max="8" width="20" customWidth="1"/>
    <col min="9" max="9" width="60" customWidth="1"/>
    <col min="10" max="10" width="44" customWidth="1"/>
  </cols>
  <sheetData>
    <row r="1" spans="1:10" ht="25.5" customHeight="1" x14ac:dyDescent="0.3">
      <c r="A1" s="4" t="s">
        <v>825</v>
      </c>
      <c r="B1" s="4"/>
      <c r="C1" s="4"/>
      <c r="D1" s="4"/>
      <c r="E1" s="4"/>
      <c r="F1" s="4"/>
      <c r="G1" s="4"/>
      <c r="H1" s="4"/>
      <c r="I1" s="4"/>
      <c r="J1" s="4"/>
    </row>
    <row r="2" spans="1:10" ht="31.5" customHeight="1" x14ac:dyDescent="0.3">
      <c r="A2" s="2" t="s">
        <v>826</v>
      </c>
      <c r="B2" s="2"/>
      <c r="C2" s="2"/>
      <c r="D2" s="2"/>
      <c r="E2" s="2"/>
      <c r="F2" s="2"/>
      <c r="G2" s="2"/>
      <c r="H2" s="2"/>
      <c r="I2" s="2"/>
      <c r="J2" s="2"/>
    </row>
    <row r="3" spans="1:10" ht="33.75" customHeight="1" x14ac:dyDescent="0.3">
      <c r="A3" s="11" t="s">
        <v>827</v>
      </c>
      <c r="B3" s="11" t="s">
        <v>66</v>
      </c>
      <c r="C3" s="11" t="s">
        <v>67</v>
      </c>
      <c r="D3" s="11" t="s">
        <v>71</v>
      </c>
      <c r="E3" s="11" t="s">
        <v>828</v>
      </c>
      <c r="F3" s="11" t="s">
        <v>829</v>
      </c>
      <c r="G3" s="11" t="s">
        <v>830</v>
      </c>
      <c r="H3" s="11" t="s">
        <v>831</v>
      </c>
      <c r="I3" s="11" t="s">
        <v>832</v>
      </c>
      <c r="J3" s="11" t="s">
        <v>833</v>
      </c>
    </row>
    <row r="4" spans="1:10" ht="63.75" customHeight="1" x14ac:dyDescent="0.3">
      <c r="A4" s="52" t="s">
        <v>834</v>
      </c>
      <c r="B4" s="52" t="s">
        <v>749</v>
      </c>
      <c r="C4" s="52" t="s">
        <v>196</v>
      </c>
      <c r="D4" s="52">
        <v>10</v>
      </c>
      <c r="E4" s="29" t="s">
        <v>835</v>
      </c>
      <c r="F4" s="28" t="s">
        <v>836</v>
      </c>
      <c r="G4" s="53" t="s">
        <v>837</v>
      </c>
      <c r="H4" s="54" t="s">
        <v>225</v>
      </c>
      <c r="I4" s="53" t="s">
        <v>838</v>
      </c>
      <c r="J4" s="53" t="s">
        <v>839</v>
      </c>
    </row>
    <row r="5" spans="1:10" ht="63.75" customHeight="1" x14ac:dyDescent="0.3">
      <c r="A5" s="52" t="s">
        <v>840</v>
      </c>
      <c r="B5" s="52" t="s">
        <v>841</v>
      </c>
      <c r="C5" s="52" t="s">
        <v>250</v>
      </c>
      <c r="D5" s="52">
        <v>15</v>
      </c>
      <c r="E5" s="29" t="s">
        <v>842</v>
      </c>
      <c r="F5" s="28" t="s">
        <v>843</v>
      </c>
      <c r="G5" s="53" t="s">
        <v>844</v>
      </c>
      <c r="H5" s="54" t="s">
        <v>845</v>
      </c>
      <c r="I5" s="53" t="s">
        <v>846</v>
      </c>
      <c r="J5" s="53" t="s">
        <v>847</v>
      </c>
    </row>
    <row r="6" spans="1:10" ht="63.75" customHeight="1" x14ac:dyDescent="0.3">
      <c r="A6" s="52" t="s">
        <v>848</v>
      </c>
      <c r="B6" s="52" t="s">
        <v>773</v>
      </c>
      <c r="C6" s="52" t="s">
        <v>546</v>
      </c>
      <c r="D6" s="52">
        <v>10</v>
      </c>
      <c r="E6" s="29" t="s">
        <v>849</v>
      </c>
      <c r="F6" s="28" t="s">
        <v>850</v>
      </c>
      <c r="G6" s="53" t="s">
        <v>851</v>
      </c>
      <c r="H6" s="54" t="s">
        <v>41</v>
      </c>
      <c r="I6" s="53" t="s">
        <v>852</v>
      </c>
      <c r="J6" s="53" t="s">
        <v>853</v>
      </c>
    </row>
    <row r="7" spans="1:10" ht="63.75" customHeight="1" x14ac:dyDescent="0.3">
      <c r="A7" s="52" t="s">
        <v>854</v>
      </c>
      <c r="B7" s="52" t="s">
        <v>855</v>
      </c>
      <c r="C7" s="52" t="s">
        <v>584</v>
      </c>
      <c r="D7" s="52">
        <v>15</v>
      </c>
      <c r="E7" s="29" t="s">
        <v>856</v>
      </c>
      <c r="F7" s="28" t="s">
        <v>857</v>
      </c>
      <c r="G7" s="53" t="s">
        <v>858</v>
      </c>
      <c r="H7" s="54" t="s">
        <v>35</v>
      </c>
      <c r="I7" s="53" t="s">
        <v>859</v>
      </c>
      <c r="J7" s="53" t="s">
        <v>860</v>
      </c>
    </row>
    <row r="8" spans="1:10" ht="63.75" customHeight="1" x14ac:dyDescent="0.3">
      <c r="A8" s="52" t="s">
        <v>861</v>
      </c>
      <c r="B8" s="52" t="s">
        <v>767</v>
      </c>
      <c r="C8" s="52" t="s">
        <v>623</v>
      </c>
      <c r="D8" s="52">
        <v>10</v>
      </c>
      <c r="E8" s="29" t="s">
        <v>862</v>
      </c>
      <c r="F8" s="28" t="s">
        <v>857</v>
      </c>
      <c r="G8" s="53" t="s">
        <v>863</v>
      </c>
      <c r="H8" s="54" t="s">
        <v>864</v>
      </c>
      <c r="I8" s="53" t="s">
        <v>865</v>
      </c>
      <c r="J8" s="53" t="s">
        <v>866</v>
      </c>
    </row>
    <row r="9" spans="1:10" ht="63.75" customHeight="1" x14ac:dyDescent="0.3">
      <c r="A9" s="52" t="s">
        <v>867</v>
      </c>
      <c r="B9" s="52" t="s">
        <v>767</v>
      </c>
      <c r="C9" s="52" t="s">
        <v>623</v>
      </c>
      <c r="D9" s="52">
        <v>10</v>
      </c>
      <c r="E9" s="29" t="s">
        <v>868</v>
      </c>
      <c r="F9" s="28" t="s">
        <v>869</v>
      </c>
      <c r="G9" s="53" t="s">
        <v>870</v>
      </c>
      <c r="H9" s="54" t="s">
        <v>639</v>
      </c>
      <c r="I9" s="53" t="s">
        <v>871</v>
      </c>
      <c r="J9" s="53" t="s">
        <v>872</v>
      </c>
    </row>
    <row r="10" spans="1:10" ht="21.75" customHeight="1" x14ac:dyDescent="0.3">
      <c r="A10" s="44"/>
      <c r="B10" s="44"/>
      <c r="C10" s="44"/>
      <c r="D10" s="44">
        <f>SUM(D4:D9)</f>
        <v>70</v>
      </c>
      <c r="E10" s="45" t="s">
        <v>873</v>
      </c>
      <c r="F10" s="44"/>
      <c r="G10" s="46">
        <f>ROUND(D10/1575,4)</f>
        <v>4.4400000000000002E-2</v>
      </c>
      <c r="H10" s="44"/>
      <c r="I10" s="44"/>
      <c r="J10" s="44"/>
    </row>
  </sheetData>
  <mergeCells count="2">
    <mergeCell ref="A1:J1"/>
    <mergeCell ref="A2:J2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1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12" customWidth="1"/>
    <col min="3" max="3" width="44" customWidth="1"/>
    <col min="4" max="5" width="58" customWidth="1"/>
    <col min="6" max="6" width="22" customWidth="1"/>
  </cols>
  <sheetData>
    <row r="1" spans="1:6" ht="25.5" customHeight="1" x14ac:dyDescent="0.3">
      <c r="A1" s="4" t="s">
        <v>874</v>
      </c>
      <c r="B1" s="4"/>
      <c r="C1" s="4"/>
      <c r="D1" s="4"/>
      <c r="E1" s="4"/>
      <c r="F1" s="4"/>
    </row>
    <row r="2" spans="1:6" ht="31.5" customHeight="1" x14ac:dyDescent="0.3">
      <c r="A2" s="2" t="s">
        <v>875</v>
      </c>
      <c r="B2" s="2"/>
      <c r="C2" s="2"/>
      <c r="D2" s="2"/>
      <c r="E2" s="2"/>
      <c r="F2" s="2"/>
    </row>
    <row r="3" spans="1:6" ht="30" customHeight="1" x14ac:dyDescent="0.3">
      <c r="A3" s="11" t="s">
        <v>876</v>
      </c>
      <c r="B3" s="11" t="s">
        <v>877</v>
      </c>
      <c r="C3" s="11" t="s">
        <v>878</v>
      </c>
      <c r="D3" s="11" t="s">
        <v>879</v>
      </c>
      <c r="E3" s="11" t="s">
        <v>880</v>
      </c>
      <c r="F3" s="11" t="s">
        <v>881</v>
      </c>
    </row>
    <row r="4" spans="1:6" ht="55.5" customHeight="1" x14ac:dyDescent="0.3">
      <c r="A4" s="55" t="s">
        <v>882</v>
      </c>
      <c r="B4" s="12" t="s">
        <v>883</v>
      </c>
      <c r="C4" s="15" t="s">
        <v>884</v>
      </c>
      <c r="D4" s="15" t="s">
        <v>885</v>
      </c>
      <c r="E4" s="15" t="s">
        <v>886</v>
      </c>
      <c r="F4" s="18" t="s">
        <v>568</v>
      </c>
    </row>
    <row r="5" spans="1:6" ht="55.5" customHeight="1" x14ac:dyDescent="0.3">
      <c r="A5" s="55" t="s">
        <v>887</v>
      </c>
      <c r="B5" s="12" t="s">
        <v>888</v>
      </c>
      <c r="C5" s="15" t="s">
        <v>889</v>
      </c>
      <c r="D5" s="15" t="s">
        <v>890</v>
      </c>
      <c r="E5" s="15" t="s">
        <v>891</v>
      </c>
      <c r="F5" s="18" t="s">
        <v>35</v>
      </c>
    </row>
    <row r="6" spans="1:6" ht="55.5" customHeight="1" x14ac:dyDescent="0.3">
      <c r="A6" s="55" t="s">
        <v>892</v>
      </c>
      <c r="B6" s="12" t="s">
        <v>893</v>
      </c>
      <c r="C6" s="15" t="s">
        <v>894</v>
      </c>
      <c r="D6" s="15" t="s">
        <v>895</v>
      </c>
      <c r="E6" s="15" t="s">
        <v>896</v>
      </c>
      <c r="F6" s="18" t="s">
        <v>39</v>
      </c>
    </row>
    <row r="7" spans="1:6" ht="55.5" customHeight="1" x14ac:dyDescent="0.3">
      <c r="A7" s="55" t="s">
        <v>897</v>
      </c>
      <c r="B7" s="12" t="s">
        <v>898</v>
      </c>
      <c r="C7" s="15" t="s">
        <v>899</v>
      </c>
      <c r="D7" s="15" t="s">
        <v>900</v>
      </c>
      <c r="E7" s="15" t="s">
        <v>901</v>
      </c>
      <c r="F7" s="18" t="s">
        <v>43</v>
      </c>
    </row>
    <row r="8" spans="1:6" ht="55.5" customHeight="1" x14ac:dyDescent="0.3">
      <c r="A8" s="55" t="s">
        <v>902</v>
      </c>
      <c r="B8" s="12" t="s">
        <v>903</v>
      </c>
      <c r="C8" s="15" t="s">
        <v>904</v>
      </c>
      <c r="D8" s="15" t="s">
        <v>905</v>
      </c>
      <c r="E8" s="15" t="s">
        <v>906</v>
      </c>
      <c r="F8" s="18" t="s">
        <v>41</v>
      </c>
    </row>
    <row r="9" spans="1:6" ht="55.5" customHeight="1" x14ac:dyDescent="0.3">
      <c r="A9" s="55" t="s">
        <v>907</v>
      </c>
      <c r="B9" s="12" t="s">
        <v>908</v>
      </c>
      <c r="C9" s="15" t="s">
        <v>909</v>
      </c>
      <c r="D9" s="15" t="s">
        <v>910</v>
      </c>
      <c r="E9" s="15" t="s">
        <v>911</v>
      </c>
      <c r="F9" s="18" t="s">
        <v>225</v>
      </c>
    </row>
    <row r="10" spans="1:6" ht="55.5" customHeight="1" x14ac:dyDescent="0.3">
      <c r="A10" s="55" t="s">
        <v>912</v>
      </c>
      <c r="B10" s="12" t="s">
        <v>913</v>
      </c>
      <c r="C10" s="15" t="s">
        <v>914</v>
      </c>
      <c r="D10" s="15" t="s">
        <v>915</v>
      </c>
      <c r="E10" s="15" t="s">
        <v>916</v>
      </c>
      <c r="F10" s="18" t="s">
        <v>917</v>
      </c>
    </row>
    <row r="11" spans="1:6" ht="55.5" customHeight="1" x14ac:dyDescent="0.3">
      <c r="A11" s="55" t="s">
        <v>918</v>
      </c>
      <c r="B11" s="12" t="s">
        <v>919</v>
      </c>
      <c r="C11" s="15" t="s">
        <v>920</v>
      </c>
      <c r="D11" s="15" t="s">
        <v>921</v>
      </c>
      <c r="E11" s="15" t="s">
        <v>922</v>
      </c>
      <c r="F11" s="18" t="s">
        <v>45</v>
      </c>
    </row>
  </sheetData>
  <mergeCells count="2">
    <mergeCell ref="A1:F1"/>
    <mergeCell ref="A2:F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PORTADA</vt:lpstr>
      <vt:lpstr>PLAN DETALLADO</vt:lpstr>
      <vt:lpstr>RESUMEN POR SESIÓN</vt:lpstr>
      <vt:lpstr>MAPA CURSO Y PROYECTO</vt:lpstr>
      <vt:lpstr>CONTROL DE AVANCE</vt:lpstr>
      <vt:lpstr>ADELANTOS PUNTUALES</vt:lpstr>
      <vt:lpstr>SEMANAS 9 A 16</vt:lpstr>
      <vt:lpstr>'PLAN DETALLADO'!Títulos_a_imprimir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2026-08-19T15:45:48Z</dcterms:created>
  <dcterms:modified xsi:type="dcterms:W3CDTF">2026-08-25T17:34:28Z</dcterms:modified>
  <dc:language>en-US</dc:language>
</cp:coreProperties>
</file>