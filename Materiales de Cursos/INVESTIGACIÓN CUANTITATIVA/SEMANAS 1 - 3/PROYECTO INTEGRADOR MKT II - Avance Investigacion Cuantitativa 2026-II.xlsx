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1. Alcance IC" sheetId="2" state="visible" r:id="rId4"/>
    <sheet name="2. Cronograma" sheetId="3" state="visible" r:id="rId5"/>
    <sheet name="3. Avance 1 (Sem 2)" sheetId="4" state="visible" r:id="rId6"/>
    <sheet name="4. Avance 2 (Sem 3)" sheetId="5" state="visible" r:id="rId7"/>
    <sheet name="5. Avance 3 (Sem 4)" sheetId="6" state="visible" r:id="rId8"/>
    <sheet name="6. Cuestionario" sheetId="7" state="visible" r:id="rId9"/>
    <sheet name="7. Plan de tabulación" sheetId="8" state="visible" r:id="rId10"/>
    <sheet name="8. Análisis resultados" sheetId="9" state="visible" r:id="rId11"/>
    <sheet name="9. Libro de códigos" sheetId="10" state="visible" r:id="rId12"/>
    <sheet name="10. Revisión Sem 5-16" sheetId="11" state="visible" r:id="rId13"/>
    <sheet name="11. Rúbricas" sheetId="12" state="visible" r:id="rId14"/>
    <sheet name="12. Checklist final"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<sst xmlns="http://schemas.openxmlformats.org/spreadsheetml/2006/main" count="2193" uniqueCount="1387">
  <si>
    <t xml:space="preserve">PROYECTO INTEGRADOR DE MARKETING — II SEMESTRE</t>
  </si>
  <si>
    <t xml:space="preserve">COMPONENTE: INVESTIGACIÓN CUANTITATIVA — Plan de avances, cuestionario y análisis de resultados</t>
  </si>
  <si>
    <t xml:space="preserve">Institución / Programa</t>
  </si>
  <si>
    <t xml:space="preserve">Programa de Estudios de Marketing</t>
  </si>
  <si>
    <t xml:space="preserve">Unidad didáctica</t>
  </si>
  <si>
    <t xml:space="preserve">Investigación Cuantitativa</t>
  </si>
  <si>
    <t xml:space="preserve">Docente</t>
  </si>
  <si>
    <t xml:space="preserve">Eduardo Luis Mamani Roque</t>
  </si>
  <si>
    <t xml:space="preserve">Período académico</t>
  </si>
  <si>
    <t xml:space="preserve">2026-II</t>
  </si>
  <si>
    <t xml:space="preserve">Proyecto integrador</t>
  </si>
  <si>
    <t xml:space="preserve">Proyecto Final MKT 2 — Innovación de producto con enfoque sostenible (II Ciclo)</t>
  </si>
  <si>
    <t xml:space="preserve">Unidad de competencia</t>
  </si>
  <si>
    <t xml:space="preserve">UC1: Analizar el mercado, de acuerdo a las variables del entorno del negocio, público objetivo y recursos disponibles.</t>
  </si>
  <si>
    <t xml:space="preserve">Equipos</t>
  </si>
  <si>
    <t xml:space="preserve">3 a 4 estudiantes</t>
  </si>
  <si>
    <t xml:space="preserve">Inicio de clases</t>
  </si>
  <si>
    <t xml:space="preserve">Semana 1: 18 y 19 de agosto de 2026 (2 sesiones semanales)</t>
  </si>
  <si>
    <t xml:space="preserve">PROPÓSITO DE ESTE LIBRO</t>
  </si>
  <si>
    <t xml:space="preserve">Este libro delimita y organiza EXCLUSIVAMENTE la parte del proyecto integrador que le corresponde a la unidad didáctica de Investigación Cuantitativa. Concentra en las semanas 2, 3 y 4 la construcción completa del cuestionario de investigación de mercado y el arranque del análisis de resultados, de modo que el trabajo de campo se ejecute temprano y el resto del semestre se destine a revisar, corregir y profesionalizar cada punto conforme avanzan las sesiones de clase. Los puntos del informe que pertenecen a otras unidades didácticas están identificados en la hoja «1. Alcance IC» bajo el rótulo NO INTERVENIR, para evitar la duplicidad de trabajo entre docentes.</t>
  </si>
  <si>
    <t xml:space="preserve">CONTENIDO DEL LIBRO</t>
  </si>
  <si>
    <t xml:space="preserve">Hoja</t>
  </si>
  <si>
    <t xml:space="preserve">Contenido</t>
  </si>
  <si>
    <t xml:space="preserve">Usuario principal</t>
  </si>
  <si>
    <t xml:space="preserve">Momento de uso</t>
  </si>
  <si>
    <t xml:space="preserve">1. Alcance IC</t>
  </si>
  <si>
    <t xml:space="preserve">Puntos del informe final que le competen a Investigación Cuantitativa y los que no.</t>
  </si>
  <si>
    <t xml:space="preserve">Docente y equipos</t>
  </si>
  <si>
    <t xml:space="preserve">Semana 2, al iniciar</t>
  </si>
  <si>
    <t xml:space="preserve">2. Cronograma</t>
  </si>
  <si>
    <t xml:space="preserve">Ruta de avances de la semana 2 a la 16: qué punto se avanza, entregable, evidencia e instrumento.</t>
  </si>
  <si>
    <t xml:space="preserve">Todo el semestre</t>
  </si>
  <si>
    <t xml:space="preserve">3. Avance 1 (Sem 2)</t>
  </si>
  <si>
    <t xml:space="preserve">Planteamiento del problema, preguntas, objetivos y población objetivo. Punto 2.2.1 (parte A).</t>
  </si>
  <si>
    <t xml:space="preserve">Semana 2</t>
  </si>
  <si>
    <t xml:space="preserve">4. Avance 2 (Sem 3)</t>
  </si>
  <si>
    <t xml:space="preserve">Matriz de operacionalización de variables, hipótesis y escalas. Punto 2.2.1 (parte B).</t>
  </si>
  <si>
    <t xml:space="preserve">Semana 3</t>
  </si>
  <si>
    <t xml:space="preserve">5. Avance 3 (Sem 4)</t>
  </si>
  <si>
    <t xml:space="preserve">Diseño muestral con calculadora de tamaño de muestra y cuotas. Punto 2.2.2.</t>
  </si>
  <si>
    <t xml:space="preserve">Semana 4</t>
  </si>
  <si>
    <t xml:space="preserve">6. Cuestionario</t>
  </si>
  <si>
    <t xml:space="preserve">Cuestionario modelo completo por módulos, con tipo de pregunta y escala. Punto 2.2.3 y Anexo A.2.</t>
  </si>
  <si>
    <t xml:space="preserve">Semana 4 (v1) y 6 (v2)</t>
  </si>
  <si>
    <t xml:space="preserve">7. Plan de tabulación</t>
  </si>
  <si>
    <t xml:space="preserve">Qué análisis corresponde a cada pregunta y en qué punto del informe se reporta.</t>
  </si>
  <si>
    <t xml:space="preserve">Semana 4 en adelante</t>
  </si>
  <si>
    <t xml:space="preserve">8. Análisis resultados</t>
  </si>
  <si>
    <t xml:space="preserve">Estructura del punto 2.3, plantilla de redacción de hallazgos y ficha de hallazgo.</t>
  </si>
  <si>
    <t xml:space="preserve">Semana 4 a 14</t>
  </si>
  <si>
    <t xml:space="preserve">9. Libro de códigos</t>
  </si>
  <si>
    <t xml:space="preserve">Nombres de variable, códigos y etiquetas para vaciar la base de datos.</t>
  </si>
  <si>
    <t xml:space="preserve">Semana 4 a 7</t>
  </si>
  <si>
    <t xml:space="preserve">10. Revisión Sem 5-16</t>
  </si>
  <si>
    <t xml:space="preserve">Qué se reabre y se profesionaliza cada semana conforme avanza la clase.</t>
  </si>
  <si>
    <t xml:space="preserve">Semana 5 a 16</t>
  </si>
  <si>
    <t xml:space="preserve">11. Rúbricas</t>
  </si>
  <si>
    <t xml:space="preserve">Rúbricas de los tres avances y del componente cuantitativo completo.</t>
  </si>
  <si>
    <t xml:space="preserve">En cada entrega</t>
  </si>
  <si>
    <t xml:space="preserve">12. Checklist final</t>
  </si>
  <si>
    <t xml:space="preserve">Verificación punto por punto antes de la entrega del informe.</t>
  </si>
  <si>
    <t xml:space="preserve">Semana 15</t>
  </si>
  <si>
    <t xml:space="preserve">LEYENDA DE COLORES</t>
  </si>
  <si>
    <t xml:space="preserve">Celda amarilla</t>
  </si>
  <si>
    <t xml:space="preserve">La completa el equipo de estudiantes.</t>
  </si>
  <si>
    <t xml:space="preserve">Celda verde</t>
  </si>
  <si>
    <t xml:space="preserve">Ejemplo resuelto de referencia. No se modifica.</t>
  </si>
  <si>
    <t xml:space="preserve">Celda naranja</t>
  </si>
  <si>
    <t xml:space="preserve">Punto que NO le compete a Investigación Cuantitativa.</t>
  </si>
  <si>
    <t xml:space="preserve">Celda gris</t>
  </si>
  <si>
    <t xml:space="preserve">Dato fijo o calculado automáticamente.</t>
  </si>
  <si>
    <t xml:space="preserve">PUNTOS DEL INFORME FINAL QUE LE COMPETEN A INVESTIGACIÓN CUANTITATIVA</t>
  </si>
  <si>
    <t xml:space="preserve">Base: «Proyecto Final MKT 2 – II Ciclo», numeral 6 (Estructura del Informe Final). Responsabilidad EXCLUSIVA = lo redacta y sustenta el equipo bajo la asesoría del docente de Investigación Cuantitativa. COMPARTIDA = Investigación Cuantitativa aporta el instrumento y la lectura comercial; la otra unidad didáctica aporta el cálculo o el enfoque indicado.</t>
  </si>
  <si>
    <t xml:space="preserve">A. PUNTOS BAJO RESPONSABILIDAD DE INVESTIGACIÓN CUANTITATIVA</t>
  </si>
  <si>
    <t xml:space="preserve">Código</t>
  </si>
  <si>
    <t xml:space="preserve">Punto del informe final</t>
  </si>
  <si>
    <t xml:space="preserve">Responsabilidad</t>
  </si>
  <si>
    <t xml:space="preserve">Comparte con</t>
  </si>
  <si>
    <t xml:space="preserve">Qué debe producir el equipo (evidencia cuantitativa)</t>
  </si>
  <si>
    <t xml:space="preserve">Semana de cierre</t>
  </si>
  <si>
    <t xml:space="preserve">Avance del proyecto</t>
  </si>
  <si>
    <t xml:space="preserve">2.2</t>
  </si>
  <si>
    <t xml:space="preserve">Método de investigación (apartado introductorio)</t>
  </si>
  <si>
    <t xml:space="preserve">Compartida</t>
  </si>
  <si>
    <t xml:space="preserve">Investigación Cualitativa</t>
  </si>
  <si>
    <t xml:space="preserve">Redacción del enfoque mixto: qué aporta el componente cuantitativo, tipo de investigación (descriptiva / correlacional) y diseño (no experimental, transversal).</t>
  </si>
  <si>
    <t xml:space="preserve">Sem 3</t>
  </si>
  <si>
    <t xml:space="preserve">Avance 2</t>
  </si>
  <si>
    <t xml:space="preserve">2.2.1</t>
  </si>
  <si>
    <t xml:space="preserve">Planteamiento del problema, variables (dependientes e independientes) e hipótesis</t>
  </si>
  <si>
    <t xml:space="preserve">EXCLUSIVA</t>
  </si>
  <si>
    <t xml:space="preserve">—</t>
  </si>
  <si>
    <t xml:space="preserve">Problema de investigación, preguntas de investigación, objetivo general y específicos, justificación, alcance y limitaciones; matriz de operacionalización de variables; hipótesis general y específicas.</t>
  </si>
  <si>
    <t xml:space="preserve">Sem 2 y 3</t>
  </si>
  <si>
    <t xml:space="preserve">Avance 1 y 2</t>
  </si>
  <si>
    <t xml:space="preserve">2.2.2</t>
  </si>
  <si>
    <t xml:space="preserve">Técnicas de muestreo y determinación del tamaño de la muestra</t>
  </si>
  <si>
    <t xml:space="preserve">Estadística Aplicada</t>
  </si>
  <si>
    <t xml:space="preserve">Definición y dimensionamiento de la población, tipo de muestreo con justificación, cálculo del tamaño de muestra con fórmula y parámetros, distribución por cuotas y criterios de inclusión y exclusión.</t>
  </si>
  <si>
    <t xml:space="preserve">Sem 4</t>
  </si>
  <si>
    <t xml:space="preserve">Avance 3</t>
  </si>
  <si>
    <t xml:space="preserve">2.2.3</t>
  </si>
  <si>
    <t xml:space="preserve">Diseño de instrumentos cuantitativos: cuestionario, tipos de preguntas y escala de Likert</t>
  </si>
  <si>
    <t xml:space="preserve">Cuestionario completo estructurado por módulos, con filtros, cuerpo y demográficos; justificación de cada tipo de pregunta y de las escalas empleadas; versión digitalizada y reporte de la prueba piloto.</t>
  </si>
  <si>
    <t xml:space="preserve">Sem 4 (v1) y Sem 6 (v2 final)</t>
  </si>
  <si>
    <t xml:space="preserve">Avance 3 y 4</t>
  </si>
  <si>
    <t xml:space="preserve">2.3</t>
  </si>
  <si>
    <t xml:space="preserve">Resultados de la investigación (apartado introductorio)</t>
  </si>
  <si>
    <t xml:space="preserve">Presentación de la ficha técnica del estudio: población, muestra alcanzada, técnica, instrumento, fechas y lugar del trabajo de campo.</t>
  </si>
  <si>
    <t xml:space="preserve">Sem 5</t>
  </si>
  <si>
    <t xml:space="preserve">Avance 4</t>
  </si>
  <si>
    <t xml:space="preserve">2.3.1</t>
  </si>
  <si>
    <t xml:space="preserve">Procesamiento y organización de datos mediante software especializado</t>
  </si>
  <si>
    <t xml:space="preserve">Base de datos codificada y depurada en Excel; libro de códigos; reporte de auditoría de campo (encuestas válidas, anuladas y motivos).</t>
  </si>
  <si>
    <t xml:space="preserve">Sem 7</t>
  </si>
  <si>
    <t xml:space="preserve">Avance 5</t>
  </si>
  <si>
    <t xml:space="preserve">2.3.2</t>
  </si>
  <si>
    <t xml:space="preserve">Análisis con estadística descriptiva (tendencia central y dispersión)</t>
  </si>
  <si>
    <t xml:space="preserve">Tablas de frecuencia por pregunta y tablas de contingencia; el componente cuantitativo aporta la interpretación comercial de cada tabla.</t>
  </si>
  <si>
    <t xml:space="preserve">Sem 8</t>
  </si>
  <si>
    <t xml:space="preserve">2.3.3</t>
  </si>
  <si>
    <t xml:space="preserve">Gráficos, reportes, intervalos de confianza y pruebas de hipótesis</t>
  </si>
  <si>
    <t xml:space="preserve">Contraste de las hipótesis formuladas en el Avance 2 con la prueba que corresponda; redacción de la decisión estadística y su consecuencia comercial.</t>
  </si>
  <si>
    <t xml:space="preserve">Sem 10</t>
  </si>
  <si>
    <t xml:space="preserve">Avance 6</t>
  </si>
  <si>
    <t xml:space="preserve">2.4</t>
  </si>
  <si>
    <t xml:space="preserve">Determinación del público objetivo</t>
  </si>
  <si>
    <t xml:space="preserve">Perfil del público objetivo construido con los datos de la encuesta, no con supuestos: descripción demográfica, geográfica, conductual y actitudinal, con el dato que respalda cada rasgo.</t>
  </si>
  <si>
    <t xml:space="preserve">Sem 14</t>
  </si>
  <si>
    <t xml:space="preserve">Avance 7</t>
  </si>
  <si>
    <t xml:space="preserve">2.4.1</t>
  </si>
  <si>
    <t xml:space="preserve">Estudio de segmentación, hábitos y actitudes del consumidor</t>
  </si>
  <si>
    <t xml:space="preserve">Módulo U&amp;A del cuestionario y su análisis: frecuencia, lugar y momento de compra, gasto promedio, canal, motivos de elección y actitudes hacia la categoría.</t>
  </si>
  <si>
    <t xml:space="preserve">Sem 11 y 14</t>
  </si>
  <si>
    <t xml:space="preserve">2.5.1</t>
  </si>
  <si>
    <t xml:space="preserve">Estudio de imagen y posicionamiento de marca actual</t>
  </si>
  <si>
    <t xml:space="preserve">Módulo de imagen del cuestionario y su análisis: recordación espontánea y asistida, atributos asociados por marca, mapa de posicionamiento y marca preferida.</t>
  </si>
  <si>
    <t xml:space="preserve">Sem 13</t>
  </si>
  <si>
    <t xml:space="preserve">Avance 8</t>
  </si>
  <si>
    <t xml:space="preserve">2.6.1</t>
  </si>
  <si>
    <t xml:space="preserve">Estudio del producto: percepción, uso y satisfacción del cliente</t>
  </si>
  <si>
    <t xml:space="preserve">Módulo de producto del cuestionario y su análisis: evaluación de atributos en escala de Likert, satisfacción global, intención de compra y disposición a pagar.</t>
  </si>
  <si>
    <t xml:space="preserve">Sem 12</t>
  </si>
  <si>
    <t xml:space="preserve">A.2</t>
  </si>
  <si>
    <t xml:space="preserve">Anexo: instrumentos de recolección de datos (cuestionario aplicado)</t>
  </si>
  <si>
    <t xml:space="preserve">Inv. Cualitativa (comparte el anexo)</t>
  </si>
  <si>
    <t xml:space="preserve">Cuestionario final en su versión aplicada, ficha técnica del instrumento, evidencia de la validación por juicio de experto y capturas del formulario digital.</t>
  </si>
  <si>
    <t xml:space="preserve">Sem 15</t>
  </si>
  <si>
    <t xml:space="preserve">Cierre</t>
  </si>
  <si>
    <t xml:space="preserve">A.3</t>
  </si>
  <si>
    <t xml:space="preserve">Anexo: bases de datos y tablas de salida del software estadístico</t>
  </si>
  <si>
    <t xml:space="preserve">Base de datos completa, libro de códigos y salidas del software; el componente cuantitativo verifica la trazabilidad entre pregunta, variable y tabla.</t>
  </si>
  <si>
    <t xml:space="preserve">B. PUNTOS QUE NO LE COMPETEN A INVESTIGACIÓN CUANTITATIVA — NO INTERVENIR</t>
  </si>
  <si>
    <t xml:space="preserve">Unidad didáctica a cargo</t>
  </si>
  <si>
    <t xml:space="preserve">Relación con el componente cuantitativo</t>
  </si>
  <si>
    <t xml:space="preserve">1.1</t>
  </si>
  <si>
    <t xml:space="preserve">Selección y justificación del tema a desarrollar</t>
  </si>
  <si>
    <t xml:space="preserve">No compete</t>
  </si>
  <si>
    <t xml:space="preserve">Creatividad Comercial</t>
  </si>
  <si>
    <t xml:space="preserve">Solo se toma como insumo: el tema elegido define la categoría y el público que se investigará.</t>
  </si>
  <si>
    <t xml:space="preserve">1.3.1 / 1.3.2</t>
  </si>
  <si>
    <t xml:space="preserve">Sostenibilidad, servicios ecosistémicos y normativa ambiental</t>
  </si>
  <si>
    <t xml:space="preserve">Cultura Ambiental</t>
  </si>
  <si>
    <t xml:space="preserve">Solo se toma como insumo para redactar el módulo de sostenibilidad del cuestionario.</t>
  </si>
  <si>
    <t xml:space="preserve">1.3.3</t>
  </si>
  <si>
    <t xml:space="preserve">Fundamentos de identificación y solución de problemas</t>
  </si>
  <si>
    <t xml:space="preserve">Solución de Problemas</t>
  </si>
  <si>
    <t xml:space="preserve">2.1 / 2.1.1 / 2.1.2</t>
  </si>
  <si>
    <t xml:space="preserve">Problemática comercial: FODA, Ishikawa y 5 porqués</t>
  </si>
  <si>
    <t xml:space="preserve">El diagnóstico de causas alimenta el planteamiento del problema de investigación, pero no lo redacta el componente cuantitativo.</t>
  </si>
  <si>
    <t xml:space="preserve">2.2.4</t>
  </si>
  <si>
    <t xml:space="preserve">Diseño de instrumentos cualitativos: entrevistas y focus group</t>
  </si>
  <si>
    <t xml:space="preserve">Los hallazgos cualitativos ayudan a redactar las alternativas de respuesta del cuestionario.</t>
  </si>
  <si>
    <t xml:space="preserve">2.3.4</t>
  </si>
  <si>
    <t xml:space="preserve">Sistematización de hallazgos cualitativos e insights</t>
  </si>
  <si>
    <t xml:space="preserve">2.5.2</t>
  </si>
  <si>
    <t xml:space="preserve">Creación de la propuesta de valor diferenciada</t>
  </si>
  <si>
    <t xml:space="preserve">Se sustenta en los resultados del estudio de posicionamiento (2.5.1).</t>
  </si>
  <si>
    <t xml:space="preserve">2.6.2</t>
  </si>
  <si>
    <t xml:space="preserve">Evaluación del impacto ambiental del producto actual</t>
  </si>
  <si>
    <t xml:space="preserve">3.1 a 3.3</t>
  </si>
  <si>
    <t xml:space="preserve">Capítulo 3 completo: estrategia, sostenibilidad y viabilidad</t>
  </si>
  <si>
    <t xml:space="preserve">Creatividad Comercial / Cultura Ambiental / Solución de Problemas / Estadística</t>
  </si>
  <si>
    <t xml:space="preserve">El componente cuantitativo solo entrega la evidencia que sustenta las decisiones del capítulo 3.</t>
  </si>
  <si>
    <t xml:space="preserve">RUTA DE AVANCES DEL COMPONENTE CUANTITATIVO — SEMANAS 2 A 16</t>
  </si>
  <si>
    <t xml:space="preserve">Criterio de diseño: el cuestionario se construye y se aplica entre las semanas 2 y 4 para disponer de datos reales desde la semana 5. De la semana 5 en adelante ya no se produce material nuevo desde cero: se revisa, se corrige y se profesionaliza lo construido, conforme cada sesión de clase aporta la técnica correspondiente.</t>
  </si>
  <si>
    <t xml:space="preserve">Semana</t>
  </si>
  <si>
    <t xml:space="preserve">Fechas 2026</t>
  </si>
  <si>
    <t xml:space="preserve">Tema de la sesión de clase</t>
  </si>
  <si>
    <t xml:space="preserve">Punto del informe que avanza</t>
  </si>
  <si>
    <t xml:space="preserve">Entregable del equipo</t>
  </si>
  <si>
    <t xml:space="preserve">Evidencia que se archiva</t>
  </si>
  <si>
    <t xml:space="preserve">Instrumento de evaluación</t>
  </si>
  <si>
    <t xml:space="preserve">Peso sugerido</t>
  </si>
  <si>
    <t xml:space="preserve">Estado</t>
  </si>
  <si>
    <t xml:space="preserve">Sem 2</t>
  </si>
  <si>
    <t xml:space="preserve">25 y 26 ago</t>
  </si>
  <si>
    <t xml:space="preserve">Planteamiento de la investigación cuantitativa: formulación del problema y objetivos</t>
  </si>
  <si>
    <t xml:space="preserve">2.2 y 2.2.1 (parte A)</t>
  </si>
  <si>
    <t xml:space="preserve">AVANCE 1. Ficha de planteamiento: problema de investigación, preguntas, objetivo general y específicos, justificación, alcance, limitaciones y dimensionamiento de la población objetivo. Además, matriz «qué necesito saber / para qué decisión», que es el esqueleto del futuro cuestionario.</t>
  </si>
  <si>
    <t xml:space="preserve">Hoja «3. Avance 1» completada e impresa, y archivo digital del equipo</t>
  </si>
  <si>
    <t xml:space="preserve">Rúbrica de formulación del problema y objetivos</t>
  </si>
  <si>
    <t xml:space="preserve">10%</t>
  </si>
  <si>
    <t xml:space="preserve">Pendiente</t>
  </si>
  <si>
    <t xml:space="preserve">1 y 2 set</t>
  </si>
  <si>
    <t xml:space="preserve">Variables, hipótesis y escalas de medición</t>
  </si>
  <si>
    <t xml:space="preserve">2.2.1 (parte B)</t>
  </si>
  <si>
    <t xml:space="preserve">AVANCE 2. Matriz de operacionalización de variables (dependiente e independientes, dimensiones, indicadores, nivel de medición) e hipótesis general y específicas. De cada indicador se deriva al menos una pregunta: se entrega el banco de preguntas preliminar.</t>
  </si>
  <si>
    <t xml:space="preserve">Hoja «4. Avance 2» completada, con el banco de preguntas numerado</t>
  </si>
  <si>
    <t xml:space="preserve">Rúbrica de la matriz de operacionalización e hipótesis</t>
  </si>
  <si>
    <t xml:space="preserve">8 y 9 set</t>
  </si>
  <si>
    <t xml:space="preserve">Técnicas de muestreo y tamaño de muestra (laboratorio en Excel)</t>
  </si>
  <si>
    <t xml:space="preserve">2.2.2 y 2.2.3</t>
  </si>
  <si>
    <t xml:space="preserve">AVANCE 3. (a) Diseño muestral con el cálculo del tamaño de muestra y las cuotas. (b) CUESTIONARIO COMPLETO versión 1, redactado y digitalizado en formulario en línea. (c) Prueba piloto con 10 encuestados y reporte de ajustes. (d) Inicio del trabajo de campo.</t>
  </si>
  <si>
    <t xml:space="preserve">Hoja «5. Avance 3», enlace del formulario digital y reporte del piloto</t>
  </si>
  <si>
    <t xml:space="preserve">Rúbrica de justificación del diseño muestral y rúbrica de diseño del cuestionario</t>
  </si>
  <si>
    <t xml:space="preserve">20%</t>
  </si>
  <si>
    <t xml:space="preserve">15 y 16 set</t>
  </si>
  <si>
    <t xml:space="preserve">La encuesta como técnica de recolección: tipos y canales</t>
  </si>
  <si>
    <t xml:space="preserve">2.2.3 (justificación del canal) y 2.3</t>
  </si>
  <si>
    <t xml:space="preserve">Justificación técnica del canal de aplicación elegido y ficha técnica del estudio. Control de campo: seguimiento del avance de encuestas por cuota. Cierre del trabajo de campo.</t>
  </si>
  <si>
    <t xml:space="preserve">Reporte de avance de campo con el conteo por cuota</t>
  </si>
  <si>
    <t xml:space="preserve">Rúbrica de la matriz comparativa de tipos de encuesta</t>
  </si>
  <si>
    <t xml:space="preserve">5%</t>
  </si>
  <si>
    <t xml:space="preserve">Sem 6</t>
  </si>
  <si>
    <t xml:space="preserve">22 y 23 set</t>
  </si>
  <si>
    <t xml:space="preserve">Diseño y estructura del cuestionario</t>
  </si>
  <si>
    <t xml:space="preserve">2.2.3 (versión final) y Anexo A.2</t>
  </si>
  <si>
    <t xml:space="preserve">AVANCE 4. Cuestionario versión 2 profesionalizada: revisión de sesgos, redacción, orden de módulos, escalas y consistencia con los indicadores. Esta es la versión que entra al Anexo A.2 del informe.</t>
  </si>
  <si>
    <t xml:space="preserve">Cuadro comparativo v1 frente a v2, con los cambios justificados</t>
  </si>
  <si>
    <t xml:space="preserve">Rúbrica de diseño del cuestionario</t>
  </si>
  <si>
    <t xml:space="preserve">29 y 30 set</t>
  </si>
  <si>
    <t xml:space="preserve">Procesamiento de datos en Excel: limpieza y codificación</t>
  </si>
  <si>
    <t xml:space="preserve">AVANCE 5 (a). Base de datos depurada y codificada según el libro de códigos; auditoría de campo con el registro de encuestas válidas, incompletas y anuladas.</t>
  </si>
  <si>
    <t xml:space="preserve">Archivo .xlsx de la base depurada y hoja «9. Libro de códigos»</t>
  </si>
  <si>
    <t xml:space="preserve">Lista de cotejo de auditoría de la base de datos</t>
  </si>
  <si>
    <t xml:space="preserve">6 y 7 oct</t>
  </si>
  <si>
    <t xml:space="preserve">Análisis descriptivo y visualización en Excel</t>
  </si>
  <si>
    <t xml:space="preserve">AVANCE 5 (b). Tabulación univariante y bivariante de todo el cuestionario, con gráficos. Redacción de la lectura comercial de cada tabla. Coincide con la Evaluación Permanente 1.</t>
  </si>
  <si>
    <t xml:space="preserve">Libro de tablas y gráficos, más el borrador redactado del punto 2.3.2</t>
  </si>
  <si>
    <t xml:space="preserve">Práctica calificada en Excel (EP1)</t>
  </si>
  <si>
    <t xml:space="preserve">Sem 9</t>
  </si>
  <si>
    <t xml:space="preserve">13 y 14 oct</t>
  </si>
  <si>
    <t xml:space="preserve">Gestión de la base de datos en Jamovi</t>
  </si>
  <si>
    <t xml:space="preserve">2.3.1 (verificación)</t>
  </si>
  <si>
    <t xml:space="preserve">Migración de la base a Jamovi, verificación de la codificación y de los niveles de medición declarados en el Avance 2.</t>
  </si>
  <si>
    <t xml:space="preserve">Archivo .omv y captura de la vista de variables</t>
  </si>
  <si>
    <t xml:space="preserve">Lista de cotejo de importación y verificación</t>
  </si>
  <si>
    <t xml:space="preserve">20 y 21 oct</t>
  </si>
  <si>
    <t xml:space="preserve">Inferencia estadística y contraste de hipótesis</t>
  </si>
  <si>
    <t xml:space="preserve">AVANCE 6. Contraste de las hipótesis formuladas en la semana 3, con la prueba que corresponda a cada una; intervalos de confianza y redacción de la decisión estadística con su consecuencia comercial.</t>
  </si>
  <si>
    <t xml:space="preserve">Salidas del software y cuadro resumen de hipótesis contrastadas</t>
  </si>
  <si>
    <t xml:space="preserve">Rúbrica de aplicación e interpretación de la prueba</t>
  </si>
  <si>
    <t xml:space="preserve">Sem 11</t>
  </si>
  <si>
    <t xml:space="preserve">27 y 28 oct</t>
  </si>
  <si>
    <t xml:space="preserve">Estudio de hábitos y actitudes (U&amp;A)</t>
  </si>
  <si>
    <t xml:space="preserve">AVANCE 7 (a). Revisión y profesionalización del módulo U&amp;A: se contrasta lo preguntado con el estándar de un estudio U&amp;A y se redacta el punto 2.4.1 con los datos ya recogidos.</t>
  </si>
  <si>
    <t xml:space="preserve">Redacción del punto 2.4.1 con sus tablas</t>
  </si>
  <si>
    <t xml:space="preserve">Rúbrica del módulo U&amp;A y del diseño muestral asociado</t>
  </si>
  <si>
    <t xml:space="preserve">3 y 4 nov</t>
  </si>
  <si>
    <t xml:space="preserve">Estudio de productos: prueba de concepto y de producto</t>
  </si>
  <si>
    <t xml:space="preserve">AVANCE 8 (a). Revisión del módulo de producto y redacción del punto 2.6.1: percepción, uso, satisfacción e intención de compra del producto actual y del concepto innovador.</t>
  </si>
  <si>
    <t xml:space="preserve">Redacción del punto 2.6.1 con sus tablas</t>
  </si>
  <si>
    <t xml:space="preserve">Rúbrica de diseño del instrumento de prueba de producto</t>
  </si>
  <si>
    <t xml:space="preserve">10 y 11 nov</t>
  </si>
  <si>
    <t xml:space="preserve">Estudio de imagen y posicionamiento</t>
  </si>
  <si>
    <t xml:space="preserve">AVANCE 8 (b). Revisión del módulo de imagen y redacción del punto 2.5.1: recordación, atributos por marca y mapa de posicionamiento frente a la competencia.</t>
  </si>
  <si>
    <t xml:space="preserve">Redacción del punto 2.5.1 con el mapa de posicionamiento</t>
  </si>
  <si>
    <t xml:space="preserve">Rúbrica del módulo de imagen y posicionamiento</t>
  </si>
  <si>
    <t xml:space="preserve">17 y 18 nov</t>
  </si>
  <si>
    <t xml:space="preserve">Segmentación de mercado y satisfacción del cliente</t>
  </si>
  <si>
    <t xml:space="preserve">2.4 y cierre de 2.4.1 y 2.6.1</t>
  </si>
  <si>
    <t xml:space="preserve">AVANCE 7 (b). Perfil definitivo del público objetivo construido con los datos de la encuesta, con el dato que respalda cada rasgo del perfil.</t>
  </si>
  <si>
    <t xml:space="preserve">Redacción del punto 2.4 con el perfil sustentado</t>
  </si>
  <si>
    <t xml:space="preserve">Rúbrica del módulo de segmentación y satisfacción</t>
  </si>
  <si>
    <t xml:space="preserve">24 y 25 nov</t>
  </si>
  <si>
    <t xml:space="preserve">Presentación del proyecto final</t>
  </si>
  <si>
    <t xml:space="preserve">Todos los puntos IC y anexos A.2 y A.3</t>
  </si>
  <si>
    <t xml:space="preserve">ENTREGA FINAL del componente cuantitativo: apartados 2.2.1, 2.2.2, 2.2.3, 2.3, 2.4, 2.5.1 y 2.6.1 redactados en formato APA 7, más los anexos. Sustentación de la parte metodológica.</t>
  </si>
  <si>
    <t xml:space="preserve">Informe integrado y presentación de sustentación</t>
  </si>
  <si>
    <t xml:space="preserve">Rúbrica del informe escrito bajo normas APA</t>
  </si>
  <si>
    <t xml:space="preserve">15%</t>
  </si>
  <si>
    <t xml:space="preserve">Sem 16</t>
  </si>
  <si>
    <t xml:space="preserve">1 y 2 dic</t>
  </si>
  <si>
    <t xml:space="preserve">Evaluación final y cierre</t>
  </si>
  <si>
    <t xml:space="preserve">Evaluación teórico-práctica de integración. Levantamiento de las observaciones del jurado sobre la metodología.</t>
  </si>
  <si>
    <t xml:space="preserve">Informe con las observaciones levantadas</t>
  </si>
  <si>
    <t xml:space="preserve">Prueba teórico-práctica de integración</t>
  </si>
  <si>
    <t xml:space="preserve">AVANCE 1 — SEMANA 2 · PLANTEAMIENTO DE LA INVESTIGACIÓN CUANTITATIVA (punto 2.2.1, parte A)</t>
  </si>
  <si>
    <t xml:space="preserve">Entrega: sesión 2 de la semana 2 (26 de agosto). Equipos de 3 a 4 estudiantes. Se evalúa con la rúbrica de la hoja «11. Rúbricas». La columna «Respuesta del equipo» es la única que se completa.</t>
  </si>
  <si>
    <t xml:space="preserve">N°</t>
  </si>
  <si>
    <t xml:space="preserve">Elemento</t>
  </si>
  <si>
    <t xml:space="preserve">Criterio técnico que debe cumplir</t>
  </si>
  <si>
    <t xml:space="preserve">Ejemplo resuelto (categoría cafeterías universitarias)</t>
  </si>
  <si>
    <t xml:space="preserve">Respuesta del equipo</t>
  </si>
  <si>
    <t xml:space="preserve">1</t>
  </si>
  <si>
    <t xml:space="preserve">Producto o servicio elegido y categoría</t>
  </si>
  <si>
    <t xml:space="preserve">Se indica el producto o servicio del proyecto, la categoría comercial a la que pertenece y si es existente o una propuesta innovadora.</t>
  </si>
  <si>
    <t xml:space="preserve">Cafetería universitaria FreshBreak. Categoría: alimentos y bebidas de consumo inmediato. Producto existente con propuesta de innovación sostenible en el empaque.</t>
  </si>
  <si>
    <t xml:space="preserve">2</t>
  </si>
  <si>
    <t xml:space="preserve">Decisión gerencial pendiente</t>
  </si>
  <si>
    <t xml:space="preserve">Se redacta como la decisión concreta que la empresa debe tomar y que hoy no puede resolver sin información. Empieza con un verbo de decisión.</t>
  </si>
  <si>
    <t xml:space="preserve">Decidir qué acciones de marketing implementar para incrementar la frecuencia de compra de los estudiantes: ajustar precios, ampliar el surtido, activar el delivery o reforzar la comunicación.</t>
  </si>
  <si>
    <t xml:space="preserve">3</t>
  </si>
  <si>
    <t xml:space="preserve">Situación problemática</t>
  </si>
  <si>
    <t xml:space="preserve">Una sola oración con el hecho observable y medible. No es una opinión ni una causa supuesta.</t>
  </si>
  <si>
    <t xml:space="preserve">Las ventas de FreshBreak han disminuido de forma sostenida durante los últimos tres meses pese a la afluencia de estudiantes frente al local.</t>
  </si>
  <si>
    <t xml:space="preserve">4</t>
  </si>
  <si>
    <t xml:space="preserve">Hechos comprobados frente a supuestos</t>
  </si>
  <si>
    <t xml:space="preserve">Se separan en dos listas: lo que la empresa sabe con evidencia y lo que solo se presume. Cada supuesto se acompaña del dato que permitiría comprobarlo.</t>
  </si>
  <si>
    <t xml:space="preserve">Hecho: la venta cayó tres meses seguidos. Supuestos: que el precio es alto, que prefieren delivery y que no conocen el surtido. Se comprueban midiendo percepción de precio, uso del canal y recordación del surtido.</t>
  </si>
  <si>
    <t xml:space="preserve">5</t>
  </si>
  <si>
    <t xml:space="preserve">Problema de investigación (pregunta general)</t>
  </si>
  <si>
    <t xml:space="preserve">Se formula como pregunta, es medible con datos, delimita población y contexto, y no admite como respuesta una opinión. Distinto del problema de decisión gerencial.</t>
  </si>
  <si>
    <t xml:space="preserve">¿Qué factores explican la baja frecuencia de compra de los estudiantes universitarios de 18 a 25 años en la cafetería FreshBreak, en el distrito X, durante el semestre 2026-II?</t>
  </si>
  <si>
    <t xml:space="preserve">6</t>
  </si>
  <si>
    <t xml:space="preserve">Preguntas específicas de investigación</t>
  </si>
  <si>
    <t xml:space="preserve">Entre cuatro y seis preguntas, cada una asociada a una dimensión que después se convertirá en un módulo del cuestionario.</t>
  </si>
  <si>
    <t xml:space="preserve">¿Cuál es la frecuencia y el gasto promedio de compra? ¿Cómo perciben el precio frente al de la competencia? ¿Qué atributos valoran más? ¿Qué posición ocupa la marca frente a sus competidores? ¿Qué importancia dan al empaque sostenible?</t>
  </si>
  <si>
    <t xml:space="preserve">7</t>
  </si>
  <si>
    <t xml:space="preserve">Objetivo general</t>
  </si>
  <si>
    <t xml:space="preserve">Empieza con un verbo verificable (determinar, identificar, medir, establecer, comparar). Nunca con verbos de acción comercial (aumentar, mejorar, vender).</t>
  </si>
  <si>
    <t xml:space="preserve">Determinar los factores que explican la baja frecuencia de compra de los estudiantes universitarios de 18 a 25 años en la cafetería FreshBreak durante el semestre 2026-II.</t>
  </si>
  <si>
    <t xml:space="preserve">8</t>
  </si>
  <si>
    <t xml:space="preserve">Objetivos específicos</t>
  </si>
  <si>
    <t xml:space="preserve">Uno por cada pregunta específica, con el mismo orden y la misma numeración. Son los que después ordenan los módulos del cuestionario y los apartados del análisis.</t>
  </si>
  <si>
    <t xml:space="preserve">OE1: Identificar los hábitos de compra y consumo. OE2: Medir la percepción del precio. OE3: Evaluar la satisfacción con los atributos del producto. OE4: Determinar el posicionamiento de la marca. OE5: Medir la valoración del atributo sostenible.</t>
  </si>
  <si>
    <t xml:space="preserve">9</t>
  </si>
  <si>
    <t xml:space="preserve">Justificación del estudio</t>
  </si>
  <si>
    <t xml:space="preserve">Tres párrafos breves: por qué conviene investigar, a qué decisión servirá y qué costo tendría equivocarse sin información. Aplica el criterio de valor de la información.</t>
  </si>
  <si>
    <t xml:space="preserve">Invertir en una campaña sin conocer la causa real de la caída expone a la empresa a repetir un gasto sin retorno; el costo del estudio es marginal frente al de una decisión errada.</t>
  </si>
  <si>
    <t xml:space="preserve">10</t>
  </si>
  <si>
    <t xml:space="preserve">Alcance y limitaciones</t>
  </si>
  <si>
    <t xml:space="preserve">Alcance: tipo de investigación (descriptiva o correlacional), diseño (no experimental, transversal), cobertura geográfica y temporal. Limitaciones: acceso, tiempo, presupuesto y muestreo.</t>
  </si>
  <si>
    <t xml:space="preserve">Alcance: investigación descriptiva de diseño no experimental transversal, aplicada en el campus y alrededores entre el 8 y el 20 de setiembre. Limitación: muestreo no probabilístico por cuotas, por lo que los resultados no se generalizan a otras universidades.</t>
  </si>
  <si>
    <t xml:space="preserve">11</t>
  </si>
  <si>
    <t xml:space="preserve">Población objetivo: definición</t>
  </si>
  <si>
    <t xml:space="preserve">Se define con criterios de inclusión y de exclusión, no con una descripción vaga. Responde a quién sí y a quién no se encuesta.</t>
  </si>
  <si>
    <t xml:space="preserve">Inclusión: estudiantes matriculados en la universidad X, de 18 a 25 años, que hayan consumido en alguna cafetería de la zona en los últimos tres meses. Exclusión: personal administrativo y visitantes.</t>
  </si>
  <si>
    <t xml:space="preserve">12</t>
  </si>
  <si>
    <t xml:space="preserve">Población objetivo: dimensionamiento</t>
  </si>
  <si>
    <t xml:space="preserve">Se expresa en número de personas, con la fuente del dato y el cálculo de la tasa de incidencia. Es el insumo del cálculo muestral de la semana 4.</t>
  </si>
  <si>
    <t xml:space="preserve">Matriculados 2026-II: 6 800 (fuente: oficina de registros académicos). Tasa de incidencia estimada de consumo en la zona: 70%. Población objetivo = 6 800 × 0,70 = 4 760 estudiantes.</t>
  </si>
  <si>
    <t xml:space="preserve">MATRIZ «QUÉ NECESITO SABER» — ESQUELETO DEL FUTURO CUESTIONARIO (se completa en la misma sesión)</t>
  </si>
  <si>
    <t xml:space="preserve">Regla: toda información que el equipo declare aquí debe tener después al menos una pregunta en el cuestionario, y toda pregunta del cuestionario debe poder rastrearse hasta una fila de esta matriz. Lo que no sirva a una decisión, se elimina.</t>
  </si>
  <si>
    <t xml:space="preserve">Objetivo específico al que responde</t>
  </si>
  <si>
    <t xml:space="preserve">Información que necesito obtener</t>
  </si>
  <si>
    <t xml:space="preserve">Decisión de marketing que sustentará</t>
  </si>
  <si>
    <t xml:space="preserve">Módulo del cuestionario donde irá</t>
  </si>
  <si>
    <t xml:space="preserve">OE1</t>
  </si>
  <si>
    <t xml:space="preserve">Frecuencia de compra, lugar, momento y gasto promedio semanal</t>
  </si>
  <si>
    <t xml:space="preserve">Definir horarios de promoción y ticket objetivo</t>
  </si>
  <si>
    <t xml:space="preserve">Módulo A. Hábitos y actitudes</t>
  </si>
  <si>
    <t xml:space="preserve">OE2</t>
  </si>
  <si>
    <t xml:space="preserve">Percepción del nivel de precio frente a la competencia</t>
  </si>
  <si>
    <t xml:space="preserve">Decidir si se ajusta el precio o se comunica el valor</t>
  </si>
  <si>
    <t xml:space="preserve">Módulo B. Percepción y satisfacción</t>
  </si>
  <si>
    <t xml:space="preserve">OE3</t>
  </si>
  <si>
    <t xml:space="preserve">Atributos mejor y peor evaluados del producto actual</t>
  </si>
  <si>
    <t xml:space="preserve">Priorizar qué se rediseña primero</t>
  </si>
  <si>
    <t xml:space="preserve">OE4</t>
  </si>
  <si>
    <t xml:space="preserve">Marca de recordación espontánea y atributos asociados</t>
  </si>
  <si>
    <t xml:space="preserve">Definir el territorio de posicionamiento</t>
  </si>
  <si>
    <t xml:space="preserve">Módulo C. Imagen y posicionamiento</t>
  </si>
  <si>
    <t xml:space="preserve">OE5</t>
  </si>
  <si>
    <t xml:space="preserve">Importancia del empaque sostenible y disposición a pagar</t>
  </si>
  <si>
    <t xml:space="preserve">Decidir la inversión en empaque ecológico</t>
  </si>
  <si>
    <t xml:space="preserve">Módulo D. Sostenibilidad</t>
  </si>
  <si>
    <t xml:space="preserve">AVANCE 2 — SEMANA 3 · VARIABLES, OPERACIONALIZACIÓN E HIPÓTESIS (punto 2.2.1, parte B)</t>
  </si>
  <si>
    <t xml:space="preserve">Entrega: sesión 2 de la semana 3 (2 de setiembre). Esta matriz es el puente entre el planteamiento y el cuestionario: de cada indicador nace por lo menos una pregunta. Un indicador sin pregunta es un objetivo que quedará sin responder; una pregunta sin indicador es una pregunta que sobra.</t>
  </si>
  <si>
    <t xml:space="preserve">A. MATRIZ DE OPERACIONALIZACIÓN DE VARIABLES</t>
  </si>
  <si>
    <t xml:space="preserve">Variable</t>
  </si>
  <si>
    <t xml:space="preserve">Tipo</t>
  </si>
  <si>
    <t xml:space="preserve">Definición conceptual</t>
  </si>
  <si>
    <t xml:space="preserve">Definición operacional (cómo se mide)</t>
  </si>
  <si>
    <t xml:space="preserve">Dimensión</t>
  </si>
  <si>
    <t xml:space="preserve">Indicador</t>
  </si>
  <si>
    <t xml:space="preserve">Nivel de medición y escala</t>
  </si>
  <si>
    <t xml:space="preserve">N° de pregunta</t>
  </si>
  <si>
    <t xml:space="preserve">Frecuencia de compra</t>
  </si>
  <si>
    <t xml:space="preserve">Dependiente</t>
  </si>
  <si>
    <t xml:space="preserve">Número de veces que el consumidor adquiere el producto de la categoría en un período determinado.</t>
  </si>
  <si>
    <t xml:space="preserve">Se mide mediante autorreporte del número de compras realizadas en una semana típica del ciclo académico.</t>
  </si>
  <si>
    <t xml:space="preserve">Conducta de compra</t>
  </si>
  <si>
    <t xml:space="preserve">Compras por semana</t>
  </si>
  <si>
    <t xml:space="preserve">Razón (respuesta numérica en rangos)</t>
  </si>
  <si>
    <t xml:space="preserve">P7</t>
  </si>
  <si>
    <t xml:space="preserve">Percepción del precio</t>
  </si>
  <si>
    <t xml:space="preserve">Independiente</t>
  </si>
  <si>
    <t xml:space="preserve">Juicio del consumidor sobre la relación entre el precio pagado y el valor recibido.</t>
  </si>
  <si>
    <t xml:space="preserve">Se mide con una escala de Likert de cinco puntos sobre el acuerdo con la afirmación de que el precio es justo por lo que se recibe.</t>
  </si>
  <si>
    <t xml:space="preserve">Valor percibido</t>
  </si>
  <si>
    <t xml:space="preserve">Nivel de acuerdo con el precio justo</t>
  </si>
  <si>
    <t xml:space="preserve">Ordinal (Likert de 1 a 5)</t>
  </si>
  <si>
    <t xml:space="preserve">P13</t>
  </si>
  <si>
    <t xml:space="preserve">Satisfacción con el producto</t>
  </si>
  <si>
    <t xml:space="preserve">Grado de conformidad del consumidor con el desempeño del producto frente a lo que esperaba.</t>
  </si>
  <si>
    <t xml:space="preserve">Se mide con la evaluación de seis atributos en escala de Likert y una pregunta de satisfacción global.</t>
  </si>
  <si>
    <t xml:space="preserve">Calidad percibida</t>
  </si>
  <si>
    <t xml:space="preserve">Puntuación promedio de atributos</t>
  </si>
  <si>
    <t xml:space="preserve">P12 y P15</t>
  </si>
  <si>
    <t xml:space="preserve">Posicionamiento de marca</t>
  </si>
  <si>
    <t xml:space="preserve">Lugar que ocupa la marca en la mente del consumidor frente a sus competidores.</t>
  </si>
  <si>
    <t xml:space="preserve">Se mide con recordación espontánea, recordación asistida y asociación de atributos por marca.</t>
  </si>
  <si>
    <t xml:space="preserve">Imagen de marca</t>
  </si>
  <si>
    <t xml:space="preserve">Marca de primera mención (Top of Mind)</t>
  </si>
  <si>
    <t xml:space="preserve">Nominal</t>
  </si>
  <si>
    <t xml:space="preserve">P18</t>
  </si>
  <si>
    <t xml:space="preserve">Valoración del atributo sostenible</t>
  </si>
  <si>
    <t xml:space="preserve">Importancia que el consumidor asigna a las prácticas ambientales del producto y de la marca.</t>
  </si>
  <si>
    <t xml:space="preserve">Se mide con la importancia declarada del empaque ecológico y con el porcentaje adicional que estaría dispuesto a pagar.</t>
  </si>
  <si>
    <t xml:space="preserve">Conciencia ambiental</t>
  </si>
  <si>
    <t xml:space="preserve">Disposición a pagar un sobreprecio</t>
  </si>
  <si>
    <t xml:space="preserve">Ordinal (rangos porcentuales)</t>
  </si>
  <si>
    <t xml:space="preserve">P24 y P25</t>
  </si>
  <si>
    <t xml:space="preserve">Tipo de variable: dependiente es aquella cuyo comportamiento se quiere explicar (normalmente la conducta de compra); independientes son las que se presume que la afectan. Niveles de medición admitidos: nominal, ordinal, de intervalo y de razón. La escala de Likert es ordinal y se declara siempre con su número de puntos.</t>
  </si>
  <si>
    <t xml:space="preserve">B. FORMULACIÓN DE HIPÓTESIS</t>
  </si>
  <si>
    <t xml:space="preserve">Hipótesis nula (H0)</t>
  </si>
  <si>
    <t xml:space="preserve">Hipótesis alterna (H1)</t>
  </si>
  <si>
    <t xml:space="preserve">Variables que relaciona</t>
  </si>
  <si>
    <t xml:space="preserve">Nivel de medición de ambas</t>
  </si>
  <si>
    <t xml:space="preserve">Prueba estadística prevista (semana 10)</t>
  </si>
  <si>
    <t xml:space="preserve">Punto del informe donde se contrasta</t>
  </si>
  <si>
    <t xml:space="preserve">Resultado</t>
  </si>
  <si>
    <t xml:space="preserve">HG</t>
  </si>
  <si>
    <t xml:space="preserve">General</t>
  </si>
  <si>
    <t xml:space="preserve">La percepción del precio, la satisfacción con el producto y el posicionamiento de la marca no se relacionan con la frecuencia de compra de los estudiantes.</t>
  </si>
  <si>
    <t xml:space="preserve">Al menos una de las tres variables se relaciona significativamente con la frecuencia de compra de los estudiantes.</t>
  </si>
  <si>
    <t xml:space="preserve">Percepción de precio, satisfacción y posicionamiento con frecuencia de compra</t>
  </si>
  <si>
    <t xml:space="preserve">Ordinal con ordinal</t>
  </si>
  <si>
    <t xml:space="preserve">Correlación de Spearman</t>
  </si>
  <si>
    <t xml:space="preserve">HE1</t>
  </si>
  <si>
    <t xml:space="preserve">Específica</t>
  </si>
  <si>
    <t xml:space="preserve">La frecuencia de compra es independiente del sexo del encuestado.</t>
  </si>
  <si>
    <t xml:space="preserve">La frecuencia de compra difiere según el sexo del encuestado.</t>
  </si>
  <si>
    <t xml:space="preserve">Sexo con frecuencia de compra</t>
  </si>
  <si>
    <t xml:space="preserve">Nominal con ordinal</t>
  </si>
  <si>
    <t xml:space="preserve">Ji cuadrada de independencia</t>
  </si>
  <si>
    <t xml:space="preserve">HE2</t>
  </si>
  <si>
    <t xml:space="preserve">La disposición a pagar un sobreprecio por empaque sostenible es independiente del rango de edad.</t>
  </si>
  <si>
    <t xml:space="preserve">La disposición a pagar un sobreprecio por empaque sostenible difiere según el rango de edad.</t>
  </si>
  <si>
    <t xml:space="preserve">Edad con disposición a pagar</t>
  </si>
  <si>
    <t xml:space="preserve">HE3</t>
  </si>
  <si>
    <t xml:space="preserve">HE4</t>
  </si>
  <si>
    <t xml:space="preserve">HE5</t>
  </si>
  <si>
    <t xml:space="preserve">Regla de redacción: la hipótesis nula siempre afirma que no hay relación o que no hay diferencia; la alterna afirma lo contrario. No se redactan hipótesis que el cuestionario no permita contrastar, y la prueba prevista debe corresponder al nivel de medición de las dos variables involucradas.</t>
  </si>
  <si>
    <t xml:space="preserve">AVANCE 3 — SEMANA 4 · DISEÑO MUESTRAL Y TAMAÑO DE MUESTRA (punto 2.2.2)</t>
  </si>
  <si>
    <t xml:space="preserve">Entrega: sesión 2 de la semana 4 (9 de setiembre), junto con el cuestionario de la hoja «6. Cuestionario». Las celdas amarillas se completan; las grises se calculan solas. No se borran las fórmulas.</t>
  </si>
  <si>
    <t xml:space="preserve">A. DEFINICIÓN DEL DISEÑO MUESTRAL</t>
  </si>
  <si>
    <t xml:space="preserve">Ejemplo resuelto / criterio</t>
  </si>
  <si>
    <t xml:space="preserve">Unidad de análisis</t>
  </si>
  <si>
    <t xml:space="preserve">La persona que responde y sobre la que se concluye. Ejemplo: un estudiante universitario de 18 a 25 años del campus X.</t>
  </si>
  <si>
    <t xml:space="preserve">Unidad de muestreo</t>
  </si>
  <si>
    <t xml:space="preserve">Dónde y cómo se le aborda. Ejemplo: estudiantes presentes en los ingresos y patios del campus en horario de 8:00 a 20:00.</t>
  </si>
  <si>
    <t xml:space="preserve">Marco muestral</t>
  </si>
  <si>
    <t xml:space="preserve">Listado o aproximación de la población. Ejemplo: no existe listado accesible, por lo que se trabaja con el conteo de matriculados como referencia de tamaño.</t>
  </si>
  <si>
    <t xml:space="preserve">Tipo de muestreo</t>
  </si>
  <si>
    <t xml:space="preserve">Probabilístico (aleatorio simple, sistemático, estratificado) o no probabilístico (conveniencia, cuotas, bola de nieve). Ejemplo: no probabilístico por cuotas.</t>
  </si>
  <si>
    <t xml:space="preserve">Justificación del tipo elegido</t>
  </si>
  <si>
    <t xml:space="preserve">Se justifica por la ausencia de marco muestral, por el costo y por el plazo del trabajo de campo; se declara expresamente la consecuencia sobre la generalización de los resultados.</t>
  </si>
  <si>
    <t xml:space="preserve">Criterios de inclusión</t>
  </si>
  <si>
    <t xml:space="preserve">Los mismos declarados en el Avance 1. Ejemplo: matriculado en 2026-II, de 18 a 25 años, consumidor de la categoría en los últimos tres meses.</t>
  </si>
  <si>
    <t xml:space="preserve">Criterios de exclusión</t>
  </si>
  <si>
    <t xml:space="preserve">Ejemplo: personal administrativo, docentes, visitantes y estudiantes que trabajan en cafeterías de la zona.</t>
  </si>
  <si>
    <t xml:space="preserve">B. CÁLCULO DEL TAMAÑO DE MUESTRA (celdas amarillas: modificar; celdas grises: calculadas)</t>
  </si>
  <si>
    <t xml:space="preserve">Parámetro</t>
  </si>
  <si>
    <t xml:space="preserve">Símbolo</t>
  </si>
  <si>
    <t xml:space="preserve">Valor</t>
  </si>
  <si>
    <t xml:space="preserve">Criterio de definición</t>
  </si>
  <si>
    <t xml:space="preserve">Fórmula empleada</t>
  </si>
  <si>
    <t xml:space="preserve">Tamaño de la población objetivo</t>
  </si>
  <si>
    <t xml:space="preserve">N</t>
  </si>
  <si>
    <t xml:space="preserve">Dimensionamiento calculado en el Avance 1 (matriculados por tasa de incidencia).</t>
  </si>
  <si>
    <t xml:space="preserve">Dato de entrada</t>
  </si>
  <si>
    <t xml:space="preserve">Nivel de confianza</t>
  </si>
  <si>
    <t xml:space="preserve">1-α</t>
  </si>
  <si>
    <t xml:space="preserve">Convención en investigación comercial: 95%. Se admite 90% cuando el presupuesto de campo es limitado.</t>
  </si>
  <si>
    <t xml:space="preserve">Valor Z asociado al nivel de confianza</t>
  </si>
  <si>
    <t xml:space="preserve">Z</t>
  </si>
  <si>
    <t xml:space="preserve">Se obtiene automáticamente de la tabla de referencia de la derecha.</t>
  </si>
  <si>
    <t xml:space="preserve">INDEX / MATCH sobre la tabla auxiliar</t>
  </si>
  <si>
    <t xml:space="preserve">Proporción esperada de éxito</t>
  </si>
  <si>
    <t xml:space="preserve">p</t>
  </si>
  <si>
    <t xml:space="preserve">Se usa 0,50 cuando no existe un estudio previo, porque maximiza el tamaño de muestra.</t>
  </si>
  <si>
    <t xml:space="preserve">Proporción complementaria</t>
  </si>
  <si>
    <t xml:space="preserve">q</t>
  </si>
  <si>
    <t xml:space="preserve">Complemento de p.</t>
  </si>
  <si>
    <t xml:space="preserve">Uno menos p</t>
  </si>
  <si>
    <t xml:space="preserve">Margen de error admitido</t>
  </si>
  <si>
    <t xml:space="preserve">e</t>
  </si>
  <si>
    <t xml:space="preserve">Entre 0,03 y 0,08 en estudios académicos. A menor error, mayor muestra y mayor costo de campo.</t>
  </si>
  <si>
    <t xml:space="preserve">Muestra para población infinita</t>
  </si>
  <si>
    <t xml:space="preserve">n0</t>
  </si>
  <si>
    <t xml:space="preserve">Resultado intermedio.</t>
  </si>
  <si>
    <t xml:space="preserve">Z al cuadrado, por p, por q, dividido entre e al cuadrado</t>
  </si>
  <si>
    <t xml:space="preserve">Muestra ajustada a población finita</t>
  </si>
  <si>
    <t xml:space="preserve">n</t>
  </si>
  <si>
    <t xml:space="preserve">Este es el número de encuestas válidas que el equipo debe alcanzar.</t>
  </si>
  <si>
    <t xml:space="preserve">n0 dividido entre 1 más (n0 menos 1) entre N</t>
  </si>
  <si>
    <t xml:space="preserve">Tasa de rechazo o descarte prevista</t>
  </si>
  <si>
    <t xml:space="preserve">Encuestas que se anulan por incompletas, inconsistentes o por rechazo del abordaje.</t>
  </si>
  <si>
    <t xml:space="preserve">Encuestas que se deben lanzar en campo</t>
  </si>
  <si>
    <t xml:space="preserve">Meta operativa del trabajo de campo.</t>
  </si>
  <si>
    <t xml:space="preserve">n dividido entre (1 menos la tasa de rechazo)</t>
  </si>
  <si>
    <t xml:space="preserve">Tabla auxiliar de valores Z (no modificar)</t>
  </si>
  <si>
    <t xml:space="preserve">Nivel (decimal)</t>
  </si>
  <si>
    <t xml:space="preserve">Valor Z</t>
  </si>
  <si>
    <t xml:space="preserve">Uso recomendado</t>
  </si>
  <si>
    <t xml:space="preserve">90%</t>
  </si>
  <si>
    <t xml:space="preserve">Estudios exploratorios con presupuesto de campo limitado</t>
  </si>
  <si>
    <t xml:space="preserve">95%</t>
  </si>
  <si>
    <t xml:space="preserve">Estándar en investigación de mercados académica y comercial</t>
  </si>
  <si>
    <t xml:space="preserve">97%</t>
  </si>
  <si>
    <t xml:space="preserve">Estudios con exigencia intermedia de precisión</t>
  </si>
  <si>
    <t xml:space="preserve">99%</t>
  </si>
  <si>
    <t xml:space="preserve">Decisiones de alto costo o alto riesgo</t>
  </si>
  <si>
    <t xml:space="preserve">C. DISTRIBUCIÓN DE LA MUESTRA POR CUOTAS</t>
  </si>
  <si>
    <t xml:space="preserve">Segmento o cuota</t>
  </si>
  <si>
    <t xml:space="preserve">% de la población</t>
  </si>
  <si>
    <t xml:space="preserve">Encuestas asignadas</t>
  </si>
  <si>
    <t xml:space="preserve">Criterio de la cuota</t>
  </si>
  <si>
    <t xml:space="preserve">Responsable del campo</t>
  </si>
  <si>
    <t xml:space="preserve">Mujeres de 18 a 21 años</t>
  </si>
  <si>
    <t xml:space="preserve">Proporción estimada según la distribución de matriculados.</t>
  </si>
  <si>
    <t xml:space="preserve">Mujeres de 22 a 25 años</t>
  </si>
  <si>
    <t xml:space="preserve">Hombres de 18 a 21 años</t>
  </si>
  <si>
    <t xml:space="preserve">Hombres de 22 a 25 años</t>
  </si>
  <si>
    <t xml:space="preserve">TOTAL</t>
  </si>
  <si>
    <t xml:space="preserve">La suma de porcentajes debe ser 100%. El total de encuestas puede diferir en una o dos unidades respecto de la muestra ajustada por efecto del redondeo de cada cuota.</t>
  </si>
  <si>
    <t xml:space="preserve">D. PROTOCOLO DE TRABAJO DE CAMPO Y PRUEBA PILOTO</t>
  </si>
  <si>
    <t xml:space="preserve">Aspecto</t>
  </si>
  <si>
    <t xml:space="preserve">Definición exigida</t>
  </si>
  <si>
    <t xml:space="preserve">Fechas del trabajo de campo</t>
  </si>
  <si>
    <t xml:space="preserve">Del 9 al 20 de setiembre. Debe cerrarse antes de la semana 7, cuando se depura la base.</t>
  </si>
  <si>
    <t xml:space="preserve">Lugares y horarios de abordaje</t>
  </si>
  <si>
    <t xml:space="preserve">Se detallan los puntos y las franjas horarias, para evitar sesgo por concentración en un solo horario.</t>
  </si>
  <si>
    <t xml:space="preserve">Canal de aplicación</t>
  </si>
  <si>
    <t xml:space="preserve">Presencial con formulario digital en el celular del encuestador, o autoadministrado por enlace. Se justifica en la semana 5.</t>
  </si>
  <si>
    <t xml:space="preserve">Distribución de encuestas por integrante</t>
  </si>
  <si>
    <t xml:space="preserve">Cada integrante asume una parte de la meta operativa de la fila 10 del cálculo muestral.</t>
  </si>
  <si>
    <t xml:space="preserve">Control de calidad de campo</t>
  </si>
  <si>
    <t xml:space="preserve">Revisión diaria de las respuestas recibidas: descarte de encuestas incompletas, con patrón de respuesta plano o con tiempo de llenado inferior a tres minutos.</t>
  </si>
  <si>
    <t xml:space="preserve">Prueba piloto</t>
  </si>
  <si>
    <t xml:space="preserve">Se aplica a 10 personas del público objetivo antes del lanzamiento. Se registra: preguntas que generaron dudas, tiempo promedio de llenado y opciones de respuesta que faltaban.</t>
  </si>
  <si>
    <t xml:space="preserve">Ajustes derivados del piloto</t>
  </si>
  <si>
    <t xml:space="preserve">Se listan los cambios aplicados al cuestionario y se conserva la versión previa como evidencia del proceso.</t>
  </si>
  <si>
    <t xml:space="preserve">CUESTIONARIO MODELO DE INVESTIGACIÓN DE MERCADO — punto 2.2.3 y Anexo A.2</t>
  </si>
  <si>
    <t xml:space="preserve">Versión 1: se construye en la semana 4 y se aplica en campo. Versión 2: se depura en la semana 6 con los criterios técnicos de la sesión de diseño de cuestionario. Cada equipo adapta la redacción a su producto y a su categoría, pero conserva la estructura de módulos, porque cada módulo alimenta un punto distinto del informe final. Extensión recomendada: entre 25 y 32 preguntas, con un tiempo de llenado de 8 a 12 minutos.</t>
  </si>
  <si>
    <t xml:space="preserve">FICHA TÉCNICA DEL INSTRUMENTO (se completa y se coloca al inicio del Anexo A.2)</t>
  </si>
  <si>
    <t xml:space="preserve">Nombre del instrumento</t>
  </si>
  <si>
    <t xml:space="preserve">Cuestionario estructurado sobre hábitos de consumo, percepción y sostenibilidad</t>
  </si>
  <si>
    <t xml:space="preserve">Modalidad de aplicación</t>
  </si>
  <si>
    <t xml:space="preserve">Presencial asistido con formulario digital</t>
  </si>
  <si>
    <t xml:space="preserve">Objetivo del instrumento</t>
  </si>
  <si>
    <t xml:space="preserve">Recoger datos para responder los objetivos específicos OE1 a OE5</t>
  </si>
  <si>
    <t xml:space="preserve">Duración estimada</t>
  </si>
  <si>
    <t xml:space="preserve">De 8 a 12 minutos</t>
  </si>
  <si>
    <t xml:space="preserve">Población a la que se aplica</t>
  </si>
  <si>
    <t xml:space="preserve">La definida en el Avance 1, con sus criterios de inclusión</t>
  </si>
  <si>
    <t xml:space="preserve">Número de preguntas</t>
  </si>
  <si>
    <t xml:space="preserve">Se completa al cerrar la versión final</t>
  </si>
  <si>
    <t xml:space="preserve">Escalas empleadas</t>
  </si>
  <si>
    <t xml:space="preserve">Nominal, ordinal, Likert de 5 puntos y escala de 0 a 10</t>
  </si>
  <si>
    <t xml:space="preserve">Validación</t>
  </si>
  <si>
    <t xml:space="preserve">Juicio de un docente experto y prueba piloto con 10 casos</t>
  </si>
  <si>
    <t xml:space="preserve">Módulo</t>
  </si>
  <si>
    <t xml:space="preserve">Qué mide (objetivo o variable)</t>
  </si>
  <si>
    <t xml:space="preserve">Redacción de la pregunta</t>
  </si>
  <si>
    <t xml:space="preserve">Tipo de pregunta</t>
  </si>
  <si>
    <t xml:space="preserve">Escala y nivel de medición</t>
  </si>
  <si>
    <t xml:space="preserve">Opciones de respuesta</t>
  </si>
  <si>
    <t xml:space="preserve">Lógica o filtro</t>
  </si>
  <si>
    <t xml:space="preserve">Punto del informe</t>
  </si>
  <si>
    <t xml:space="preserve">Qué debe adaptar el equipo</t>
  </si>
  <si>
    <t xml:space="preserve">TEXTO DE PRESENTACIÓN (encabezado del formulario, no se numera)</t>
  </si>
  <si>
    <t xml:space="preserve">Presentación</t>
  </si>
  <si>
    <t xml:space="preserve">Buenos días. Somos estudiantes del programa de Marketing y estamos realizando un estudio académico sobre los hábitos de consumo de [categoría] entre estudiantes universitarios. Tus respuestas son anónimas, se usarán solo con fines académicos y te tomarán alrededor de 10 minutos. ¿Deseas participar?</t>
  </si>
  <si>
    <t xml:space="preserve">Texto de consentimiento</t>
  </si>
  <si>
    <t xml:space="preserve">Sí, deseo participar / No deseo participar</t>
  </si>
  <si>
    <t xml:space="preserve">Si responde No, se cierra el formulario</t>
  </si>
  <si>
    <t xml:space="preserve">Nombre de la categoría y del programa. No se omite el consentimiento.</t>
  </si>
  <si>
    <t xml:space="preserve">MÓDULO F. PREGUNTAS FILTRO — verifican que el encuestado pertenezca a la población objetivo</t>
  </si>
  <si>
    <t xml:space="preserve">F1</t>
  </si>
  <si>
    <t xml:space="preserve">F. Filtro</t>
  </si>
  <si>
    <t xml:space="preserve">Criterio de inclusión: condición de estudiante</t>
  </si>
  <si>
    <t xml:space="preserve">¿Te encuentras matriculado o matriculada en [institución] durante el semestre 2026-II?</t>
  </si>
  <si>
    <t xml:space="preserve">Cerrada dicotómica</t>
  </si>
  <si>
    <t xml:space="preserve">1. Sí   2. No</t>
  </si>
  <si>
    <t xml:space="preserve">Si responde No, termina la encuesta</t>
  </si>
  <si>
    <t xml:space="preserve">Nombre de la institución</t>
  </si>
  <si>
    <t xml:space="preserve">F2</t>
  </si>
  <si>
    <t xml:space="preserve">Criterio de inclusión: rango de edad</t>
  </si>
  <si>
    <t xml:space="preserve">¿En cuál de los siguientes rangos de edad te encuentras?</t>
  </si>
  <si>
    <t xml:space="preserve">Cerrada de opción única</t>
  </si>
  <si>
    <t xml:space="preserve">Ordinal (rango)</t>
  </si>
  <si>
    <t xml:space="preserve">1. Menos de 18   2. De 18 a 21   3. De 22 a 25   4. De 26 a más</t>
  </si>
  <si>
    <t xml:space="preserve">Si responde 1 o 4, termina la encuesta</t>
  </si>
  <si>
    <t xml:space="preserve">2.2.2 y 2.4</t>
  </si>
  <si>
    <t xml:space="preserve">Los rangos, según el público objetivo definido</t>
  </si>
  <si>
    <t xml:space="preserve">F3</t>
  </si>
  <si>
    <t xml:space="preserve">Tasa de incidencia de consumo</t>
  </si>
  <si>
    <t xml:space="preserve">Durante los últimos tres meses, ¿has consumido o comprado [categoría] en la zona de tu centro de estudios?</t>
  </si>
  <si>
    <t xml:space="preserve">La categoría y el período de referencia</t>
  </si>
  <si>
    <t xml:space="preserve">MÓDULO A. HÁBITOS Y ACTITUDES (U&amp;A) — sustenta los puntos 2.4 y 2.4.1</t>
  </si>
  <si>
    <t xml:space="preserve">P4</t>
  </si>
  <si>
    <t xml:space="preserve">A. Hábitos</t>
  </si>
  <si>
    <t xml:space="preserve">Frecuencia de compra (variable dependiente)</t>
  </si>
  <si>
    <t xml:space="preserve">En una semana típica de clases, ¿cuántas veces compras [categoría] cerca de tu centro de estudios?</t>
  </si>
  <si>
    <t xml:space="preserve">Ordinal</t>
  </si>
  <si>
    <t xml:space="preserve">1. Ninguna vez   2. De 1 a 2 veces   3. De 3 a 4 veces   4. De 5 a 6 veces   5. Todos los días</t>
  </si>
  <si>
    <t xml:space="preserve">Todos responden</t>
  </si>
  <si>
    <t xml:space="preserve">La unidad de tiempo, si la compra de la categoría no es semanal</t>
  </si>
  <si>
    <t xml:space="preserve">P5</t>
  </si>
  <si>
    <t xml:space="preserve">Lugar de compra habitual</t>
  </si>
  <si>
    <t xml:space="preserve">¿En qué lugar realizas la compra con mayor frecuencia?</t>
  </si>
  <si>
    <t xml:space="preserve">1. Cafetería del campus   2. Local fuera del campus   3. Bodega o minimarket   4. Máquina expendedora   5. Aplicativo de delivery   6. Lo llevo desde casa</t>
  </si>
  <si>
    <t xml:space="preserve">Los lugares propios de la categoría</t>
  </si>
  <si>
    <t xml:space="preserve">P6</t>
  </si>
  <si>
    <t xml:space="preserve">Momento de consumo</t>
  </si>
  <si>
    <t xml:space="preserve">¿En qué momento del día compras con mayor frecuencia?</t>
  </si>
  <si>
    <t xml:space="preserve">1. Antes de clases   2. Receso de la mañana   3. Hora de almuerzo   4. Media tarde   5. Al terminar las clases</t>
  </si>
  <si>
    <t xml:space="preserve">Las franjas horarias del contexto</t>
  </si>
  <si>
    <t xml:space="preserve">Gasto promedio por compra</t>
  </si>
  <si>
    <t xml:space="preserve">¿Cuánto gastas aproximadamente en cada compra?</t>
  </si>
  <si>
    <t xml:space="preserve">Ordinal (razón agrupada)</t>
  </si>
  <si>
    <t xml:space="preserve">1. Menos de S/ 5   2. De S/ 5,00 a S/ 9,90   3. De S/ 10,00 a S/ 14,90   4. De S/ 15,00 a S/ 19,90   5. De S/ 20,00 a más</t>
  </si>
  <si>
    <t xml:space="preserve">2.4.1 y 2.6.1</t>
  </si>
  <si>
    <t xml:space="preserve">Los rangos de precio de la categoría</t>
  </si>
  <si>
    <t xml:space="preserve">P8</t>
  </si>
  <si>
    <t xml:space="preserve">Contexto social del consumo</t>
  </si>
  <si>
    <t xml:space="preserve">¿Con quién sueles consumir el producto?</t>
  </si>
  <si>
    <t xml:space="preserve">1. Solo o sola   2. Con compañeros de clase   3. Con la pareja   4. Con familiares   5. Varía según el día</t>
  </si>
  <si>
    <t xml:space="preserve">Solo si el consumo de la categoría es individual</t>
  </si>
  <si>
    <t xml:space="preserve">P9</t>
  </si>
  <si>
    <t xml:space="preserve">Canal de compra</t>
  </si>
  <si>
    <t xml:space="preserve">¿Qué canal utilizas con mayor frecuencia para comprar el producto?</t>
  </si>
  <si>
    <t xml:space="preserve">1. Presencial en el local   2. Delivery por aplicativo   3. Pedido por WhatsApp o redes   4. Compra anticipada y retiro en el local</t>
  </si>
  <si>
    <t xml:space="preserve">Los canales realmente disponibles</t>
  </si>
  <si>
    <t xml:space="preserve">P10</t>
  </si>
  <si>
    <t xml:space="preserve">Factores de elección</t>
  </si>
  <si>
    <t xml:space="preserve">De los siguientes factores, ¿cuáles son los tres que más influyen en tu decisión de compra?</t>
  </si>
  <si>
    <t xml:space="preserve">Cerrada de opción múltiple (máximo 3)</t>
  </si>
  <si>
    <t xml:space="preserve">Nominal múltiple</t>
  </si>
  <si>
    <t xml:space="preserve">1. Precio   2. Sabor o calidad   3. Rapidez de atención   4. Cercanía   5. Variedad   6. Promociones   7. Trato del personal   8. Ambiente del local   9. Opciones saludables   10. Empaque ecológico</t>
  </si>
  <si>
    <t xml:space="preserve">Todos responden. Se limita a tres marcas</t>
  </si>
  <si>
    <t xml:space="preserve">Los atributos propios de la categoría</t>
  </si>
  <si>
    <t xml:space="preserve">P11</t>
  </si>
  <si>
    <t xml:space="preserve">Marca o local de compra habitual</t>
  </si>
  <si>
    <t xml:space="preserve">¿Qué marca o local eliges con mayor frecuencia para esta compra?</t>
  </si>
  <si>
    <t xml:space="preserve">Cerrada de opción única con alternativa Otro</t>
  </si>
  <si>
    <t xml:space="preserve">Lista de las marcas o locales de la zona, más la opción Otro, con espacio para especificar</t>
  </si>
  <si>
    <t xml:space="preserve">2.4.1 y 2.5.1</t>
  </si>
  <si>
    <t xml:space="preserve">La lista de competidores reales</t>
  </si>
  <si>
    <t xml:space="preserve">MÓDULO B. PERCEPCIÓN, SATISFACCIÓN Y PRECIO — sustenta el punto 2.6.1</t>
  </si>
  <si>
    <t xml:space="preserve">P12</t>
  </si>
  <si>
    <t xml:space="preserve">B. Producto</t>
  </si>
  <si>
    <t xml:space="preserve">Satisfacción con los atributos (variable independiente)</t>
  </si>
  <si>
    <t xml:space="preserve">Indica tu grado de acuerdo con cada afirmación referida a [marca o producto]: a) La calidad del producto es buena. b) La variedad de la oferta es suficiente. c) La atención es rápida. d) La presentación y el empaque son atractivos. e) El local se mantiene limpio y ordenado. f) El horario de atención es conveniente.</t>
  </si>
  <si>
    <t xml:space="preserve">Matriz de preguntas con escala de Likert</t>
  </si>
  <si>
    <t xml:space="preserve">Ordinal (Likert de 5 puntos)</t>
  </si>
  <si>
    <t xml:space="preserve">1. Totalmente en desacuerdo   2. En desacuerdo   3. Ni de acuerdo ni en desacuerdo   4. De acuerdo   5. Totalmente de acuerdo</t>
  </si>
  <si>
    <t xml:space="preserve">Todos responden. Cada afirmación es obligatoria</t>
  </si>
  <si>
    <t xml:space="preserve">Los seis atributos, que deben ser los relevantes de la categoría</t>
  </si>
  <si>
    <t xml:space="preserve">Percepción del precio (variable independiente)</t>
  </si>
  <si>
    <t xml:space="preserve">Indica tu grado de acuerdo con la siguiente afirmación: el precio que pago es justo por lo que recibo.</t>
  </si>
  <si>
    <t xml:space="preserve">Cerrada con escala de Likert</t>
  </si>
  <si>
    <t xml:space="preserve">Nada; se conserva la redacción</t>
  </si>
  <si>
    <t xml:space="preserve">P14</t>
  </si>
  <si>
    <t xml:space="preserve">Precio relativo frente a la competencia</t>
  </si>
  <si>
    <t xml:space="preserve">Comparado con otras alternativas de la zona, el precio de [marca] te parece:</t>
  </si>
  <si>
    <t xml:space="preserve">Ordinal (5 puntos)</t>
  </si>
  <si>
    <t xml:space="preserve">1. Mucho más bajo   2. Algo más bajo   3. Similar   4. Algo más alto   5. Mucho más alto</t>
  </si>
  <si>
    <t xml:space="preserve">2.6.1 y 2.5.1</t>
  </si>
  <si>
    <t xml:space="preserve">El nombre de la marca evaluada</t>
  </si>
  <si>
    <t xml:space="preserve">P15</t>
  </si>
  <si>
    <t xml:space="preserve">Satisfacción global</t>
  </si>
  <si>
    <t xml:space="preserve">En términos generales, ¿qué tan satisfecho o satisfecha te encuentras con [marca]?</t>
  </si>
  <si>
    <t xml:space="preserve">1. Nada satisfecho   2. Poco satisfecho   3. Indiferente   4. Satisfecho   5. Muy satisfecho</t>
  </si>
  <si>
    <t xml:space="preserve">P16</t>
  </si>
  <si>
    <t xml:space="preserve">Recomendación (indicador NPS)</t>
  </si>
  <si>
    <t xml:space="preserve">En una escala del 0 al 10, ¿qué tan probable es que recomiendes [marca] a un compañero o compañera?</t>
  </si>
  <si>
    <t xml:space="preserve">Cerrada con escala numérica</t>
  </si>
  <si>
    <t xml:space="preserve">De intervalo (0 a 10)</t>
  </si>
  <si>
    <t xml:space="preserve">Escala continua del 0 al 10, donde 0 es nada probable y 10 es totalmente probable</t>
  </si>
  <si>
    <t xml:space="preserve">P17</t>
  </si>
  <si>
    <t xml:space="preserve">Oportunidad de mejora</t>
  </si>
  <si>
    <t xml:space="preserve">¿Qué es lo primero que mejorarías del producto o del servicio?</t>
  </si>
  <si>
    <t xml:space="preserve">Abierta breve</t>
  </si>
  <si>
    <t xml:space="preserve">Nominal (se codifica después)</t>
  </si>
  <si>
    <t xml:space="preserve">Respuesta libre de hasta 150 caracteres</t>
  </si>
  <si>
    <t xml:space="preserve">Nada; se codifica en la semana 7</t>
  </si>
  <si>
    <t xml:space="preserve">MÓDULO C. IMAGEN Y POSICIONAMIENTO — sustenta el punto 2.5.1</t>
  </si>
  <si>
    <t xml:space="preserve">C. Imagen</t>
  </si>
  <si>
    <t xml:space="preserve">Recordación espontánea (Top of Mind)</t>
  </si>
  <si>
    <t xml:space="preserve">Cuando piensas en [categoría] cerca de tu centro de estudios, ¿cuál es la primera marca o local que se te viene a la mente?</t>
  </si>
  <si>
    <t xml:space="preserve">Abierta espontánea de una sola mención</t>
  </si>
  <si>
    <t xml:space="preserve">Respuesta libre. Se codifica por marca en la base de datos</t>
  </si>
  <si>
    <t xml:space="preserve">Se formula antes de mostrar cualquier lista de marcas</t>
  </si>
  <si>
    <t xml:space="preserve">La categoría. El orden de este bloque no se altera</t>
  </si>
  <si>
    <t xml:space="preserve">P19</t>
  </si>
  <si>
    <t xml:space="preserve">Recordación espontánea total</t>
  </si>
  <si>
    <t xml:space="preserve">¿Qué otras marcas o locales de [categoría] recuerdas? Menciona hasta tres.</t>
  </si>
  <si>
    <t xml:space="preserve">Abierta espontánea de hasta tres menciones</t>
  </si>
  <si>
    <t xml:space="preserve">Tres campos de respuesta libre</t>
  </si>
  <si>
    <t xml:space="preserve">Se formula inmediatamente después de P18</t>
  </si>
  <si>
    <t xml:space="preserve">La categoría</t>
  </si>
  <si>
    <t xml:space="preserve">P20</t>
  </si>
  <si>
    <t xml:space="preserve">Recordación asistida</t>
  </si>
  <si>
    <t xml:space="preserve">De la siguiente lista, ¿cuáles conoces, aunque no hayas comprado en ellas?</t>
  </si>
  <si>
    <t xml:space="preserve">Cerrada de opción múltiple</t>
  </si>
  <si>
    <t xml:space="preserve">Lista de las marcas o locales de la zona, más la opción Ninguna</t>
  </si>
  <si>
    <t xml:space="preserve">Se formula después de P18 y P19</t>
  </si>
  <si>
    <t xml:space="preserve">P21</t>
  </si>
  <si>
    <t xml:space="preserve">Atributos asociados por marca</t>
  </si>
  <si>
    <t xml:space="preserve">Marca los atributos que, en tu opinión, describen a cada una de las siguientes marcas.</t>
  </si>
  <si>
    <t xml:space="preserve">Matriz de doble entrada (marcas por atributos)</t>
  </si>
  <si>
    <t xml:space="preserve">Filas: las marcas evaluadas. Columnas: precio accesible, buena calidad, rapidez, variedad, ambiente agradable, compromiso ambiental</t>
  </si>
  <si>
    <t xml:space="preserve">Se muestran como máximo cuatro marcas para no fatigar al encuestado</t>
  </si>
  <si>
    <t xml:space="preserve">Las marcas y los atributos de la categoría</t>
  </si>
  <si>
    <t xml:space="preserve">P22</t>
  </si>
  <si>
    <t xml:space="preserve">Marca preferida</t>
  </si>
  <si>
    <t xml:space="preserve">Si tuvieras que elegir una sola marca o local para tu próxima compra, ¿cuál elegirías?</t>
  </si>
  <si>
    <t xml:space="preserve">Lista de las marcas evaluadas</t>
  </si>
  <si>
    <t xml:space="preserve">La lista de marcas</t>
  </si>
  <si>
    <t xml:space="preserve">P23</t>
  </si>
  <si>
    <t xml:space="preserve">Motivo de la preferencia</t>
  </si>
  <si>
    <t xml:space="preserve">¿Por qué elegirías esa marca o local?</t>
  </si>
  <si>
    <t xml:space="preserve">MÓDULO D. SOSTENIBILIDAD E IMPACTO AMBIENTAL — evidencia para los puntos 2.4.1 y 3.2 del proyecto</t>
  </si>
  <si>
    <t xml:space="preserve">P24</t>
  </si>
  <si>
    <t xml:space="preserve">D. Sostenibilidad</t>
  </si>
  <si>
    <t xml:space="preserve">Importancia del atributo sostenible</t>
  </si>
  <si>
    <t xml:space="preserve">¿Qué tan importante es para ti que el producto que compras use un empaque biodegradable, reutilizable o reciclable?</t>
  </si>
  <si>
    <t xml:space="preserve">Cerrada con escala de Likert de importancia</t>
  </si>
  <si>
    <t xml:space="preserve">1. Nada importante   2. Poco importante   3. Indiferente   4. Importante   5. Muy importante</t>
  </si>
  <si>
    <t xml:space="preserve">P25</t>
  </si>
  <si>
    <t xml:space="preserve">¿Cuánto más estarías dispuesto o dispuesta a pagar por el mismo producto con empaque ecológico?</t>
  </si>
  <si>
    <t xml:space="preserve">1. Nada más   2. Hasta 5% más   3. Entre 6% y 10% más   4. Entre 11% y 20% más   5. Más de 20%</t>
  </si>
  <si>
    <t xml:space="preserve">Los rangos, si el precio de la categoría es alto</t>
  </si>
  <si>
    <t xml:space="preserve">P26</t>
  </si>
  <si>
    <t xml:space="preserve">Conducta ambiental declarada</t>
  </si>
  <si>
    <t xml:space="preserve">¿Con qué frecuencia separas o reciclas los residuos de los productos que consumes?</t>
  </si>
  <si>
    <t xml:space="preserve">1. Nunca   2. Casi nunca   3. A veces   4. Casi siempre   5. Siempre</t>
  </si>
  <si>
    <t xml:space="preserve">P27</t>
  </si>
  <si>
    <t xml:space="preserve">Acción eco-eficiente más valorada</t>
  </si>
  <si>
    <t xml:space="preserve">¿Cuál de estas acciones valorarías más si la marca la implementara?</t>
  </si>
  <si>
    <t xml:space="preserve">1. Descuento por llevar tu propio envase   2. Empaque compostable   3. Punto de acopio de residuos en el local   4. Donación de excedentes de alimentos   5. Información ambiental visible en el empaque</t>
  </si>
  <si>
    <t xml:space="preserve">Las acciones que el proyecto realmente evalúa implementar</t>
  </si>
  <si>
    <t xml:space="preserve">MÓDULO E. EVALUACIÓN DEL CONCEPTO INNOVADOR — sustenta el punto 2.6.1 y la propuesta del capítulo 3</t>
  </si>
  <si>
    <t xml:space="preserve">E. Concepto</t>
  </si>
  <si>
    <t xml:space="preserve">A continuación te presentamos una idea de producto: [descripción de una a tres oraciones del concepto, acompañada de la imagen del prototipo]. Léela con atención antes de responder las siguientes preguntas.</t>
  </si>
  <si>
    <t xml:space="preserve">Texto de estímulo</t>
  </si>
  <si>
    <t xml:space="preserve">No aplica</t>
  </si>
  <si>
    <t xml:space="preserve">Se muestra una sola vez, antes de P28</t>
  </si>
  <si>
    <t xml:space="preserve">La descripción y la imagen del prototipo del equipo</t>
  </si>
  <si>
    <t xml:space="preserve">P28</t>
  </si>
  <si>
    <t xml:space="preserve">Atractivo del concepto</t>
  </si>
  <si>
    <t xml:space="preserve">Después de leer la descripción, ¿qué tan atractiva te parece esta idea de producto?</t>
  </si>
  <si>
    <t xml:space="preserve">1. Nada atractiva   2. Poco atractiva   3. Indiferente   4. Atractiva   5. Muy atractiva</t>
  </si>
  <si>
    <t xml:space="preserve">P29</t>
  </si>
  <si>
    <t xml:space="preserve">Intención de compra</t>
  </si>
  <si>
    <t xml:space="preserve">Si este producto estuviera disponible el próximo mes, ¿qué tan probable es que lo compres?</t>
  </si>
  <si>
    <t xml:space="preserve">Ordinal (5 puntos de intención)</t>
  </si>
  <si>
    <t xml:space="preserve">1. Definitivamente no lo compraría   2. Probablemente no lo compraría   3. Tal vez sí, tal vez no   4. Probablemente lo compraría   5. Definitivamente lo compraría</t>
  </si>
  <si>
    <t xml:space="preserve">Nada; es la escala estándar de intención</t>
  </si>
  <si>
    <t xml:space="preserve">P30</t>
  </si>
  <si>
    <t xml:space="preserve">Precio de referencia aceptado</t>
  </si>
  <si>
    <t xml:space="preserve">¿Cuánto estarías dispuesto o dispuesta a pagar por este producto?</t>
  </si>
  <si>
    <t xml:space="preserve">Ordinal (rangos de precio)</t>
  </si>
  <si>
    <t xml:space="preserve">Rangos de precio construidos alrededor del precio actual de la categoría</t>
  </si>
  <si>
    <t xml:space="preserve">Los rangos, con el precio de la categoría como referencia</t>
  </si>
  <si>
    <t xml:space="preserve">P31</t>
  </si>
  <si>
    <t xml:space="preserve">Atributo más valorado del concepto</t>
  </si>
  <si>
    <t xml:space="preserve">¿Qué es lo que más valoras de esta propuesta?</t>
  </si>
  <si>
    <t xml:space="preserve">Lista con los atributos diferenciales del concepto, más la opción Otro</t>
  </si>
  <si>
    <t xml:space="preserve">Los atributos del concepto del equipo</t>
  </si>
  <si>
    <t xml:space="preserve">P32</t>
  </si>
  <si>
    <t xml:space="preserve">Objeciones al concepto</t>
  </si>
  <si>
    <t xml:space="preserve">¿Qué le cambiarías o qué te generaría dudas antes de comprarlo?</t>
  </si>
  <si>
    <t xml:space="preserve">MÓDULO G. DATOS DE CLASIFICACIÓN — se colocan siempre al final; sustentan el punto 2.4 y los cruces del punto 2.3.3</t>
  </si>
  <si>
    <t xml:space="preserve">P33</t>
  </si>
  <si>
    <t xml:space="preserve">G. Clasificación</t>
  </si>
  <si>
    <t xml:space="preserve">Sexo</t>
  </si>
  <si>
    <t xml:space="preserve">Sexo del encuestado</t>
  </si>
  <si>
    <t xml:space="preserve">1. Femenino   2. Masculino   3. Prefiero no indicarlo</t>
  </si>
  <si>
    <t xml:space="preserve">2.4 y 2.3.3</t>
  </si>
  <si>
    <t xml:space="preserve">P34</t>
  </si>
  <si>
    <t xml:space="preserve">Edad</t>
  </si>
  <si>
    <t xml:space="preserve">Se registra el rango declarado en la pregunta filtro F2</t>
  </si>
  <si>
    <t xml:space="preserve">Recuperada del filtro</t>
  </si>
  <si>
    <t xml:space="preserve">Los mismos rangos de F2</t>
  </si>
  <si>
    <t xml:space="preserve">No se vuelve a preguntar</t>
  </si>
  <si>
    <t xml:space="preserve">Nada</t>
  </si>
  <si>
    <t xml:space="preserve">P35</t>
  </si>
  <si>
    <t xml:space="preserve">Ciclo o año de estudios</t>
  </si>
  <si>
    <t xml:space="preserve">¿Qué ciclo o año de estudios cursas actualmente?</t>
  </si>
  <si>
    <t xml:space="preserve">Del primer al décimo ciclo, o por año de estudios</t>
  </si>
  <si>
    <t xml:space="preserve">La denominación que use la institución</t>
  </si>
  <si>
    <t xml:space="preserve">P36</t>
  </si>
  <si>
    <t xml:space="preserve">Zona de residencia</t>
  </si>
  <si>
    <t xml:space="preserve">¿En qué distrito resides actualmente?</t>
  </si>
  <si>
    <t xml:space="preserve">Lista de los distritos de mayor procedencia, más la opción Otro</t>
  </si>
  <si>
    <t xml:space="preserve">La lista de distritos del contexto local</t>
  </si>
  <si>
    <t xml:space="preserve">P37</t>
  </si>
  <si>
    <t xml:space="preserve">Situación laboral</t>
  </si>
  <si>
    <t xml:space="preserve">¿Cuál es tu situación actual?</t>
  </si>
  <si>
    <t xml:space="preserve">1. Solo estudio   2. Estudio y trabajo a medio tiempo   3. Estudio y trabajo a tiempo completo</t>
  </si>
  <si>
    <t xml:space="preserve">P38</t>
  </si>
  <si>
    <t xml:space="preserve">Capacidad de gasto</t>
  </si>
  <si>
    <t xml:space="preserve">¿De cuánto dispones aproximadamente por semana para tus gastos personales?</t>
  </si>
  <si>
    <t xml:space="preserve">Ordinal (rangos)</t>
  </si>
  <si>
    <t xml:space="preserve">1. Menos de S/ 30   2. De S/ 30 a S/ 59   3. De S/ 60 a S/ 99   4. De S/ 100 a S/ 149   5. De S/ 150 a más</t>
  </si>
  <si>
    <t xml:space="preserve">Todos responden. Se advierte que la respuesta es anónima</t>
  </si>
  <si>
    <t xml:space="preserve">Los rangos, según el contexto</t>
  </si>
  <si>
    <t xml:space="preserve">CIERRE DEL CUESTIONARIO</t>
  </si>
  <si>
    <t xml:space="preserve">Hemos terminado. Muchas gracias por tu tiempo; tus respuestas nos ayudarán a mejorar la propuesta.</t>
  </si>
  <si>
    <t xml:space="preserve">Texto de cierre</t>
  </si>
  <si>
    <t xml:space="preserve">REGLAS TÉCNICAS DE REDACCIÓN QUE SE VERIFICAN EN LA SEMANA 6 (versión 2 del cuestionario)</t>
  </si>
  <si>
    <t xml:space="preserve">1. Una pregunta mide una sola cosa. Se eliminan las preguntas dobles del tipo «¿el producto es rico y económico?».</t>
  </si>
  <si>
    <t xml:space="preserve">2. No se inducen respuestas. Se evita «¿no le parece que el precio es elevado?» y se reemplaza por una escala neutral.</t>
  </si>
  <si>
    <t xml:space="preserve">3. Las alternativas de una pregunta cerrada son excluyentes entre sí y cubren todas las posibilidades; cuando no es posible, se agrega la opción Otro.</t>
  </si>
  <si>
    <t xml:space="preserve">4. Los rangos numéricos no se superponen. De S/ 5,00 a S/ 9,90 y de S/ 10,00 a S/ 14,90, nunca de 5 a 10 y de 10 a 15.</t>
  </si>
  <si>
    <t xml:space="preserve">5. Las preguntas espontáneas de recordación van siempre antes que las asistidas; mostrar la lista primero contamina la medición del posicionamiento.</t>
  </si>
  <si>
    <t xml:space="preserve">6. Las preguntas sensibles, como el ingreso o el gasto, se ubican al final y se formulan en rangos, no en cifra exacta.</t>
  </si>
  <si>
    <t xml:space="preserve">7. La escala de Likert mantiene el mismo número de puntos y el mismo sentido en todo el cuestionario; no se alterna entre cinco y siete puntos.</t>
  </si>
  <si>
    <t xml:space="preserve">8. Cada pregunta se rastrea hasta un indicador de la matriz de operacionalización. La pregunta que no responde a ningún indicador se elimina, aunque resulte interesante.</t>
  </si>
  <si>
    <t xml:space="preserve">9. El cuestionario se somete a juicio de un docente experto antes de aplicarse, y la constancia de esa revisión se adjunta en el Anexo A.2.</t>
  </si>
  <si>
    <t xml:space="preserve">10. La versión aplicada se conserva sin modificaciones posteriores: si se corrige el instrumento después de iniciado el campo, se invalida la comparación entre respuestas.</t>
  </si>
  <si>
    <t xml:space="preserve">PLAN DE TABULACIÓN Y ANÁLISIS — qué se hace con cada pregunta (puntos 2.3.1, 2.3.2 y 2.3.3)</t>
  </si>
  <si>
    <t xml:space="preserve">Se elabora en la semana 4, junto con el cuestionario, y no después de tener los datos. Un plan de tabulación definido antes del campo evita el error más común del proyecto: recoger datos que después nadie sabe cómo analizar. En la semana 8 se ejecuta la parte descriptiva y en la semana 10 la parte inferencial.</t>
  </si>
  <si>
    <t xml:space="preserve">Pregunta</t>
  </si>
  <si>
    <t xml:space="preserve">Nivel de medición</t>
  </si>
  <si>
    <t xml:space="preserve">Análisis descriptivo que corresponde</t>
  </si>
  <si>
    <t xml:space="preserve">Estadístico que se reporta</t>
  </si>
  <si>
    <t xml:space="preserve">Gráfico recomendado</t>
  </si>
  <si>
    <t xml:space="preserve">Cruce sugerido (tabla de contingencia)</t>
  </si>
  <si>
    <t xml:space="preserve">Prueba inferencial (semana 10)</t>
  </si>
  <si>
    <t xml:space="preserve">F1 a F3</t>
  </si>
  <si>
    <t xml:space="preserve">Filtros de elegibilidad</t>
  </si>
  <si>
    <t xml:space="preserve">Nominal y ordinal</t>
  </si>
  <si>
    <t xml:space="preserve">Conteo de elegibles y no elegibles</t>
  </si>
  <si>
    <t xml:space="preserve">Frecuencia absoluta y tasa de incidencia</t>
  </si>
  <si>
    <t xml:space="preserve">No se grafica; se reporta en la ficha técnica</t>
  </si>
  <si>
    <t xml:space="preserve">2.3 ficha técnica</t>
  </si>
  <si>
    <t xml:space="preserve">Frecuencia de compra semanal</t>
  </si>
  <si>
    <t xml:space="preserve">Distribución de frecuencias</t>
  </si>
  <si>
    <t xml:space="preserve">Frecuencia absoluta, porcentaje, mediana y moda</t>
  </si>
  <si>
    <t xml:space="preserve">Barras verticales ordenadas por categoría</t>
  </si>
  <si>
    <t xml:space="preserve">Por sexo (P33) y por rango de edad (F2)</t>
  </si>
  <si>
    <t xml:space="preserve">Lugar de compra</t>
  </si>
  <si>
    <t xml:space="preserve">Frecuencia y porcentaje; moda</t>
  </si>
  <si>
    <t xml:space="preserve">Barras horizontales de mayor a menor</t>
  </si>
  <si>
    <t xml:space="preserve">Por canal (P9)</t>
  </si>
  <si>
    <t xml:space="preserve">Momento de compra</t>
  </si>
  <si>
    <t xml:space="preserve">Frecuencia y porcentaje</t>
  </si>
  <si>
    <t xml:space="preserve">Barras verticales</t>
  </si>
  <si>
    <t xml:space="preserve">Por situación laboral (P37)</t>
  </si>
  <si>
    <t xml:space="preserve">Distribución de frecuencias y estimación del ticket</t>
  </si>
  <si>
    <t xml:space="preserve">Porcentaje, mediana y media de la marca de clase; desviación estándar</t>
  </si>
  <si>
    <t xml:space="preserve">Histograma</t>
  </si>
  <si>
    <t xml:space="preserve">Por frecuencia de compra (P4)</t>
  </si>
  <si>
    <t xml:space="preserve">Circular o de barras</t>
  </si>
  <si>
    <t xml:space="preserve">Por rango de edad (F2)</t>
  </si>
  <si>
    <t xml:space="preserve">Tabla de respuesta múltiple</t>
  </si>
  <si>
    <t xml:space="preserve">Porcentaje de casos por atributo (la suma supera el 100%)</t>
  </si>
  <si>
    <t xml:space="preserve">Barras horizontales por porcentaje de menciones</t>
  </si>
  <si>
    <t xml:space="preserve">Por marca habitual (P11)</t>
  </si>
  <si>
    <t xml:space="preserve">Marca de compra habitual</t>
  </si>
  <si>
    <t xml:space="preserve">Distribución de frecuencias (participación declarada)</t>
  </si>
  <si>
    <t xml:space="preserve">Barras horizontales</t>
  </si>
  <si>
    <t xml:space="preserve">Por distrito (P36)</t>
  </si>
  <si>
    <t xml:space="preserve">P12 a-f</t>
  </si>
  <si>
    <t xml:space="preserve">Atributos del producto</t>
  </si>
  <si>
    <t xml:space="preserve">Ordinal (Likert)</t>
  </si>
  <si>
    <t xml:space="preserve">Media por atributo y distribución de la escala</t>
  </si>
  <si>
    <t xml:space="preserve">Media, mediana, desviación estándar y porcentaje de acuerdo (respuestas 4 y 5)</t>
  </si>
  <si>
    <t xml:space="preserve">Barras apiladas al 100% por atributo, más un gráfico de medias</t>
  </si>
  <si>
    <t xml:space="preserve">Por satisfacción global (P15)</t>
  </si>
  <si>
    <t xml:space="preserve">Distribución y media</t>
  </si>
  <si>
    <t xml:space="preserve">Media, desviación estándar y porcentaje de acuerdo</t>
  </si>
  <si>
    <t xml:space="preserve">Ji cuadrada o Spearman</t>
  </si>
  <si>
    <t xml:space="preserve">Porcentaje y mediana</t>
  </si>
  <si>
    <t xml:space="preserve">Por marca preferida (P22)</t>
  </si>
  <si>
    <t xml:space="preserve">2.5.1 y 2.6.1</t>
  </si>
  <si>
    <t xml:space="preserve">Media, desviación estándar y porcentaje de satisfechos (4 y 5)</t>
  </si>
  <si>
    <t xml:space="preserve">Recomendación (NPS)</t>
  </si>
  <si>
    <t xml:space="preserve">De intervalo</t>
  </si>
  <si>
    <t xml:space="preserve">Cálculo del indicador NPS</t>
  </si>
  <si>
    <t xml:space="preserve">Media y NPS = % promotores (9 y 10) menos % detractores (0 a 6)</t>
  </si>
  <si>
    <t xml:space="preserve">Termómetro o barra dividida en promotores, pasivos y detractores</t>
  </si>
  <si>
    <t xml:space="preserve">Comparación de medias</t>
  </si>
  <si>
    <t xml:space="preserve">Mejora esperada</t>
  </si>
  <si>
    <t xml:space="preserve">Nominal codificada</t>
  </si>
  <si>
    <t xml:space="preserve">Categorización de respuestas abiertas</t>
  </si>
  <si>
    <t xml:space="preserve">Frecuencia por categoría emergente</t>
  </si>
  <si>
    <t xml:space="preserve">Distribución de primeras menciones</t>
  </si>
  <si>
    <t xml:space="preserve">Porcentaje de Top of Mind por marca</t>
  </si>
  <si>
    <t xml:space="preserve">Barras horizontales ordenadas</t>
  </si>
  <si>
    <t xml:space="preserve">P19 y P20</t>
  </si>
  <si>
    <t xml:space="preserve">Recordación total y asistida</t>
  </si>
  <si>
    <t xml:space="preserve">Porcentaje de conocimiento por marca; embudo de recordación</t>
  </si>
  <si>
    <t xml:space="preserve">Embudo: Top of Mind, espontánea, asistida</t>
  </si>
  <si>
    <t xml:space="preserve">Tabla de doble entrada de marcas por atributos</t>
  </si>
  <si>
    <t xml:space="preserve">Porcentaje de asociación por celda</t>
  </si>
  <si>
    <t xml:space="preserve">Mapa de posicionamiento o gráfico de radar por marca</t>
  </si>
  <si>
    <t xml:space="preserve">Frecuencia y porcentaje; comparación con P11</t>
  </si>
  <si>
    <t xml:space="preserve">Motivo de preferencia</t>
  </si>
  <si>
    <t xml:space="preserve">Frecuencia por categoría</t>
  </si>
  <si>
    <t xml:space="preserve">Importancia del empaque sostenible</t>
  </si>
  <si>
    <t xml:space="preserve">Media, desviación estándar y porcentaje de importantes (4 y 5)</t>
  </si>
  <si>
    <t xml:space="preserve">Porcentaje acumulado de quienes pagarían algo más</t>
  </si>
  <si>
    <t xml:space="preserve">Barras verticales con línea acumulada</t>
  </si>
  <si>
    <t xml:space="preserve">Por capacidad de gasto (P38) y por edad (F2)</t>
  </si>
  <si>
    <t xml:space="preserve">Conducta de reciclaje</t>
  </si>
  <si>
    <t xml:space="preserve">Distribución y mediana</t>
  </si>
  <si>
    <t xml:space="preserve">Por importancia del empaque (P24)</t>
  </si>
  <si>
    <t xml:space="preserve">Acción eco-eficiente preferida</t>
  </si>
  <si>
    <t xml:space="preserve">Media, desviación estándar y porcentaje de atractivo (4 y 5)</t>
  </si>
  <si>
    <t xml:space="preserve">Por edad (F2) y por sexo (P33)</t>
  </si>
  <si>
    <t xml:space="preserve">Porcentaje de intención positiva (4 y 5); estimación conservadora de demanda</t>
  </si>
  <si>
    <t xml:space="preserve">Por atractivo del concepto (P28)</t>
  </si>
  <si>
    <t xml:space="preserve">Precio aceptado para el concepto</t>
  </si>
  <si>
    <t xml:space="preserve">Mediana del rango y porcentaje acumulado</t>
  </si>
  <si>
    <t xml:space="preserve">Histograma con acumulada</t>
  </si>
  <si>
    <t xml:space="preserve">Por capacidad de gasto (P38)</t>
  </si>
  <si>
    <t xml:space="preserve">Por intención de compra (P29)</t>
  </si>
  <si>
    <t xml:space="preserve">Frecuencia por categoría de objeción</t>
  </si>
  <si>
    <t xml:space="preserve">P33 a P38</t>
  </si>
  <si>
    <t xml:space="preserve">Variables de clasificación</t>
  </si>
  <si>
    <t xml:space="preserve">Descripción de la muestra alcanzada</t>
  </si>
  <si>
    <t xml:space="preserve">Frecuencia y porcentaje; comparación con las cuotas planificadas</t>
  </si>
  <si>
    <t xml:space="preserve">Tabla de perfil de la muestra</t>
  </si>
  <si>
    <t xml:space="preserve">Se usan como variable de cruce en todo el análisis</t>
  </si>
  <si>
    <t xml:space="preserve">Base de todos los contrastes</t>
  </si>
  <si>
    <t xml:space="preserve">2.3 y 2.4</t>
  </si>
  <si>
    <t xml:space="preserve">ANÁLISIS DE RESULTADOS — estructura, redacción y control de calidad (punto 2.3)</t>
  </si>
  <si>
    <t xml:space="preserve">El error más frecuente de este apartado es presentar tablas sin leerlas. Una tabla sin interpretación no es un resultado: es un dato. La regla del componente cuantitativo es que cada tabla del informe va acompañada de tres párrafos, con el orden que se indica más abajo.</t>
  </si>
  <si>
    <t xml:space="preserve">A. ESTRUCTURA EXIGIDA DEL APARTADO 2.3</t>
  </si>
  <si>
    <t xml:space="preserve">Numeral</t>
  </si>
  <si>
    <t xml:space="preserve">Qué debe mostrar</t>
  </si>
  <si>
    <t xml:space="preserve">Plantilla de redacción</t>
  </si>
  <si>
    <t xml:space="preserve">Error frecuente que se penaliza</t>
  </si>
  <si>
    <t xml:space="preserve">Presentación de resultados: ficha técnica</t>
  </si>
  <si>
    <t xml:space="preserve">Población, muestra planificada y alcanzada, técnica, instrumento, fechas, lugar y margen de error real alcanzado.</t>
  </si>
  <si>
    <t xml:space="preserve">Se aplicaron NNN encuestas válidas a estudiantes de 18 a 25 años, entre el DD y el DD de setiembre de 2026, mediante un cuestionario estructurado de NN preguntas aplicado de forma presencial asistida. El margen de error resultante es de X,X% con un nivel de confianza del 95%.</t>
  </si>
  <si>
    <t xml:space="preserve">Omitir la muestra alcanzada o presentar una distinta de la calculada sin explicar la diferencia.</t>
  </si>
  <si>
    <t xml:space="preserve">Procesamiento y organización de los datos</t>
  </si>
  <si>
    <t xml:space="preserve">Descripción del proceso de codificación, depuración y del software empleado; número de encuestas anuladas y el motivo.</t>
  </si>
  <si>
    <t xml:space="preserve">Los datos se vaciaron en una base de Microsoft Excel según el libro de códigos del Anexo A.3. De las NNN encuestas recibidas se anularon NN por respuestas incompletas y NN por patrón de respuesta constante, quedando NNN casos válidos.</t>
  </si>
  <si>
    <t xml:space="preserve">Presentar la base sin declarar cuántos casos se descartaron ni por qué.</t>
  </si>
  <si>
    <t xml:space="preserve">Análisis con estadística descriptiva</t>
  </si>
  <si>
    <t xml:space="preserve">Tabla de frecuencias por pregunta con su gráfico, medidas de tendencia central y de dispersión donde el nivel de medición lo permita.</t>
  </si>
  <si>
    <t xml:space="preserve">La Tabla N muestra que el X% de los encuestados compra entre 3 y 4 veces por semana, con una mediana de N compras y una desviación estándar de N,N, lo que indica un comportamiento [homogéneo o disperso] en la frecuencia de compra.</t>
  </si>
  <si>
    <t xml:space="preserve">Calcular la media de una variable nominal, o reportar la desviación estándar de una escala de Likert sin la mediana.</t>
  </si>
  <si>
    <t xml:space="preserve">Gráficos, intervalos de confianza y pruebas de hipótesis</t>
  </si>
  <si>
    <t xml:space="preserve">Contraste de cada hipótesis del Avance 2, con el estadístico, el valor p y la decisión; intervalo de confianza de las proporciones principales.</t>
  </si>
  <si>
    <t xml:space="preserve">Al contrastar la hipótesis HE1 mediante la prueba ji cuadrada se obtuvo un valor de X,XX con un valor p de 0,0XX. Dado que el valor p es [menor o mayor] que 0,05, se [rechaza o no se rechaza] la hipótesis nula, por lo que la frecuencia de compra [sí o no] difiere según el sexo.</t>
  </si>
  <si>
    <t xml:space="preserve">Afirmar que se acepta la hipótesis nula, o concluir una relación causal a partir de una prueba de independencia.</t>
  </si>
  <si>
    <t xml:space="preserve">B. REGLA DE LOS TRES PÁRRAFOS: cómo se redacta el comentario de cada tabla</t>
  </si>
  <si>
    <t xml:space="preserve">Párrafo</t>
  </si>
  <si>
    <t xml:space="preserve">Función</t>
  </si>
  <si>
    <t xml:space="preserve">Qué contiene</t>
  </si>
  <si>
    <t xml:space="preserve">Ejemplo</t>
  </si>
  <si>
    <t xml:space="preserve">Verbo con el que empieza</t>
  </si>
  <si>
    <t xml:space="preserve">Extensión</t>
  </si>
  <si>
    <t xml:space="preserve">1°</t>
  </si>
  <si>
    <t xml:space="preserve">Descripción</t>
  </si>
  <si>
    <t xml:space="preserve">El dato principal de la tabla, sin adjetivos ni interpretación: el porcentaje mayor, el menor y la medida de tendencia central.</t>
  </si>
  <si>
    <t xml:space="preserve">El 42% de los encuestados compra entre 1 y 2 veces por semana, mientras que solo el 11% lo hace a diario; la mediana se ubica en 2 compras semanales.</t>
  </si>
  <si>
    <t xml:space="preserve">Muestra, indica, registra</t>
  </si>
  <si>
    <t xml:space="preserve">2 a 3 líneas</t>
  </si>
  <si>
    <t xml:space="preserve">2°</t>
  </si>
  <si>
    <t xml:space="preserve">Interpretación</t>
  </si>
  <si>
    <t xml:space="preserve">Qué significa ese dato para el consumidor y para la categoría; aquí se conecta con lo observado en otras preguntas.</t>
  </si>
  <si>
    <t xml:space="preserve">Este comportamiento indica que la categoría se consume de manera ocasional y no como parte de la rutina diaria, lo que coincide con el peso del factor precio observado en la pregunta 10.</t>
  </si>
  <si>
    <t xml:space="preserve">Indica que, evidencia que, se relaciona con</t>
  </si>
  <si>
    <t xml:space="preserve">3 a 4 líneas</t>
  </si>
  <si>
    <t xml:space="preserve">3°</t>
  </si>
  <si>
    <t xml:space="preserve">Consecuencia comercial</t>
  </si>
  <si>
    <t xml:space="preserve">Qué decisión del proyecto se sustenta con ese dato. Es el párrafo que conecta el capítulo 2 con el capítulo 3.</t>
  </si>
  <si>
    <t xml:space="preserve">En consecuencia, la estrategia debe orientarse a incrementar la frecuencia mediante promociones de recompra y no a captar nuevos consumidores, ya que el problema no es el alcance sino la repetición.</t>
  </si>
  <si>
    <t xml:space="preserve">En consecuencia, por ello, esto sustenta que</t>
  </si>
  <si>
    <t xml:space="preserve">C. FICHA DE HALLAZGO — se completa una por cada resultado relevante (mínimo diez en el informe final)</t>
  </si>
  <si>
    <t xml:space="preserve">Pregunta que lo origina</t>
  </si>
  <si>
    <t xml:space="preserve">Dato o estadístico obtenido</t>
  </si>
  <si>
    <t xml:space="preserve">Lectura comercial del dato</t>
  </si>
  <si>
    <t xml:space="preserve">Implicancia para la propuesta del capítulo 3</t>
  </si>
  <si>
    <t xml:space="preserve">EJ</t>
  </si>
  <si>
    <t xml:space="preserve">P25. Disposición a pagar por empaque ecológico</t>
  </si>
  <si>
    <t xml:space="preserve">El 63% pagaría hasta 10% más; el 21% no pagaría nada adicional.</t>
  </si>
  <si>
    <t xml:space="preserve">Existe una base mayoritaria dispuesta a asumir un sobreprecio moderado, pero no ilimitado.</t>
  </si>
  <si>
    <t xml:space="preserve">El sobreprecio del empaque compostable no debe superar el 10% del precio actual; por encima de ese umbral se pierde a uno de cada cinco consumidores.</t>
  </si>
  <si>
    <t xml:space="preserve">D. CONTROL DE CALIDAD ANTES DE ENTREGAR EL APARTADO 2.3</t>
  </si>
  <si>
    <t xml:space="preserve">•  Cada tabla está numerada, titulada y tiene indicada su fuente: elaboración propia sobre la base de la encuesta aplicada.</t>
  </si>
  <si>
    <t xml:space="preserve">•  El número de casos (n) aparece en todas las tablas, incluidas las de respuesta múltiple.</t>
  </si>
  <si>
    <t xml:space="preserve">•  Ninguna tabla de variable nominal reporta media ni desviación estándar.</t>
  </si>
  <si>
    <t xml:space="preserve">•  Los porcentajes de las tablas de respuesta múltiple están calculados sobre casos, no sobre menciones, y así está indicado al pie.</t>
  </si>
  <si>
    <t xml:space="preserve">•  Cada tabla tiene su comentario de tres párrafos; ninguna queda sin leer.</t>
  </si>
  <si>
    <t xml:space="preserve">•  Todas las hipótesis del Avance 2 aparecen contrastadas, incluidas las que no resultaron significativas.</t>
  </si>
  <si>
    <t xml:space="preserve">•  Ningún hallazgo del capítulo 3 se sustenta en un dato que no aparezca en el capítulo 2.</t>
  </si>
  <si>
    <t xml:space="preserve">•  Las tablas del informe coinciden exactamente con las salidas del software adjuntas en el Anexo A.3.</t>
  </si>
  <si>
    <t xml:space="preserve">LIBRO DE CÓDIGOS Y PLANTILLA DE VACIADO DE LA BASE DE DATOS (punto 2.3.1 y Anexo A.3)</t>
  </si>
  <si>
    <t xml:space="preserve">Se elabora en la semana 4, antes de aplicar la encuesta, y se usa en la semana 7 para depurar la base. Cada columna de la base de datos corresponde a una variable y cada fila a un encuestado. Los códigos se fijan antes del campo: cambiar la codificación con los datos ya vaciados es la causa más común de inconsistencias.</t>
  </si>
  <si>
    <t xml:space="preserve">Nombre de la variable</t>
  </si>
  <si>
    <t xml:space="preserve">Etiqueta de la variable (pregunta)</t>
  </si>
  <si>
    <t xml:space="preserve">Tipo de dato</t>
  </si>
  <si>
    <t xml:space="preserve">Valores y códigos</t>
  </si>
  <si>
    <t xml:space="preserve">Tratamiento de la no respuesta</t>
  </si>
  <si>
    <t xml:space="preserve">id</t>
  </si>
  <si>
    <t xml:space="preserve">Número correlativo del cuestionario</t>
  </si>
  <si>
    <t xml:space="preserve">Numérico</t>
  </si>
  <si>
    <t xml:space="preserve">Del 1 al n</t>
  </si>
  <si>
    <t xml:space="preserve">fecha</t>
  </si>
  <si>
    <t xml:space="preserve">Fecha de aplicación</t>
  </si>
  <si>
    <t xml:space="preserve">Fecha</t>
  </si>
  <si>
    <t xml:space="preserve">dd/mm/aaaa</t>
  </si>
  <si>
    <t xml:space="preserve">encuestador</t>
  </si>
  <si>
    <t xml:space="preserve">Integrante que aplicó la encuesta</t>
  </si>
  <si>
    <t xml:space="preserve">Texto</t>
  </si>
  <si>
    <t xml:space="preserve">Iniciales del integrante</t>
  </si>
  <si>
    <t xml:space="preserve">f1_matric</t>
  </si>
  <si>
    <t xml:space="preserve">F1. Condición de estudiante matriculado</t>
  </si>
  <si>
    <t xml:space="preserve">1 = Sí; 2 = No</t>
  </si>
  <si>
    <t xml:space="preserve">Caso eliminado si es 2</t>
  </si>
  <si>
    <t xml:space="preserve">f2_edad</t>
  </si>
  <si>
    <t xml:space="preserve">F2. Rango de edad</t>
  </si>
  <si>
    <t xml:space="preserve">1 = menos de 18; 2 = de 18 a 21; 3 = de 22 a 25; 4 = de 26 a más</t>
  </si>
  <si>
    <t xml:space="preserve">Caso eliminado si es 1 o 4</t>
  </si>
  <si>
    <t xml:space="preserve">f3_consumo</t>
  </si>
  <si>
    <t xml:space="preserve">F3. Consumo de la categoría en los últimos 3 meses</t>
  </si>
  <si>
    <t xml:space="preserve">p4_frec</t>
  </si>
  <si>
    <t xml:space="preserve">P4. Frecuencia de compra semanal</t>
  </si>
  <si>
    <t xml:space="preserve">1 = ninguna; 2 = de 1 a 2; 3 = de 3 a 4; 4 = de 5 a 6; 5 = todos los días</t>
  </si>
  <si>
    <t xml:space="preserve">99 = sin respuesta</t>
  </si>
  <si>
    <t xml:space="preserve">p5_lugar</t>
  </si>
  <si>
    <t xml:space="preserve">P5. Lugar de compra habitual</t>
  </si>
  <si>
    <t xml:space="preserve">1 a 6 según el orden de las alternativas</t>
  </si>
  <si>
    <t xml:space="preserve">p6_momento</t>
  </si>
  <si>
    <t xml:space="preserve">P6. Momento de compra</t>
  </si>
  <si>
    <t xml:space="preserve">1 a 5 según el orden de las alternativas</t>
  </si>
  <si>
    <t xml:space="preserve">p7_gasto</t>
  </si>
  <si>
    <t xml:space="preserve">P7. Gasto promedio por compra</t>
  </si>
  <si>
    <t xml:space="preserve">1 a 5 según el orden de los rangos</t>
  </si>
  <si>
    <t xml:space="preserve">p8_compania</t>
  </si>
  <si>
    <t xml:space="preserve">P8. Con quién consume</t>
  </si>
  <si>
    <t xml:space="preserve">p9_canal</t>
  </si>
  <si>
    <t xml:space="preserve">P9. Canal de compra</t>
  </si>
  <si>
    <t xml:space="preserve">1 a 4 según el orden de las alternativas</t>
  </si>
  <si>
    <t xml:space="preserve">13</t>
  </si>
  <si>
    <t xml:space="preserve">p10_fact_1 … p10_fact_10</t>
  </si>
  <si>
    <t xml:space="preserve">P10. Factores de elección (respuesta múltiple)</t>
  </si>
  <si>
    <t xml:space="preserve">Numérico dicotómico</t>
  </si>
  <si>
    <t xml:space="preserve">Una columna por atributo: 1 = mencionado; 0 = no mencionado</t>
  </si>
  <si>
    <t xml:space="preserve">0 cuando no se mencionó</t>
  </si>
  <si>
    <t xml:space="preserve">14</t>
  </si>
  <si>
    <t xml:space="preserve">p11_marca</t>
  </si>
  <si>
    <t xml:space="preserve">P11. Marca de compra habitual</t>
  </si>
  <si>
    <t xml:space="preserve">Un código por marca, más 98 = otra marca</t>
  </si>
  <si>
    <t xml:space="preserve">15</t>
  </si>
  <si>
    <t xml:space="preserve">p12a … p12f</t>
  </si>
  <si>
    <t xml:space="preserve">P12. Atributos del producto (matriz Likert)</t>
  </si>
  <si>
    <t xml:space="preserve">Del 1 al 5 según la escala de acuerdo</t>
  </si>
  <si>
    <t xml:space="preserve">16</t>
  </si>
  <si>
    <t xml:space="preserve">p13_precio</t>
  </si>
  <si>
    <t xml:space="preserve">P13. Percepción de precio justo</t>
  </si>
  <si>
    <t xml:space="preserve">17</t>
  </si>
  <si>
    <t xml:space="preserve">p14_precio_rel</t>
  </si>
  <si>
    <t xml:space="preserve">P14. Precio relativo frente a la competencia</t>
  </si>
  <si>
    <t xml:space="preserve">1 = mucho más bajo … 5 = mucho más alto</t>
  </si>
  <si>
    <t xml:space="preserve">18</t>
  </si>
  <si>
    <t xml:space="preserve">p15_satisf</t>
  </si>
  <si>
    <t xml:space="preserve">P15. Satisfacción global</t>
  </si>
  <si>
    <t xml:space="preserve">Del 1 al 5 según la escala de satisfacción</t>
  </si>
  <si>
    <t xml:space="preserve">19</t>
  </si>
  <si>
    <t xml:space="preserve">p16_nps</t>
  </si>
  <si>
    <t xml:space="preserve">P16. Probabilidad de recomendación</t>
  </si>
  <si>
    <t xml:space="preserve">Del 0 al 10</t>
  </si>
  <si>
    <t xml:space="preserve">20</t>
  </si>
  <si>
    <t xml:space="preserve">p17_mejora</t>
  </si>
  <si>
    <t xml:space="preserve">P17. Mejora esperada (abierta)</t>
  </si>
  <si>
    <t xml:space="preserve">Texto y luego numérico</t>
  </si>
  <si>
    <t xml:space="preserve">Se codifica después del campo por categorías emergentes</t>
  </si>
  <si>
    <t xml:space="preserve">98 = no responde</t>
  </si>
  <si>
    <t xml:space="preserve">21</t>
  </si>
  <si>
    <t xml:space="preserve">p18_tom</t>
  </si>
  <si>
    <t xml:space="preserve">P18. Recordación espontánea (Top of Mind)</t>
  </si>
  <si>
    <t xml:space="preserve">Un código por marca, más 98 = otra; 97 = ninguna</t>
  </si>
  <si>
    <t xml:space="preserve">22</t>
  </si>
  <si>
    <t xml:space="preserve">p19_esp_1 a p19_esp_3</t>
  </si>
  <si>
    <t xml:space="preserve">P19. Otras marcas recordadas</t>
  </si>
  <si>
    <t xml:space="preserve">Un código por marca en cada campo</t>
  </si>
  <si>
    <t xml:space="preserve">97 = ninguna otra</t>
  </si>
  <si>
    <t xml:space="preserve">23</t>
  </si>
  <si>
    <t xml:space="preserve">p20_asist_1 …</t>
  </si>
  <si>
    <t xml:space="preserve">P20. Recordación asistida (respuesta múltiple)</t>
  </si>
  <si>
    <t xml:space="preserve">Una columna por marca: 1 = conoce; 0 = no conoce</t>
  </si>
  <si>
    <t xml:space="preserve">0 cuando no la marcó</t>
  </si>
  <si>
    <t xml:space="preserve">24</t>
  </si>
  <si>
    <t xml:space="preserve">p21_[marca]_[atributo]</t>
  </si>
  <si>
    <t xml:space="preserve">P21. Atributos asociados por marca (matriz)</t>
  </si>
  <si>
    <t xml:space="preserve">Una columna por combinación de marca y atributo: 1 = asociado; 0 = no asociado</t>
  </si>
  <si>
    <t xml:space="preserve">25</t>
  </si>
  <si>
    <t xml:space="preserve">p22_pref</t>
  </si>
  <si>
    <t xml:space="preserve">P22. Marca preferida</t>
  </si>
  <si>
    <t xml:space="preserve">Un código por marca</t>
  </si>
  <si>
    <t xml:space="preserve">26</t>
  </si>
  <si>
    <t xml:space="preserve">p23_motivo</t>
  </si>
  <si>
    <t xml:space="preserve">P23. Motivo de preferencia (abierta)</t>
  </si>
  <si>
    <t xml:space="preserve">Se codifica después del campo</t>
  </si>
  <si>
    <t xml:space="preserve">27</t>
  </si>
  <si>
    <t xml:space="preserve">p24_import_eco</t>
  </si>
  <si>
    <t xml:space="preserve">P24. Importancia del empaque sostenible</t>
  </si>
  <si>
    <t xml:space="preserve">Del 1 al 5 según la escala de importancia</t>
  </si>
  <si>
    <t xml:space="preserve">28</t>
  </si>
  <si>
    <t xml:space="preserve">p25_dispuesto</t>
  </si>
  <si>
    <t xml:space="preserve">P25. Disposición a pagar un sobreprecio</t>
  </si>
  <si>
    <t xml:space="preserve">1 = nada; 2 = hasta 5%; 3 = de 6 a 10%; 4 = de 11 a 20%; 5 = más de 20%</t>
  </si>
  <si>
    <t xml:space="preserve">29</t>
  </si>
  <si>
    <t xml:space="preserve">p26_reciclaje</t>
  </si>
  <si>
    <t xml:space="preserve">P26. Frecuencia de reciclaje</t>
  </si>
  <si>
    <t xml:space="preserve">1 = nunca … 5 = siempre</t>
  </si>
  <si>
    <t xml:space="preserve">30</t>
  </si>
  <si>
    <t xml:space="preserve">p27_accion</t>
  </si>
  <si>
    <t xml:space="preserve">P27. Acción eco-eficiente preferida</t>
  </si>
  <si>
    <t xml:space="preserve">31</t>
  </si>
  <si>
    <t xml:space="preserve">p28_atractivo</t>
  </si>
  <si>
    <t xml:space="preserve">P28. Atractivo del concepto</t>
  </si>
  <si>
    <t xml:space="preserve">Del 1 al 5 según la escala de atractivo</t>
  </si>
  <si>
    <t xml:space="preserve">32</t>
  </si>
  <si>
    <t xml:space="preserve">p29_intencion</t>
  </si>
  <si>
    <t xml:space="preserve">P29. Intención de compra</t>
  </si>
  <si>
    <t xml:space="preserve">1 = definitivamente no … 5 = definitivamente sí</t>
  </si>
  <si>
    <t xml:space="preserve">33</t>
  </si>
  <si>
    <t xml:space="preserve">p30_precio_conc</t>
  </si>
  <si>
    <t xml:space="preserve">P30. Precio aceptado para el concepto</t>
  </si>
  <si>
    <t xml:space="preserve">34</t>
  </si>
  <si>
    <t xml:space="preserve">p31_atributo</t>
  </si>
  <si>
    <t xml:space="preserve">P31. Atributo más valorado del concepto</t>
  </si>
  <si>
    <t xml:space="preserve">Un código por atributo, más 98 = otro</t>
  </si>
  <si>
    <t xml:space="preserve">35</t>
  </si>
  <si>
    <t xml:space="preserve">p32_objecion</t>
  </si>
  <si>
    <t xml:space="preserve">P32. Objeciones al concepto (abierta)</t>
  </si>
  <si>
    <t xml:space="preserve">36</t>
  </si>
  <si>
    <t xml:space="preserve">p33_sexo</t>
  </si>
  <si>
    <t xml:space="preserve">P33. Sexo</t>
  </si>
  <si>
    <t xml:space="preserve">1 = femenino; 2 = masculino; 3 = prefiere no indicarlo</t>
  </si>
  <si>
    <t xml:space="preserve">37</t>
  </si>
  <si>
    <t xml:space="preserve">p35_ciclo</t>
  </si>
  <si>
    <t xml:space="preserve">P35. Ciclo de estudios</t>
  </si>
  <si>
    <t xml:space="preserve">Del 1 al 10 según el ciclo</t>
  </si>
  <si>
    <t xml:space="preserve">38</t>
  </si>
  <si>
    <t xml:space="preserve">p36_distrito</t>
  </si>
  <si>
    <t xml:space="preserve">P36. Distrito de residencia</t>
  </si>
  <si>
    <t xml:space="preserve">Un código por distrito, más 98 = otro</t>
  </si>
  <si>
    <t xml:space="preserve">39</t>
  </si>
  <si>
    <t xml:space="preserve">p37_situacion</t>
  </si>
  <si>
    <t xml:space="preserve">P37. Situación laboral</t>
  </si>
  <si>
    <t xml:space="preserve">1 = solo estudia; 2 = estudia y trabaja medio tiempo; 3 = estudia y trabaja tiempo completo</t>
  </si>
  <si>
    <t xml:space="preserve">40</t>
  </si>
  <si>
    <t xml:space="preserve">p38_gasto_sem</t>
  </si>
  <si>
    <t xml:space="preserve">P38. Gasto semanal disponible</t>
  </si>
  <si>
    <t xml:space="preserve">41</t>
  </si>
  <si>
    <t xml:space="preserve">estado_caso</t>
  </si>
  <si>
    <t xml:space="preserve">Resultado de la auditoría del caso</t>
  </si>
  <si>
    <t xml:space="preserve">1 = válido; 2 = anulado por incompleto; 3 = anulado por patrón constante; 4 = anulado por no elegible</t>
  </si>
  <si>
    <t xml:space="preserve">EJEMPLO DE VACIADO — así se ve la base de datos en Excel (una fila por encuestado)</t>
  </si>
  <si>
    <t xml:space="preserve">id | fecha | encuestador | f2_edad | p4_frec | p7_gasto | p12a | p12b | p13_precio | p15_satisf | p16_nps | p25_dispuesto | p33_sexo | estado_caso</t>
  </si>
  <si>
    <t xml:space="preserve">001 | 09/09/2026 | EMR | 2 | 3 | 2 | 4 | 3 | 2 | 4 | 8 | 3 | 1 | 1</t>
  </si>
  <si>
    <t xml:space="preserve">002 | 09/09/2026 | EMR | 3 | 2 | 3 | 5 | 4 | 4 | 5 | 9 | 2 | 2 | 1</t>
  </si>
  <si>
    <t xml:space="preserve">003 | 10/09/2026 | LRC | 2 | 1 | 1 | 2 | 2 | 1 | 2 | 3 | 1 | 1 | 1</t>
  </si>
  <si>
    <t xml:space="preserve">Regla de oro del vaciado: nunca se escribe texto en una columna numérica. Si un encuestado no responde, se registra el código 99 y jamás se deja la celda vacía, porque una celda en blanco distorsiona los promedios que se calculan en la semana 8.</t>
  </si>
  <si>
    <t xml:space="preserve">CICLO DE REVISIÓN Y PROFESIONALIZACIÓN — semanas 5 a 16</t>
  </si>
  <si>
    <t xml:space="preserve">De la semana 5 en adelante no se produce material nuevo desde cero. Cada sesión de clase aporta el criterio técnico con el que se vuelve sobre un entregable ya construido y se eleva su nivel. Esta hoja indica qué se reabre cada semana y con qué estándar se evalúa la nueva versión.</t>
  </si>
  <si>
    <t xml:space="preserve">Qué entregable ya construido se reabre</t>
  </si>
  <si>
    <t xml:space="preserve">Nivel de profesionalización esperado en la nueva versión</t>
  </si>
  <si>
    <t xml:space="preserve">Punto del informe que queda cerrado</t>
  </si>
  <si>
    <t xml:space="preserve">Versión resultante</t>
  </si>
  <si>
    <t xml:space="preserve">La encuesta como técnica: tipos y canales</t>
  </si>
  <si>
    <t xml:space="preserve">El cuestionario aplicado y su canal de administración</t>
  </si>
  <si>
    <t xml:space="preserve">El equipo justifica técnicamente por qué eligió su canal de aplicación, reconoce el sesgo que ese canal introduce y lo declara en las limitaciones del estudio. Se redacta la ficha técnica definitiva.</t>
  </si>
  <si>
    <t xml:space="preserve">2.3 (ficha técnica)</t>
  </si>
  <si>
    <t xml:space="preserve">Cuestionario v1.1</t>
  </si>
  <si>
    <t xml:space="preserve">El cuestionario completo, pregunta por pregunta</t>
  </si>
  <si>
    <t xml:space="preserve">Se auditan las diez reglas de redacción de la hoja «6. Cuestionario»: preguntas dobles, sesgadas, rangos superpuestos, orden de espontáneas y asistidas. Se documenta cada cambio en un cuadro de v1 frente a v2.</t>
  </si>
  <si>
    <t xml:space="preserve">2.2.3 y Anexo A.2</t>
  </si>
  <si>
    <t xml:space="preserve">Cuestionario v2 (final)</t>
  </si>
  <si>
    <t xml:space="preserve">Procesamiento de datos: limpieza y codificación</t>
  </si>
  <si>
    <t xml:space="preserve">La base de datos vaciada durante el campo</t>
  </si>
  <si>
    <t xml:space="preserve">La base pasa de un vaciado directo a una base auditada: sin duplicados, sin valores fuera de rango, con la no respuesta codificada y con el registro de los casos anulados y su motivo.</t>
  </si>
  <si>
    <t xml:space="preserve">Base v2 depurada</t>
  </si>
  <si>
    <t xml:space="preserve">Análisis descriptivo y visualización</t>
  </si>
  <si>
    <t xml:space="preserve">El plan de tabulación de la hoja 7</t>
  </si>
  <si>
    <t xml:space="preserve">Se ejecuta el plan completo y se descubre qué análisis previstos no eran posibles y por qué; se corrige el plan y se redacta el punto 2.3.2 con la regla de los tres párrafos.</t>
  </si>
  <si>
    <t xml:space="preserve">Tablas y gráficos v1</t>
  </si>
  <si>
    <t xml:space="preserve">Gestión de bases de datos en Jamovi</t>
  </si>
  <si>
    <t xml:space="preserve">La base depurada y la declaración de niveles de medición del Avance 2</t>
  </si>
  <si>
    <t xml:space="preserve">Se verifica que el nivel de medición declarado en la matriz de operacionalización coincida con el asignado en el software; toda discrepancia obliga a corregir la matriz, no el software.</t>
  </si>
  <si>
    <t xml:space="preserve">Base v3 en Jamovi</t>
  </si>
  <si>
    <t xml:space="preserve">Inferencia y contraste de hipótesis</t>
  </si>
  <si>
    <t xml:space="preserve">Las hipótesis del Avance 2</t>
  </si>
  <si>
    <t xml:space="preserve">Las hipótesis dejan de ser una declaración y pasan a ser una conclusión: cada una con su prueba, su valor p y su decisión redactada en lenguaje comercial, incluidas las no significativas.</t>
  </si>
  <si>
    <t xml:space="preserve">Hipótesis contrastadas</t>
  </si>
  <si>
    <t xml:space="preserve">El módulo A del cuestionario y su análisis</t>
  </si>
  <si>
    <t xml:space="preserve">Se contrasta el módulo con el estándar de un estudio U&amp;A profesional y se identifica qué quedó sin preguntar; lo faltante se declara como limitación y se redacta el punto 2.4.1 con los datos disponibles.</t>
  </si>
  <si>
    <t xml:space="preserve">Punto 2.4.1 redactado</t>
  </si>
  <si>
    <t xml:space="preserve">Estudio de productos</t>
  </si>
  <si>
    <t xml:space="preserve">El módulo B y el módulo E del cuestionario</t>
  </si>
  <si>
    <t xml:space="preserve">Se eleva el análisis de producto al estándar de una prueba de concepto: intención de compra, precio aceptado y atributos, con la lectura de qué se rediseña primero.</t>
  </si>
  <si>
    <t xml:space="preserve">Punto 2.6.1 redactado</t>
  </si>
  <si>
    <t xml:space="preserve">El módulo C del cuestionario</t>
  </si>
  <si>
    <t xml:space="preserve">Se construye el mapa de posicionamiento a partir de la matriz de atributos por marca y se interpreta el territorio disponible para la propuesta del equipo.</t>
  </si>
  <si>
    <t xml:space="preserve">Punto 2.5.1 redactado</t>
  </si>
  <si>
    <t xml:space="preserve">Segmentación de mercado y satisfacción</t>
  </si>
  <si>
    <t xml:space="preserve">Todo el análisis acumulado</t>
  </si>
  <si>
    <t xml:space="preserve">El perfil del público objetivo deja de ser una descripción genérica y se convierte en un perfil sustentado: cada rasgo del perfil cita el dato de la encuesta que lo respalda.</t>
  </si>
  <si>
    <t xml:space="preserve">Punto 2.4 redactado</t>
  </si>
  <si>
    <t xml:space="preserve">Los apartados 2.2.1, 2.2.2, 2.2.3, 2.3, 2.4, 2.5.1 y 2.6.1</t>
  </si>
  <si>
    <t xml:space="preserve">Se integran los apartados en un texto continuo con formato APA 7, se verifica la trazabilidad entre objetivo, pregunta, tabla y conclusión, y se prepara la defensa de la metodología ante el jurado.</t>
  </si>
  <si>
    <t xml:space="preserve">Todos los puntos del componente</t>
  </si>
  <si>
    <t xml:space="preserve">Informe integrado</t>
  </si>
  <si>
    <t xml:space="preserve">Las observaciones del jurado sobre la metodología</t>
  </si>
  <si>
    <t xml:space="preserve">Se levantan las observaciones metodológicas y se entrega la versión final de los anexos A.2 y A.3.</t>
  </si>
  <si>
    <t xml:space="preserve">Anexos A.2 y A.3</t>
  </si>
  <si>
    <t xml:space="preserve">Versión final</t>
  </si>
  <si>
    <t xml:space="preserve">RÚBRICAS DE EVALUACIÓN DEL COMPONENTE CUANTITATIVO</t>
  </si>
  <si>
    <t xml:space="preserve">Escala vigesimal. Cada rúbrica tiene cinco criterios de cuatro puntos, de modo que el puntaje total equivale directamente a la nota sobre 20. La nota mínima aprobatoria es 13,00. La columna «Puntaje» es la única que se completa.</t>
  </si>
  <si>
    <t xml:space="preserve">RÚBRICA DEL AVANCE 1 — SEMANA 2 · PLANTEAMIENTO (punto 2.2.1, parte A)</t>
  </si>
  <si>
    <t xml:space="preserve">Criterio</t>
  </si>
  <si>
    <t xml:space="preserve">Excelente (4 puntos)</t>
  </si>
  <si>
    <t xml:space="preserve">Bueno (3 puntos)</t>
  </si>
  <si>
    <t xml:space="preserve">Satisfactorio (2 puntos)</t>
  </si>
  <si>
    <t xml:space="preserve">Insuficiente (1 punto)</t>
  </si>
  <si>
    <t xml:space="preserve">Puntaje</t>
  </si>
  <si>
    <t xml:space="preserve">Formulación del problema de investigación</t>
  </si>
  <si>
    <t xml:space="preserve">El problema se formula como pregunta medible, delimita población, contexto y período, y se distingue con claridad del problema de decisión gerencial.</t>
  </si>
  <si>
    <t xml:space="preserve">El problema es medible y está delimitado, con alguna imprecisión en la población o en el período.</t>
  </si>
  <si>
    <t xml:space="preserve">El problema se enuncia, pero se confunde parcialmente con el problema comercial o no delimita el contexto.</t>
  </si>
  <si>
    <t xml:space="preserve">El problema es una afirmación comercial del tipo «aumentar las ventas», no investigable con datos.</t>
  </si>
  <si>
    <t xml:space="preserve">Objetivos de investigación</t>
  </si>
  <si>
    <t xml:space="preserve">El objetivo general emplea un verbo verificable y los específicos se corresponden uno a uno con las preguntas de investigación.</t>
  </si>
  <si>
    <t xml:space="preserve">Los objetivos son verificables y coherentes, con una correspondencia incompleta con las preguntas.</t>
  </si>
  <si>
    <t xml:space="preserve">Los objetivos existen, pero algunos usan verbos de acción comercial o repiten el objetivo general.</t>
  </si>
  <si>
    <t xml:space="preserve">Los objetivos están ausentes, son inverificables o no guardan relación con el problema.</t>
  </si>
  <si>
    <t xml:space="preserve">Distinción entre hechos y supuestos</t>
  </si>
  <si>
    <t xml:space="preserve">Separa con precisión lo comprobado de lo supuesto e indica para cada supuesto el dato que permitiría comprobarlo.</t>
  </si>
  <si>
    <t xml:space="preserve">Separa hechos y supuestos, sin precisar cómo se comprobaría alguno de ellos.</t>
  </si>
  <si>
    <t xml:space="preserve">La separación es parcial y varios supuestos se presentan como hechos.</t>
  </si>
  <si>
    <t xml:space="preserve">No distingue hechos de supuestos; el planteamiento se apoya en opiniones.</t>
  </si>
  <si>
    <t xml:space="preserve">Definición y dimensionamiento de la población</t>
  </si>
  <si>
    <t xml:space="preserve">Define la población con criterios de inclusión y exclusión y la dimensiona numéricamente citando la fuente y la tasa de incidencia.</t>
  </si>
  <si>
    <t xml:space="preserve">Define y dimensiona la población, con una fuente débil o sin tasa de incidencia.</t>
  </si>
  <si>
    <t xml:space="preserve">Define la población de forma general y sin dimensionarla en número de personas.</t>
  </si>
  <si>
    <t xml:space="preserve">La población no está definida o se describe de manera vaga e inaplicable al muestreo.</t>
  </si>
  <si>
    <t xml:space="preserve">Matriz «qué necesito saber» y justificación</t>
  </si>
  <si>
    <t xml:space="preserve">Toda información declarada se vincula a un objetivo y a una decisión de marketing; la justificación aplica el criterio de valor de la información.</t>
  </si>
  <si>
    <t xml:space="preserve">La matriz está completa y la justificación es adecuada, con algún vínculo débil.</t>
  </si>
  <si>
    <t xml:space="preserve">La matriz está incompleta o incluye información que no sirve a ninguna decisión.</t>
  </si>
  <si>
    <t xml:space="preserve">No presenta la matriz o la justificación se limita a afirmar que el tema es importante.</t>
  </si>
  <si>
    <t xml:space="preserve">NOTA DEL AVANCE (sobre 20)</t>
  </si>
  <si>
    <t xml:space="preserve">RÚBRICA DEL AVANCE 2 — SEMANA 3 · VARIABLES E HIPÓTESIS (punto 2.2.1, parte B)</t>
  </si>
  <si>
    <t xml:space="preserve">Identificación de variables</t>
  </si>
  <si>
    <t xml:space="preserve">Identifica correctamente la variable dependiente y las independientes, y las clasifica de acuerdo con el problema formulado.</t>
  </si>
  <si>
    <t xml:space="preserve">Identifica las variables con una clasificación imprecisa en alguna de ellas.</t>
  </si>
  <si>
    <t xml:space="preserve">Identifica variables, pero confunde la dependiente con las independientes.</t>
  </si>
  <si>
    <t xml:space="preserve">Las variables no se identifican o no corresponden al problema planteado.</t>
  </si>
  <si>
    <t xml:space="preserve">Operacionalización</t>
  </si>
  <si>
    <t xml:space="preserve">Cada variable presenta definición conceptual, definición operacional, dimensión e indicador coherentes entre sí.</t>
  </si>
  <si>
    <t xml:space="preserve">La operacionalización está completa, con algún indicador poco medible.</t>
  </si>
  <si>
    <t xml:space="preserve">La matriz está incompleta: faltan indicadores o las definiciones operacionales no indican cómo se mide.</t>
  </si>
  <si>
    <t xml:space="preserve">No se operacionalizan las variables; solo se enumeran.</t>
  </si>
  <si>
    <t xml:space="preserve">Asigna correctamente el nivel de medición a cada indicador y declara la escala con su número de puntos.</t>
  </si>
  <si>
    <t xml:space="preserve">Asigna los niveles con un error puntual que no afecta el análisis previsto.</t>
  </si>
  <si>
    <t xml:space="preserve">Confunde nivel ordinal con de intervalo en varios indicadores.</t>
  </si>
  <si>
    <t xml:space="preserve">Los niveles de medición están ausentes o son incorrectos en su mayoría.</t>
  </si>
  <si>
    <t xml:space="preserve">Formulación de hipótesis</t>
  </si>
  <si>
    <t xml:space="preserve">Las hipótesis nula y alterna están correctamente redactadas, son contrastables con el instrumento y declaran la prueba estadística prevista.</t>
  </si>
  <si>
    <t xml:space="preserve">Las hipótesis son contrastables y están bien redactadas, sin precisar la prueba prevista.</t>
  </si>
  <si>
    <t xml:space="preserve">Las hipótesis se enuncian como afirmaciones generales, difíciles de contrastar con el cuestionario.</t>
  </si>
  <si>
    <t xml:space="preserve">No presenta hipótesis o las redacta como objetivos.</t>
  </si>
  <si>
    <t xml:space="preserve">Trazabilidad hacia el cuestionario</t>
  </si>
  <si>
    <t xml:space="preserve">Cada indicador remite a una pregunta numerada del banco preliminar y ninguna pregunta queda sin indicador de origen.</t>
  </si>
  <si>
    <t xml:space="preserve">La trazabilidad es adecuada, con dos o tres indicadores sin pregunta asociada.</t>
  </si>
  <si>
    <t xml:space="preserve">La trazabilidad es parcial: buena parte del banco de preguntas no responde a ningún indicador.</t>
  </si>
  <si>
    <t xml:space="preserve">No existe vínculo entre la matriz y las preguntas propuestas.</t>
  </si>
  <si>
    <t xml:space="preserve">RÚBRICA DEL AVANCE 3 — SEMANA 4 · MUESTREO Y CUESTIONARIO (puntos 2.2.2 y 2.2.3)</t>
  </si>
  <si>
    <t xml:space="preserve">Diseño muestral y justificación</t>
  </si>
  <si>
    <t xml:space="preserve">Define unidad de análisis, unidad de muestreo y marco muestral, elige el tipo de muestreo con una justificación técnica y declara su consecuencia sobre la generalización.</t>
  </si>
  <si>
    <t xml:space="preserve">El diseño está completo y justificado, sin declarar la consecuencia sobre la generalización.</t>
  </si>
  <si>
    <t xml:space="preserve">Elige un tipo de muestreo sin justificarlo o no define la unidad de muestreo.</t>
  </si>
  <si>
    <t xml:space="preserve">El diseño muestral está ausente o es incoherente con la población definida.</t>
  </si>
  <si>
    <t xml:space="preserve">Cálculo del tamaño de muestra</t>
  </si>
  <si>
    <t xml:space="preserve">Aplica correctamente la fórmula con el ajuste de población finita, declara todos los parámetros y distribuye la muestra en cuotas coherentes.</t>
  </si>
  <si>
    <t xml:space="preserve">El cálculo es correcto y los parámetros están declarados, con una distribución por cuotas poco justificada.</t>
  </si>
  <si>
    <t xml:space="preserve">Aplica la fórmula con errores en algún parámetro o no ajusta a población finita.</t>
  </si>
  <si>
    <t xml:space="preserve">El tamaño de muestra se fija sin cálculo o sin relación con la población.</t>
  </si>
  <si>
    <t xml:space="preserve">Estructura del cuestionario</t>
  </si>
  <si>
    <t xml:space="preserve">El cuestionario presenta consentimiento, filtros, módulos ordenados por objetivo y datos de clasificación al final, con un flujo lógico sin saltos.</t>
  </si>
  <si>
    <t xml:space="preserve">La estructura es correcta, con un módulo ubicado en un orden discutible.</t>
  </si>
  <si>
    <t xml:space="preserve">El cuestionario mezcla temas o coloca los datos de clasificación al inicio.</t>
  </si>
  <si>
    <t xml:space="preserve">El cuestionario es una lista de preguntas sin estructura ni filtros.</t>
  </si>
  <si>
    <t xml:space="preserve">Calidad técnica de las preguntas y escalas</t>
  </si>
  <si>
    <t xml:space="preserve">La redacción es neutral, las alternativas son excluyentes y exhaustivas, los rangos no se superponen y la escala de Likert mantiene el mismo número de puntos en todo el instrumento.</t>
  </si>
  <si>
    <t xml:space="preserve">La calidad técnica es adecuada, con una o dos preguntas mejorables.</t>
  </si>
  <si>
    <t xml:space="preserve">Aparecen preguntas dobles, sesgadas o rangos superpuestos en varias preguntas.</t>
  </si>
  <si>
    <t xml:space="preserve">Predominan preguntas mal formuladas; el instrumento no permitiría analizar los datos.</t>
  </si>
  <si>
    <t xml:space="preserve">Prueba piloto y plan de tabulación</t>
  </si>
  <si>
    <t xml:space="preserve">Aplica el piloto a diez casos, documenta los ajustes derivados y presenta el plan de tabulación completo antes de iniciar el campo.</t>
  </si>
  <si>
    <t xml:space="preserve">Realiza el piloto y presenta el plan de tabulación, con documentación incompleta de los ajustes.</t>
  </si>
  <si>
    <t xml:space="preserve">Realiza el piloto sin documentarlo, o presenta un plan de tabulación parcial.</t>
  </si>
  <si>
    <t xml:space="preserve">No realiza prueba piloto ni presenta plan de tabulación.</t>
  </si>
  <si>
    <t xml:space="preserve">RÚBRICA DE CIERRE — SEMANA 15 · COMPONENTE CUANTITATIVO COMPLETO</t>
  </si>
  <si>
    <t xml:space="preserve">Rigor metodológico integral</t>
  </si>
  <si>
    <t xml:space="preserve">La cadena problema, objetivo, variable, indicador, pregunta, tabla y conclusión es trazable en su totalidad y sin rupturas.</t>
  </si>
  <si>
    <t xml:space="preserve">La cadena es trazable, con una ruptura menor que no invalida las conclusiones.</t>
  </si>
  <si>
    <t xml:space="preserve">La trazabilidad se pierde en algún tramo: hay conclusiones sin dato de respaldo.</t>
  </si>
  <si>
    <t xml:space="preserve">No hay trazabilidad: las conclusiones no proceden de los datos recogidos.</t>
  </si>
  <si>
    <t xml:space="preserve">Análisis estadístico e interpretación</t>
  </si>
  <si>
    <t xml:space="preserve">Los estadísticos corresponden al nivel de medición, las hipótesis están contrastadas y cada tabla se interpreta con la regla de los tres párrafos.</t>
  </si>
  <si>
    <t xml:space="preserve">El análisis es correcto y está interpretado, con imprecisiones menores en la lectura.</t>
  </si>
  <si>
    <t xml:space="preserve">El análisis es superficial: tablas sin interpretación o estadísticos que no corresponden al nivel de medición.</t>
  </si>
  <si>
    <t xml:space="preserve">Los resultados carecen de sustento estadístico o están mal interpretados.</t>
  </si>
  <si>
    <t xml:space="preserve">El perfil del público objetivo cita el dato de la encuesta que respalda cada uno de sus rasgos.</t>
  </si>
  <si>
    <t xml:space="preserve">El perfil está sustentado en datos, con algún rasgo sin respaldo explícito.</t>
  </si>
  <si>
    <t xml:space="preserve">El perfil es mayormente descriptivo y se apoya poco en los resultados.</t>
  </si>
  <si>
    <t xml:space="preserve">El perfil se construye con supuestos y no con los datos del estudio.</t>
  </si>
  <si>
    <t xml:space="preserve">Estudios de posicionamiento y de producto</t>
  </si>
  <si>
    <t xml:space="preserve">Los apartados 2.5.1 y 2.6.1 presentan el análisis completo de sus módulos y derivan implicancias claras para la propuesta del capítulo 3.</t>
  </si>
  <si>
    <t xml:space="preserve">Ambos apartados están desarrollados, con implicancias poco explícitas.</t>
  </si>
  <si>
    <t xml:space="preserve">Uno de los dos apartados es superficial o no deriva implicancia alguna.</t>
  </si>
  <si>
    <t xml:space="preserve">Los apartados están ausentes o se limitan a describir tablas.</t>
  </si>
  <si>
    <t xml:space="preserve">Anexos y evidencia del proceso</t>
  </si>
  <si>
    <t xml:space="preserve">Los anexos A.2 y A.3 contienen el instrumento final, la constancia de validación, la base de datos y las salidas del software, con correspondencia exacta con las tablas del informe.</t>
  </si>
  <si>
    <t xml:space="preserve">Los anexos están completos, con una diferencia menor respecto de las tablas del informe.</t>
  </si>
  <si>
    <t xml:space="preserve">Los anexos están incompletos: falta la base de datos o la validación del instrumento.</t>
  </si>
  <si>
    <t xml:space="preserve">No se presentan anexos o no corresponden al estudio realizado.</t>
  </si>
  <si>
    <t xml:space="preserve">CONSOLIDADO DE NOTAS DEL COMPONENTE CUANTITATIVO</t>
  </si>
  <si>
    <t xml:space="preserve">Evaluación</t>
  </si>
  <si>
    <t xml:space="preserve">Peso</t>
  </si>
  <si>
    <t xml:space="preserve">Nota obtenida (0 a 20)</t>
  </si>
  <si>
    <t xml:space="preserve">Ponderado</t>
  </si>
  <si>
    <t xml:space="preserve">Condición</t>
  </si>
  <si>
    <t xml:space="preserve">Avance 1. Planteamiento</t>
  </si>
  <si>
    <t xml:space="preserve">Avance 2. Variables e hipótesis</t>
  </si>
  <si>
    <t xml:space="preserve">Avance 3. Muestreo y cuestionario</t>
  </si>
  <si>
    <t xml:space="preserve">Cierre del componente</t>
  </si>
  <si>
    <t xml:space="preserve">NOTA FINAL DEL COMPONENTE CUANTITATIVO</t>
  </si>
  <si>
    <t xml:space="preserve">Los pesos de esta tabla son una propuesta y se ajustan al sistema de evaluación de la unidad didáctica. La nota mínima aprobatoria es 13,00 en la escala vigesimal.</t>
  </si>
  <si>
    <t xml:space="preserve">CHECKLIST DE ENTREGA DEL COMPONENTE CUANTITATIVO — semana 15</t>
  </si>
  <si>
    <t xml:space="preserve">Se verifica punto por punto antes de entregar el informe final. Un punto marcado como No exige indicar en la última columna la fecha en la que se levantará la observación.</t>
  </si>
  <si>
    <t xml:space="preserve">Punto del informe o evidencia</t>
  </si>
  <si>
    <t xml:space="preserve">Qué se verifica</t>
  </si>
  <si>
    <t xml:space="preserve">¿Incluido?</t>
  </si>
  <si>
    <t xml:space="preserve">Semana en que se produjo</t>
  </si>
  <si>
    <t xml:space="preserve">Responsable del equipo</t>
  </si>
  <si>
    <t xml:space="preserve">Método de investigación</t>
  </si>
  <si>
    <t xml:space="preserve">El enfoque, el tipo y el diseño de la investigación están declarados y son coherentes con el problema.</t>
  </si>
  <si>
    <t xml:space="preserve">Problema, variables e hipótesis</t>
  </si>
  <si>
    <t xml:space="preserve">Problema, preguntas, objetivos, justificación, alcance, limitaciones, matriz de operacionalización e hipótesis, todos presentes y coherentes entre sí.</t>
  </si>
  <si>
    <t xml:space="preserve">Muestreo y tamaño de muestra</t>
  </si>
  <si>
    <t xml:space="preserve">Tipo de muestreo justificado, fórmula aplicada con todos sus parámetros, ajuste a población finita y distribución por cuotas.</t>
  </si>
  <si>
    <t xml:space="preserve">Diseño del cuestionario</t>
  </si>
  <si>
    <t xml:space="preserve">Cuestionario final estructurado por módulos, con la justificación de los tipos de pregunta y de las escalas empleadas.</t>
  </si>
  <si>
    <t xml:space="preserve">Sem 4 y 6</t>
  </si>
  <si>
    <t xml:space="preserve">Ficha técnica del estudio</t>
  </si>
  <si>
    <t xml:space="preserve">Muestra planificada frente a la alcanzada, fechas, lugar, técnica, instrumento y margen de error real.</t>
  </si>
  <si>
    <t xml:space="preserve">Procesamiento de datos</t>
  </si>
  <si>
    <t xml:space="preserve">Descripción de la codificación y depuración, con el número de casos anulados y su motivo.</t>
  </si>
  <si>
    <t xml:space="preserve">Estadística descriptiva</t>
  </si>
  <si>
    <t xml:space="preserve">Tablas de frecuencia y de contingencia con sus gráficos, medidas de tendencia central y de dispersión, y su interpretación.</t>
  </si>
  <si>
    <t xml:space="preserve">Cada hipótesis del Avance 2 contrastada, con su estadístico, valor p, decisión e interpretación comercial.</t>
  </si>
  <si>
    <t xml:space="preserve">Público objetivo</t>
  </si>
  <si>
    <t xml:space="preserve">Perfil sustentado, con el dato de la encuesta que respalda cada rasgo.</t>
  </si>
  <si>
    <t xml:space="preserve">Segmentación, hábitos y actitudes</t>
  </si>
  <si>
    <t xml:space="preserve">Análisis completo del módulo U&amp;A: frecuencia, lugar, momento, gasto, canal y factores de elección.</t>
  </si>
  <si>
    <t xml:space="preserve">Imagen y posicionamiento</t>
  </si>
  <si>
    <t xml:space="preserve">Recordación espontánea y asistida, atributos por marca y mapa de posicionamiento frente a la competencia.</t>
  </si>
  <si>
    <t xml:space="preserve">Producto: percepción, uso y satisfacción</t>
  </si>
  <si>
    <t xml:space="preserve">Evaluación de atributos, satisfacción global, recomendación, intención de compra y precio aceptado.</t>
  </si>
  <si>
    <t xml:space="preserve">Anexo: instrumento aplicado</t>
  </si>
  <si>
    <t xml:space="preserve">Cuestionario final, ficha técnica del instrumento, constancia de validación por juicio de experto y captura del formulario digital.</t>
  </si>
  <si>
    <t xml:space="preserve">Anexo: base de datos y salidas</t>
  </si>
  <si>
    <t xml:space="preserve">Base completa, libro de códigos y salidas del software, con correspondencia exacta con las tablas del informe.</t>
  </si>
  <si>
    <t xml:space="preserve">Trazabilidad general</t>
  </si>
  <si>
    <t xml:space="preserve">Cada conclusión del informe remite a una tabla, cada tabla a una pregunta y cada pregunta a un objetivo.</t>
  </si>
  <si>
    <t xml:space="preserve">Formato APA 7</t>
  </si>
  <si>
    <t xml:space="preserve">Tablas y figuras numeradas, tituladas y con fuente; citas y referencias en formato APA 7.</t>
  </si>
  <si>
    <t xml:space="preserve">AVANCE DEL COMPONENTE</t>
  </si>
  <si>
    <t xml:space="preserve">Porcentaje de puntos marcados como Sí</t>
  </si>
</sst>
</file>

<file path=xl/styles.xml><?xml version="1.0" encoding="utf-8"?>
<styleSheet xmlns="http://schemas.openxmlformats.org/spreadsheetml/2006/main">
  <numFmts count="5">
    <numFmt numFmtId="164" formatCode="General"/>
    <numFmt numFmtId="165" formatCode="0%"/>
    <numFmt numFmtId="166" formatCode="0.00"/>
    <numFmt numFmtId="167" formatCode="General"/>
    <numFmt numFmtId="168" formatCode="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b val="true"/>
      <sz val="13"/>
      <color rgb="FFFFFFFF"/>
      <name val="Arial"/>
      <family val="0"/>
      <charset val="1"/>
    </font>
    <font>
      <sz val="9"/>
      <name val="Arial"/>
      <family val="0"/>
      <charset val="1"/>
    </font>
    <font>
      <b val="true"/>
      <sz val="11"/>
      <color rgb="FF833C0C"/>
      <name val="Arial"/>
      <family val="0"/>
      <charset val="1"/>
    </font>
    <font>
      <b val="true"/>
      <sz val="12"/>
      <color rgb="FFFFFFFF"/>
      <name val="Arial"/>
      <family val="0"/>
      <charset val="1"/>
    </font>
    <font>
      <i val="true"/>
      <sz val="9"/>
      <name val="Arial"/>
      <family val="0"/>
      <charset val="1"/>
    </font>
    <font>
      <b val="true"/>
      <sz val="10"/>
      <color rgb="FF1F3864"/>
      <name val="Arial"/>
      <family val="0"/>
      <charset val="1"/>
    </font>
    <font>
      <b val="true"/>
      <sz val="9"/>
      <name val="Courier New"/>
      <family val="0"/>
      <charset val="1"/>
    </font>
    <font>
      <sz val="9"/>
      <name val="Courier New"/>
      <family val="0"/>
      <charset val="1"/>
    </font>
    <font>
      <b val="true"/>
      <sz val="11"/>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E2EFDA"/>
      </patternFill>
    </fill>
    <fill>
      <patternFill patternType="solid">
        <fgColor rgb="FFDCE6F1"/>
        <bgColor rgb="FFE2EFDA"/>
      </patternFill>
    </fill>
    <fill>
      <patternFill patternType="solid">
        <fgColor rgb="FFFFF2CC"/>
        <bgColor rgb="FFFCE4D6"/>
      </patternFill>
    </fill>
    <fill>
      <patternFill patternType="solid">
        <fgColor rgb="FFE2EFDA"/>
        <bgColor rgb="FFDCE6F1"/>
      </patternFill>
    </fill>
    <fill>
      <patternFill patternType="solid">
        <fgColor rgb="FFFCE4D6"/>
        <bgColor rgb="FFFFF2CC"/>
      </patternFill>
    </fill>
    <fill>
      <patternFill patternType="solid">
        <fgColor rgb="FFC55A11"/>
        <bgColor rgb="FF833C0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5"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6" fillId="7" borderId="1" xfId="0" applyFont="true" applyBorder="tru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8" borderId="0"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6" fontId="7" fillId="4" borderId="1" xfId="0" applyFont="true" applyBorder="true" applyAlignment="true" applyProtection="false">
      <alignment horizontal="left" vertical="top" textRotation="0" wrapText="true" indent="0" shrinkToFit="false"/>
      <protection locked="true" hidden="false"/>
    </xf>
    <xf numFmtId="165" fontId="7" fillId="6" borderId="1" xfId="0" applyFont="true" applyBorder="true" applyAlignment="true" applyProtection="false">
      <alignment horizontal="left" vertical="top" textRotation="0" wrapText="tru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general" vertical="center" textRotation="0" wrapText="false" indent="0" shrinkToFit="false"/>
      <protection locked="true" hidden="false"/>
    </xf>
    <xf numFmtId="164" fontId="17" fillId="7" borderId="1" xfId="0" applyFont="true" applyBorder="true" applyAlignment="true" applyProtection="false">
      <alignment horizontal="general" vertical="bottom"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7" fontId="18" fillId="5"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8" fontId="6"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C55A11"/>
      <rgbColor rgb="FF666699"/>
      <rgbColor rgb="FF969696"/>
      <rgbColor rgb="FF1F3864"/>
      <rgbColor rgb="FF339966"/>
      <rgbColor rgb="FF003300"/>
      <rgbColor rgb="FF333300"/>
      <rgbColor rgb="FF833C0C"/>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3" min="3" style="1" width="38"/>
    <col collapsed="false" customWidth="true" hidden="false" outlineLevel="0" max="4" min="4" style="1" width="30"/>
  </cols>
  <sheetData>
    <row r="1" customFormat="false" ht="31.5" hidden="false" customHeight="true" outlineLevel="0" collapsed="false">
      <c r="A1" s="2" t="s">
        <v>0</v>
      </c>
      <c r="B1" s="2"/>
      <c r="C1" s="2"/>
      <c r="D1" s="2"/>
    </row>
    <row r="2" customFormat="false" ht="31.5" hidden="false" customHeight="true" outlineLevel="0" collapsed="false">
      <c r="A2" s="3" t="s">
        <v>1</v>
      </c>
      <c r="B2" s="3"/>
      <c r="C2" s="3"/>
      <c r="D2" s="3"/>
    </row>
    <row r="4" customFormat="false" ht="19.5" hidden="false" customHeight="true" outlineLevel="0" collapsed="false">
      <c r="A4" s="4" t="s">
        <v>2</v>
      </c>
      <c r="B4" s="5" t="s">
        <v>3</v>
      </c>
      <c r="C4" s="5"/>
      <c r="D4" s="5"/>
    </row>
    <row r="5" customFormat="false" ht="19.5" hidden="false" customHeight="true" outlineLevel="0" collapsed="false">
      <c r="A5" s="4" t="s">
        <v>4</v>
      </c>
      <c r="B5" s="5" t="s">
        <v>5</v>
      </c>
      <c r="C5" s="5"/>
      <c r="D5" s="5"/>
    </row>
    <row r="6" customFormat="false" ht="19.5" hidden="false" customHeight="true" outlineLevel="0" collapsed="false">
      <c r="A6" s="4" t="s">
        <v>6</v>
      </c>
      <c r="B6" s="5" t="s">
        <v>7</v>
      </c>
      <c r="C6" s="5"/>
      <c r="D6" s="5"/>
    </row>
    <row r="7" customFormat="false" ht="19.5" hidden="false" customHeight="true" outlineLevel="0" collapsed="false">
      <c r="A7" s="4" t="s">
        <v>8</v>
      </c>
      <c r="B7" s="5" t="s">
        <v>9</v>
      </c>
      <c r="C7" s="5"/>
      <c r="D7" s="5"/>
    </row>
    <row r="8" customFormat="false" ht="19.5" hidden="false" customHeight="true" outlineLevel="0" collapsed="false">
      <c r="A8" s="4" t="s">
        <v>10</v>
      </c>
      <c r="B8" s="5" t="s">
        <v>11</v>
      </c>
      <c r="C8" s="5"/>
      <c r="D8" s="5"/>
    </row>
    <row r="9" customFormat="false" ht="19.5" hidden="false" customHeight="true" outlineLevel="0" collapsed="false">
      <c r="A9" s="4" t="s">
        <v>12</v>
      </c>
      <c r="B9" s="5" t="s">
        <v>13</v>
      </c>
      <c r="C9" s="5"/>
      <c r="D9" s="5"/>
    </row>
    <row r="10" customFormat="false" ht="19.5" hidden="false" customHeight="true" outlineLevel="0" collapsed="false">
      <c r="A10" s="4" t="s">
        <v>14</v>
      </c>
      <c r="B10" s="5" t="s">
        <v>15</v>
      </c>
      <c r="C10" s="5"/>
      <c r="D10" s="5"/>
    </row>
    <row r="11" customFormat="false" ht="19.5" hidden="false" customHeight="true" outlineLevel="0" collapsed="false">
      <c r="A11" s="4" t="s">
        <v>16</v>
      </c>
      <c r="B11" s="5" t="s">
        <v>17</v>
      </c>
      <c r="C11" s="5"/>
      <c r="D11" s="5"/>
    </row>
    <row r="13" customFormat="false" ht="21.75" hidden="false" customHeight="true" outlineLevel="0" collapsed="false">
      <c r="A13" s="6" t="s">
        <v>18</v>
      </c>
      <c r="B13" s="6"/>
      <c r="C13" s="6"/>
      <c r="D13" s="6"/>
    </row>
    <row r="14" customFormat="false" ht="75.75" hidden="false" customHeight="true" outlineLevel="0" collapsed="false">
      <c r="A14" s="7" t="s">
        <v>19</v>
      </c>
      <c r="B14" s="7"/>
      <c r="C14" s="7"/>
      <c r="D14" s="7"/>
    </row>
    <row r="16" customFormat="false" ht="21.75" hidden="false" customHeight="true" outlineLevel="0" collapsed="false">
      <c r="A16" s="6" t="s">
        <v>20</v>
      </c>
      <c r="B16" s="6"/>
      <c r="C16" s="6"/>
      <c r="D16" s="6"/>
    </row>
    <row r="17" customFormat="false" ht="33.75" hidden="false" customHeight="true" outlineLevel="0" collapsed="false">
      <c r="A17" s="8" t="s">
        <v>21</v>
      </c>
      <c r="B17" s="8" t="s">
        <v>22</v>
      </c>
      <c r="C17" s="8" t="s">
        <v>23</v>
      </c>
      <c r="D17" s="8" t="s">
        <v>24</v>
      </c>
    </row>
    <row r="18" customFormat="false" ht="27.75" hidden="false" customHeight="true" outlineLevel="0" collapsed="false">
      <c r="A18" s="9" t="s">
        <v>25</v>
      </c>
      <c r="B18" s="9" t="s">
        <v>26</v>
      </c>
      <c r="C18" s="9" t="s">
        <v>27</v>
      </c>
      <c r="D18" s="9" t="s">
        <v>28</v>
      </c>
    </row>
    <row r="19" customFormat="false" ht="27.75" hidden="false" customHeight="true" outlineLevel="0" collapsed="false">
      <c r="A19" s="9" t="s">
        <v>29</v>
      </c>
      <c r="B19" s="9" t="s">
        <v>30</v>
      </c>
      <c r="C19" s="9" t="s">
        <v>27</v>
      </c>
      <c r="D19" s="9" t="s">
        <v>31</v>
      </c>
    </row>
    <row r="20" customFormat="false" ht="27.75" hidden="false" customHeight="true" outlineLevel="0" collapsed="false">
      <c r="A20" s="9" t="s">
        <v>32</v>
      </c>
      <c r="B20" s="9" t="s">
        <v>33</v>
      </c>
      <c r="C20" s="9" t="s">
        <v>14</v>
      </c>
      <c r="D20" s="9" t="s">
        <v>34</v>
      </c>
    </row>
    <row r="21" customFormat="false" ht="27.75" hidden="false" customHeight="true" outlineLevel="0" collapsed="false">
      <c r="A21" s="9" t="s">
        <v>35</v>
      </c>
      <c r="B21" s="9" t="s">
        <v>36</v>
      </c>
      <c r="C21" s="9" t="s">
        <v>14</v>
      </c>
      <c r="D21" s="9" t="s">
        <v>37</v>
      </c>
    </row>
    <row r="22" customFormat="false" ht="27.75" hidden="false" customHeight="true" outlineLevel="0" collapsed="false">
      <c r="A22" s="9" t="s">
        <v>38</v>
      </c>
      <c r="B22" s="9" t="s">
        <v>39</v>
      </c>
      <c r="C22" s="9" t="s">
        <v>14</v>
      </c>
      <c r="D22" s="9" t="s">
        <v>40</v>
      </c>
    </row>
    <row r="23" customFormat="false" ht="27.75" hidden="false" customHeight="true" outlineLevel="0" collapsed="false">
      <c r="A23" s="9" t="s">
        <v>41</v>
      </c>
      <c r="B23" s="9" t="s">
        <v>42</v>
      </c>
      <c r="C23" s="9" t="s">
        <v>14</v>
      </c>
      <c r="D23" s="9" t="s">
        <v>43</v>
      </c>
    </row>
    <row r="24" customFormat="false" ht="27.75" hidden="false" customHeight="true" outlineLevel="0" collapsed="false">
      <c r="A24" s="9" t="s">
        <v>44</v>
      </c>
      <c r="B24" s="9" t="s">
        <v>45</v>
      </c>
      <c r="C24" s="9" t="s">
        <v>14</v>
      </c>
      <c r="D24" s="9" t="s">
        <v>46</v>
      </c>
    </row>
    <row r="25" customFormat="false" ht="27.75" hidden="false" customHeight="true" outlineLevel="0" collapsed="false">
      <c r="A25" s="9" t="s">
        <v>47</v>
      </c>
      <c r="B25" s="9" t="s">
        <v>48</v>
      </c>
      <c r="C25" s="9" t="s">
        <v>14</v>
      </c>
      <c r="D25" s="9" t="s">
        <v>49</v>
      </c>
    </row>
    <row r="26" customFormat="false" ht="27.75" hidden="false" customHeight="true" outlineLevel="0" collapsed="false">
      <c r="A26" s="9" t="s">
        <v>50</v>
      </c>
      <c r="B26" s="9" t="s">
        <v>51</v>
      </c>
      <c r="C26" s="9" t="s">
        <v>14</v>
      </c>
      <c r="D26" s="9" t="s">
        <v>52</v>
      </c>
    </row>
    <row r="27" customFormat="false" ht="27.75" hidden="false" customHeight="true" outlineLevel="0" collapsed="false">
      <c r="A27" s="9" t="s">
        <v>53</v>
      </c>
      <c r="B27" s="9" t="s">
        <v>54</v>
      </c>
      <c r="C27" s="9" t="s">
        <v>6</v>
      </c>
      <c r="D27" s="9" t="s">
        <v>55</v>
      </c>
    </row>
    <row r="28" customFormat="false" ht="27.75" hidden="false" customHeight="true" outlineLevel="0" collapsed="false">
      <c r="A28" s="9" t="s">
        <v>56</v>
      </c>
      <c r="B28" s="9" t="s">
        <v>57</v>
      </c>
      <c r="C28" s="9" t="s">
        <v>6</v>
      </c>
      <c r="D28" s="9" t="s">
        <v>58</v>
      </c>
    </row>
    <row r="29" customFormat="false" ht="27.75" hidden="false" customHeight="true" outlineLevel="0" collapsed="false">
      <c r="A29" s="9" t="s">
        <v>59</v>
      </c>
      <c r="B29" s="9" t="s">
        <v>60</v>
      </c>
      <c r="C29" s="9" t="s">
        <v>27</v>
      </c>
      <c r="D29" s="9" t="s">
        <v>61</v>
      </c>
    </row>
    <row r="31" customFormat="false" ht="21.75" hidden="false" customHeight="true" outlineLevel="0" collapsed="false">
      <c r="A31" s="6" t="s">
        <v>62</v>
      </c>
      <c r="B31" s="6"/>
      <c r="C31" s="6"/>
      <c r="D31" s="6"/>
    </row>
    <row r="32" customFormat="false" ht="18" hidden="false" customHeight="true" outlineLevel="0" collapsed="false">
      <c r="A32" s="10" t="s">
        <v>63</v>
      </c>
      <c r="B32" s="11" t="s">
        <v>64</v>
      </c>
      <c r="C32" s="11"/>
      <c r="D32" s="11"/>
    </row>
    <row r="33" customFormat="false" ht="18" hidden="false" customHeight="true" outlineLevel="0" collapsed="false">
      <c r="A33" s="12" t="s">
        <v>65</v>
      </c>
      <c r="B33" s="11" t="s">
        <v>66</v>
      </c>
      <c r="C33" s="11"/>
      <c r="D33" s="11"/>
    </row>
    <row r="34" customFormat="false" ht="18" hidden="false" customHeight="true" outlineLevel="0" collapsed="false">
      <c r="A34" s="13" t="s">
        <v>67</v>
      </c>
      <c r="B34" s="11" t="s">
        <v>68</v>
      </c>
      <c r="C34" s="11"/>
      <c r="D34" s="11"/>
    </row>
    <row r="35" customFormat="false" ht="18" hidden="false" customHeight="true" outlineLevel="0" collapsed="false">
      <c r="A35" s="4" t="s">
        <v>69</v>
      </c>
      <c r="B35" s="11" t="s">
        <v>70</v>
      </c>
      <c r="C35" s="11"/>
      <c r="D35" s="11"/>
    </row>
  </sheetData>
  <mergeCells count="18">
    <mergeCell ref="A1:D1"/>
    <mergeCell ref="A2:D2"/>
    <mergeCell ref="B4:D4"/>
    <mergeCell ref="B5:D5"/>
    <mergeCell ref="B6:D6"/>
    <mergeCell ref="B7:D7"/>
    <mergeCell ref="B8:D8"/>
    <mergeCell ref="B9:D9"/>
    <mergeCell ref="B10:D10"/>
    <mergeCell ref="B11:D11"/>
    <mergeCell ref="A13:D13"/>
    <mergeCell ref="A14:D14"/>
    <mergeCell ref="A16:D16"/>
    <mergeCell ref="A31:D31"/>
    <mergeCell ref="B32:D32"/>
    <mergeCell ref="B33:D33"/>
    <mergeCell ref="B34:D34"/>
    <mergeCell ref="B35:D35"/>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18"/>
    <col collapsed="false" customWidth="true" hidden="false" outlineLevel="0" max="4" min="4" style="1" width="26"/>
    <col collapsed="false" customWidth="true" hidden="false" outlineLevel="0" max="5" min="5" style="1" width="52"/>
    <col collapsed="false" customWidth="true" hidden="false" outlineLevel="0" max="6" min="6" style="1" width="14"/>
    <col collapsed="false" customWidth="true" hidden="false" outlineLevel="0" max="7" min="7" style="1" width="26"/>
  </cols>
  <sheetData>
    <row r="1" customFormat="false" ht="30" hidden="false" customHeight="true" outlineLevel="0" collapsed="false">
      <c r="A1" s="14" t="s">
        <v>71</v>
      </c>
      <c r="B1" s="14"/>
      <c r="C1" s="14"/>
      <c r="D1" s="14"/>
      <c r="E1" s="14"/>
      <c r="F1" s="14"/>
      <c r="G1" s="14"/>
    </row>
    <row r="2" customFormat="false" ht="42" hidden="false" customHeight="true" outlineLevel="0" collapsed="false">
      <c r="A2" s="15" t="s">
        <v>72</v>
      </c>
      <c r="B2" s="15"/>
      <c r="C2" s="15"/>
      <c r="D2" s="15"/>
      <c r="E2" s="15"/>
      <c r="F2" s="15"/>
      <c r="G2" s="15"/>
    </row>
    <row r="4" customFormat="false" ht="21.75" hidden="false" customHeight="true" outlineLevel="0" collapsed="false">
      <c r="A4" s="6" t="s">
        <v>73</v>
      </c>
      <c r="B4" s="6"/>
      <c r="C4" s="6"/>
      <c r="D4" s="6"/>
      <c r="E4" s="6"/>
      <c r="F4" s="6"/>
      <c r="G4" s="6"/>
    </row>
    <row r="5" customFormat="false" ht="33.75" hidden="false" customHeight="true" outlineLevel="0" collapsed="false">
      <c r="A5" s="8" t="s">
        <v>74</v>
      </c>
      <c r="B5" s="8" t="s">
        <v>75</v>
      </c>
      <c r="C5" s="8" t="s">
        <v>76</v>
      </c>
      <c r="D5" s="8" t="s">
        <v>77</v>
      </c>
      <c r="E5" s="8" t="s">
        <v>78</v>
      </c>
      <c r="F5" s="8" t="s">
        <v>79</v>
      </c>
      <c r="G5" s="8" t="s">
        <v>80</v>
      </c>
    </row>
    <row r="6" customFormat="false" ht="60" hidden="false" customHeight="true" outlineLevel="0" collapsed="false">
      <c r="A6" s="9" t="s">
        <v>81</v>
      </c>
      <c r="B6" s="9" t="s">
        <v>82</v>
      </c>
      <c r="C6" s="9" t="s">
        <v>83</v>
      </c>
      <c r="D6" s="9" t="s">
        <v>84</v>
      </c>
      <c r="E6" s="9" t="s">
        <v>85</v>
      </c>
      <c r="F6" s="9" t="s">
        <v>86</v>
      </c>
      <c r="G6" s="9" t="s">
        <v>87</v>
      </c>
    </row>
    <row r="7" customFormat="false" ht="60" hidden="false" customHeight="true" outlineLevel="0" collapsed="false">
      <c r="A7" s="9" t="s">
        <v>88</v>
      </c>
      <c r="B7" s="9" t="s">
        <v>89</v>
      </c>
      <c r="C7" s="9" t="s">
        <v>90</v>
      </c>
      <c r="D7" s="9" t="s">
        <v>91</v>
      </c>
      <c r="E7" s="9" t="s">
        <v>92</v>
      </c>
      <c r="F7" s="9" t="s">
        <v>93</v>
      </c>
      <c r="G7" s="9" t="s">
        <v>94</v>
      </c>
    </row>
    <row r="8" customFormat="false" ht="60" hidden="false" customHeight="true" outlineLevel="0" collapsed="false">
      <c r="A8" s="9" t="s">
        <v>95</v>
      </c>
      <c r="B8" s="9" t="s">
        <v>96</v>
      </c>
      <c r="C8" s="9" t="s">
        <v>83</v>
      </c>
      <c r="D8" s="9" t="s">
        <v>97</v>
      </c>
      <c r="E8" s="9" t="s">
        <v>98</v>
      </c>
      <c r="F8" s="9" t="s">
        <v>99</v>
      </c>
      <c r="G8" s="9" t="s">
        <v>100</v>
      </c>
    </row>
    <row r="9" customFormat="false" ht="60" hidden="false" customHeight="true" outlineLevel="0" collapsed="false">
      <c r="A9" s="9" t="s">
        <v>101</v>
      </c>
      <c r="B9" s="9" t="s">
        <v>102</v>
      </c>
      <c r="C9" s="9" t="s">
        <v>90</v>
      </c>
      <c r="D9" s="9" t="s">
        <v>91</v>
      </c>
      <c r="E9" s="9" t="s">
        <v>103</v>
      </c>
      <c r="F9" s="9" t="s">
        <v>104</v>
      </c>
      <c r="G9" s="9" t="s">
        <v>105</v>
      </c>
    </row>
    <row r="10" customFormat="false" ht="60" hidden="false" customHeight="true" outlineLevel="0" collapsed="false">
      <c r="A10" s="9" t="s">
        <v>106</v>
      </c>
      <c r="B10" s="9" t="s">
        <v>107</v>
      </c>
      <c r="C10" s="9" t="s">
        <v>83</v>
      </c>
      <c r="D10" s="9" t="s">
        <v>97</v>
      </c>
      <c r="E10" s="9" t="s">
        <v>108</v>
      </c>
      <c r="F10" s="9" t="s">
        <v>109</v>
      </c>
      <c r="G10" s="9" t="s">
        <v>110</v>
      </c>
    </row>
    <row r="11" customFormat="false" ht="60" hidden="false" customHeight="true" outlineLevel="0" collapsed="false">
      <c r="A11" s="9" t="s">
        <v>111</v>
      </c>
      <c r="B11" s="9" t="s">
        <v>112</v>
      </c>
      <c r="C11" s="9" t="s">
        <v>83</v>
      </c>
      <c r="D11" s="9" t="s">
        <v>97</v>
      </c>
      <c r="E11" s="9" t="s">
        <v>113</v>
      </c>
      <c r="F11" s="9" t="s">
        <v>114</v>
      </c>
      <c r="G11" s="9" t="s">
        <v>115</v>
      </c>
    </row>
    <row r="12" customFormat="false" ht="60" hidden="false" customHeight="true" outlineLevel="0" collapsed="false">
      <c r="A12" s="9" t="s">
        <v>116</v>
      </c>
      <c r="B12" s="9" t="s">
        <v>117</v>
      </c>
      <c r="C12" s="9" t="s">
        <v>83</v>
      </c>
      <c r="D12" s="9" t="s">
        <v>97</v>
      </c>
      <c r="E12" s="9" t="s">
        <v>118</v>
      </c>
      <c r="F12" s="9" t="s">
        <v>119</v>
      </c>
      <c r="G12" s="9" t="s">
        <v>115</v>
      </c>
    </row>
    <row r="13" customFormat="false" ht="60" hidden="false" customHeight="true" outlineLevel="0" collapsed="false">
      <c r="A13" s="9" t="s">
        <v>120</v>
      </c>
      <c r="B13" s="9" t="s">
        <v>121</v>
      </c>
      <c r="C13" s="9" t="s">
        <v>83</v>
      </c>
      <c r="D13" s="9" t="s">
        <v>97</v>
      </c>
      <c r="E13" s="9" t="s">
        <v>122</v>
      </c>
      <c r="F13" s="9" t="s">
        <v>123</v>
      </c>
      <c r="G13" s="9" t="s">
        <v>124</v>
      </c>
    </row>
    <row r="14" customFormat="false" ht="60" hidden="false" customHeight="true" outlineLevel="0" collapsed="false">
      <c r="A14" s="9" t="s">
        <v>125</v>
      </c>
      <c r="B14" s="9" t="s">
        <v>126</v>
      </c>
      <c r="C14" s="9" t="s">
        <v>90</v>
      </c>
      <c r="D14" s="9" t="s">
        <v>91</v>
      </c>
      <c r="E14" s="9" t="s">
        <v>127</v>
      </c>
      <c r="F14" s="9" t="s">
        <v>128</v>
      </c>
      <c r="G14" s="9" t="s">
        <v>129</v>
      </c>
    </row>
    <row r="15" customFormat="false" ht="60" hidden="false" customHeight="true" outlineLevel="0" collapsed="false">
      <c r="A15" s="9" t="s">
        <v>130</v>
      </c>
      <c r="B15" s="9" t="s">
        <v>131</v>
      </c>
      <c r="C15" s="9" t="s">
        <v>90</v>
      </c>
      <c r="D15" s="9" t="s">
        <v>91</v>
      </c>
      <c r="E15" s="9" t="s">
        <v>132</v>
      </c>
      <c r="F15" s="9" t="s">
        <v>133</v>
      </c>
      <c r="G15" s="9" t="s">
        <v>129</v>
      </c>
    </row>
    <row r="16" customFormat="false" ht="60" hidden="false" customHeight="true" outlineLevel="0" collapsed="false">
      <c r="A16" s="9" t="s">
        <v>134</v>
      </c>
      <c r="B16" s="9" t="s">
        <v>135</v>
      </c>
      <c r="C16" s="9" t="s">
        <v>90</v>
      </c>
      <c r="D16" s="9" t="s">
        <v>91</v>
      </c>
      <c r="E16" s="9" t="s">
        <v>136</v>
      </c>
      <c r="F16" s="9" t="s">
        <v>137</v>
      </c>
      <c r="G16" s="9" t="s">
        <v>138</v>
      </c>
    </row>
    <row r="17" customFormat="false" ht="60" hidden="false" customHeight="true" outlineLevel="0" collapsed="false">
      <c r="A17" s="9" t="s">
        <v>139</v>
      </c>
      <c r="B17" s="9" t="s">
        <v>140</v>
      </c>
      <c r="C17" s="9" t="s">
        <v>90</v>
      </c>
      <c r="D17" s="9" t="s">
        <v>91</v>
      </c>
      <c r="E17" s="9" t="s">
        <v>141</v>
      </c>
      <c r="F17" s="9" t="s">
        <v>142</v>
      </c>
      <c r="G17" s="9" t="s">
        <v>138</v>
      </c>
    </row>
    <row r="18" customFormat="false" ht="60" hidden="false" customHeight="true" outlineLevel="0" collapsed="false">
      <c r="A18" s="9" t="s">
        <v>143</v>
      </c>
      <c r="B18" s="9" t="s">
        <v>144</v>
      </c>
      <c r="C18" s="9" t="s">
        <v>90</v>
      </c>
      <c r="D18" s="9" t="s">
        <v>145</v>
      </c>
      <c r="E18" s="9" t="s">
        <v>146</v>
      </c>
      <c r="F18" s="9" t="s">
        <v>147</v>
      </c>
      <c r="G18" s="9" t="s">
        <v>148</v>
      </c>
    </row>
    <row r="19" customFormat="false" ht="60" hidden="false" customHeight="true" outlineLevel="0" collapsed="false">
      <c r="A19" s="9" t="s">
        <v>149</v>
      </c>
      <c r="B19" s="9" t="s">
        <v>150</v>
      </c>
      <c r="C19" s="9" t="s">
        <v>83</v>
      </c>
      <c r="D19" s="9" t="s">
        <v>97</v>
      </c>
      <c r="E19" s="9" t="s">
        <v>151</v>
      </c>
      <c r="F19" s="9" t="s">
        <v>147</v>
      </c>
      <c r="G19" s="9" t="s">
        <v>148</v>
      </c>
    </row>
    <row r="21" customFormat="false" ht="21.75" hidden="false" customHeight="true" outlineLevel="0" collapsed="false">
      <c r="A21" s="16" t="s">
        <v>152</v>
      </c>
      <c r="B21" s="16"/>
      <c r="C21" s="16"/>
      <c r="D21" s="16"/>
      <c r="E21" s="16"/>
      <c r="F21" s="16"/>
      <c r="G21" s="16"/>
    </row>
    <row r="22" customFormat="false" ht="33.75" hidden="false" customHeight="true" outlineLevel="0" collapsed="false">
      <c r="A22" s="17" t="s">
        <v>74</v>
      </c>
      <c r="B22" s="17" t="s">
        <v>75</v>
      </c>
      <c r="C22" s="17" t="s">
        <v>76</v>
      </c>
      <c r="D22" s="17" t="s">
        <v>153</v>
      </c>
      <c r="E22" s="17" t="s">
        <v>154</v>
      </c>
      <c r="F22" s="17" t="s">
        <v>79</v>
      </c>
      <c r="G22" s="17" t="s">
        <v>80</v>
      </c>
    </row>
    <row r="23" customFormat="false" ht="42" hidden="false" customHeight="true" outlineLevel="0" collapsed="false">
      <c r="A23" s="18" t="s">
        <v>155</v>
      </c>
      <c r="B23" s="18" t="s">
        <v>156</v>
      </c>
      <c r="C23" s="18" t="s">
        <v>157</v>
      </c>
      <c r="D23" s="18" t="s">
        <v>158</v>
      </c>
      <c r="E23" s="18" t="s">
        <v>159</v>
      </c>
      <c r="F23" s="18" t="s">
        <v>91</v>
      </c>
      <c r="G23" s="18" t="s">
        <v>91</v>
      </c>
    </row>
    <row r="24" customFormat="false" ht="42" hidden="false" customHeight="true" outlineLevel="0" collapsed="false">
      <c r="A24" s="18" t="s">
        <v>160</v>
      </c>
      <c r="B24" s="18" t="s">
        <v>161</v>
      </c>
      <c r="C24" s="18" t="s">
        <v>157</v>
      </c>
      <c r="D24" s="18" t="s">
        <v>162</v>
      </c>
      <c r="E24" s="18" t="s">
        <v>163</v>
      </c>
      <c r="F24" s="18" t="s">
        <v>91</v>
      </c>
      <c r="G24" s="18" t="s">
        <v>91</v>
      </c>
    </row>
    <row r="25" customFormat="false" ht="42" hidden="false" customHeight="true" outlineLevel="0" collapsed="false">
      <c r="A25" s="18" t="s">
        <v>164</v>
      </c>
      <c r="B25" s="18" t="s">
        <v>165</v>
      </c>
      <c r="C25" s="18" t="s">
        <v>157</v>
      </c>
      <c r="D25" s="18" t="s">
        <v>166</v>
      </c>
      <c r="E25" s="18" t="s">
        <v>91</v>
      </c>
      <c r="F25" s="18" t="s">
        <v>91</v>
      </c>
      <c r="G25" s="18" t="s">
        <v>91</v>
      </c>
    </row>
    <row r="26" customFormat="false" ht="42" hidden="false" customHeight="true" outlineLevel="0" collapsed="false">
      <c r="A26" s="18" t="s">
        <v>167</v>
      </c>
      <c r="B26" s="18" t="s">
        <v>168</v>
      </c>
      <c r="C26" s="18" t="s">
        <v>157</v>
      </c>
      <c r="D26" s="18" t="s">
        <v>166</v>
      </c>
      <c r="E26" s="18" t="s">
        <v>169</v>
      </c>
      <c r="F26" s="18" t="s">
        <v>91</v>
      </c>
      <c r="G26" s="18" t="s">
        <v>91</v>
      </c>
    </row>
    <row r="27" customFormat="false" ht="42" hidden="false" customHeight="true" outlineLevel="0" collapsed="false">
      <c r="A27" s="18" t="s">
        <v>170</v>
      </c>
      <c r="B27" s="18" t="s">
        <v>171</v>
      </c>
      <c r="C27" s="18" t="s">
        <v>157</v>
      </c>
      <c r="D27" s="18" t="s">
        <v>84</v>
      </c>
      <c r="E27" s="18" t="s">
        <v>172</v>
      </c>
      <c r="F27" s="18" t="s">
        <v>91</v>
      </c>
      <c r="G27" s="18" t="s">
        <v>91</v>
      </c>
    </row>
    <row r="28" customFormat="false" ht="42" hidden="false" customHeight="true" outlineLevel="0" collapsed="false">
      <c r="A28" s="18" t="s">
        <v>173</v>
      </c>
      <c r="B28" s="18" t="s">
        <v>174</v>
      </c>
      <c r="C28" s="18" t="s">
        <v>157</v>
      </c>
      <c r="D28" s="18" t="s">
        <v>84</v>
      </c>
      <c r="E28" s="18" t="s">
        <v>91</v>
      </c>
      <c r="F28" s="18" t="s">
        <v>91</v>
      </c>
      <c r="G28" s="18" t="s">
        <v>91</v>
      </c>
    </row>
    <row r="29" customFormat="false" ht="42" hidden="false" customHeight="true" outlineLevel="0" collapsed="false">
      <c r="A29" s="18" t="s">
        <v>175</v>
      </c>
      <c r="B29" s="18" t="s">
        <v>176</v>
      </c>
      <c r="C29" s="18" t="s">
        <v>157</v>
      </c>
      <c r="D29" s="18" t="s">
        <v>158</v>
      </c>
      <c r="E29" s="18" t="s">
        <v>177</v>
      </c>
      <c r="F29" s="18" t="s">
        <v>91</v>
      </c>
      <c r="G29" s="18" t="s">
        <v>91</v>
      </c>
    </row>
    <row r="30" customFormat="false" ht="42" hidden="false" customHeight="true" outlineLevel="0" collapsed="false">
      <c r="A30" s="18" t="s">
        <v>178</v>
      </c>
      <c r="B30" s="18" t="s">
        <v>179</v>
      </c>
      <c r="C30" s="18" t="s">
        <v>157</v>
      </c>
      <c r="D30" s="18" t="s">
        <v>162</v>
      </c>
      <c r="E30" s="18" t="s">
        <v>91</v>
      </c>
      <c r="F30" s="18" t="s">
        <v>91</v>
      </c>
      <c r="G30" s="18" t="s">
        <v>91</v>
      </c>
    </row>
    <row r="31" customFormat="false" ht="42" hidden="false" customHeight="true" outlineLevel="0" collapsed="false">
      <c r="A31" s="18" t="s">
        <v>180</v>
      </c>
      <c r="B31" s="18" t="s">
        <v>181</v>
      </c>
      <c r="C31" s="18" t="s">
        <v>157</v>
      </c>
      <c r="D31" s="18" t="s">
        <v>182</v>
      </c>
      <c r="E31" s="18" t="s">
        <v>183</v>
      </c>
      <c r="F31" s="18" t="s">
        <v>91</v>
      </c>
      <c r="G31" s="18" t="s">
        <v>91</v>
      </c>
    </row>
  </sheetData>
  <mergeCells count="4">
    <mergeCell ref="A1:G1"/>
    <mergeCell ref="A2:G2"/>
    <mergeCell ref="A4:G4"/>
    <mergeCell ref="A21:G21"/>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4"/>
    <col collapsed="false" customWidth="true" hidden="false" outlineLevel="0" max="3" min="3" style="1" width="34"/>
    <col collapsed="false" customWidth="true" hidden="false" outlineLevel="0" max="4" min="4" style="1" width="20"/>
    <col collapsed="false" customWidth="true" hidden="false" outlineLevel="0" max="5" min="5" style="1" width="44"/>
    <col collapsed="false" customWidth="true" hidden="false" outlineLevel="0" max="6" min="6" style="1" width="30"/>
    <col collapsed="false" customWidth="true" hidden="false" outlineLevel="0" max="7" min="7" style="1" width="26"/>
    <col collapsed="false" customWidth="true" hidden="false" outlineLevel="0" max="8" min="8" style="1" width="12"/>
    <col collapsed="false" customWidth="true" hidden="false" outlineLevel="0" max="9" min="9" style="1" width="14"/>
  </cols>
  <sheetData>
    <row r="1" customFormat="false" ht="30" hidden="false" customHeight="true" outlineLevel="0" collapsed="false">
      <c r="A1" s="14" t="s">
        <v>184</v>
      </c>
      <c r="B1" s="14"/>
      <c r="C1" s="14"/>
      <c r="D1" s="14"/>
      <c r="E1" s="14"/>
      <c r="F1" s="14"/>
      <c r="G1" s="14"/>
      <c r="H1" s="14"/>
      <c r="I1" s="14"/>
    </row>
    <row r="2" customFormat="false" ht="39.75" hidden="false" customHeight="true" outlineLevel="0" collapsed="false">
      <c r="A2" s="15" t="s">
        <v>185</v>
      </c>
      <c r="B2" s="15"/>
      <c r="C2" s="15"/>
      <c r="D2" s="15"/>
      <c r="E2" s="15"/>
      <c r="F2" s="15"/>
      <c r="G2" s="15"/>
      <c r="H2" s="15"/>
      <c r="I2" s="15"/>
    </row>
    <row r="4" customFormat="false" ht="33.75" hidden="false" customHeight="true" outlineLevel="0" collapsed="false">
      <c r="A4" s="8" t="s">
        <v>186</v>
      </c>
      <c r="B4" s="8" t="s">
        <v>187</v>
      </c>
      <c r="C4" s="8" t="s">
        <v>188</v>
      </c>
      <c r="D4" s="8" t="s">
        <v>189</v>
      </c>
      <c r="E4" s="8" t="s">
        <v>190</v>
      </c>
      <c r="F4" s="8" t="s">
        <v>191</v>
      </c>
      <c r="G4" s="8" t="s">
        <v>192</v>
      </c>
      <c r="H4" s="8" t="s">
        <v>193</v>
      </c>
      <c r="I4" s="8" t="s">
        <v>194</v>
      </c>
    </row>
    <row r="5" customFormat="false" ht="85.5" hidden="false" customHeight="true" outlineLevel="0" collapsed="false">
      <c r="A5" s="19" t="s">
        <v>195</v>
      </c>
      <c r="B5" s="19" t="s">
        <v>196</v>
      </c>
      <c r="C5" s="19" t="s">
        <v>197</v>
      </c>
      <c r="D5" s="19" t="s">
        <v>198</v>
      </c>
      <c r="E5" s="19" t="s">
        <v>199</v>
      </c>
      <c r="F5" s="19" t="s">
        <v>200</v>
      </c>
      <c r="G5" s="19" t="s">
        <v>201</v>
      </c>
      <c r="H5" s="19" t="s">
        <v>202</v>
      </c>
      <c r="I5" s="20" t="s">
        <v>203</v>
      </c>
    </row>
    <row r="6" customFormat="false" ht="85.5" hidden="false" customHeight="true" outlineLevel="0" collapsed="false">
      <c r="A6" s="19" t="s">
        <v>86</v>
      </c>
      <c r="B6" s="19" t="s">
        <v>204</v>
      </c>
      <c r="C6" s="19" t="s">
        <v>205</v>
      </c>
      <c r="D6" s="19" t="s">
        <v>206</v>
      </c>
      <c r="E6" s="19" t="s">
        <v>207</v>
      </c>
      <c r="F6" s="19" t="s">
        <v>208</v>
      </c>
      <c r="G6" s="19" t="s">
        <v>209</v>
      </c>
      <c r="H6" s="19" t="s">
        <v>202</v>
      </c>
      <c r="I6" s="20" t="s">
        <v>203</v>
      </c>
    </row>
    <row r="7" customFormat="false" ht="85.5" hidden="false" customHeight="true" outlineLevel="0" collapsed="false">
      <c r="A7" s="19" t="s">
        <v>99</v>
      </c>
      <c r="B7" s="19" t="s">
        <v>210</v>
      </c>
      <c r="C7" s="19" t="s">
        <v>211</v>
      </c>
      <c r="D7" s="19" t="s">
        <v>212</v>
      </c>
      <c r="E7" s="19" t="s">
        <v>213</v>
      </c>
      <c r="F7" s="19" t="s">
        <v>214</v>
      </c>
      <c r="G7" s="19" t="s">
        <v>215</v>
      </c>
      <c r="H7" s="19" t="s">
        <v>216</v>
      </c>
      <c r="I7" s="20" t="s">
        <v>203</v>
      </c>
    </row>
    <row r="8" customFormat="false" ht="85.5" hidden="false" customHeight="true" outlineLevel="0" collapsed="false">
      <c r="A8" s="9" t="s">
        <v>109</v>
      </c>
      <c r="B8" s="9" t="s">
        <v>217</v>
      </c>
      <c r="C8" s="9" t="s">
        <v>218</v>
      </c>
      <c r="D8" s="9" t="s">
        <v>219</v>
      </c>
      <c r="E8" s="9" t="s">
        <v>220</v>
      </c>
      <c r="F8" s="9" t="s">
        <v>221</v>
      </c>
      <c r="G8" s="9" t="s">
        <v>222</v>
      </c>
      <c r="H8" s="9" t="s">
        <v>223</v>
      </c>
      <c r="I8" s="20" t="s">
        <v>203</v>
      </c>
    </row>
    <row r="9" customFormat="false" ht="85.5" hidden="false" customHeight="true" outlineLevel="0" collapsed="false">
      <c r="A9" s="9" t="s">
        <v>224</v>
      </c>
      <c r="B9" s="9" t="s">
        <v>225</v>
      </c>
      <c r="C9" s="9" t="s">
        <v>226</v>
      </c>
      <c r="D9" s="9" t="s">
        <v>227</v>
      </c>
      <c r="E9" s="9" t="s">
        <v>228</v>
      </c>
      <c r="F9" s="9" t="s">
        <v>229</v>
      </c>
      <c r="G9" s="9" t="s">
        <v>230</v>
      </c>
      <c r="H9" s="9" t="s">
        <v>202</v>
      </c>
      <c r="I9" s="20" t="s">
        <v>203</v>
      </c>
    </row>
    <row r="10" customFormat="false" ht="85.5" hidden="false" customHeight="true" outlineLevel="0" collapsed="false">
      <c r="A10" s="9" t="s">
        <v>114</v>
      </c>
      <c r="B10" s="9" t="s">
        <v>231</v>
      </c>
      <c r="C10" s="9" t="s">
        <v>232</v>
      </c>
      <c r="D10" s="9" t="s">
        <v>111</v>
      </c>
      <c r="E10" s="9" t="s">
        <v>233</v>
      </c>
      <c r="F10" s="9" t="s">
        <v>234</v>
      </c>
      <c r="G10" s="9" t="s">
        <v>235</v>
      </c>
      <c r="H10" s="9" t="s">
        <v>223</v>
      </c>
      <c r="I10" s="20" t="s">
        <v>203</v>
      </c>
    </row>
    <row r="11" customFormat="false" ht="85.5" hidden="false" customHeight="true" outlineLevel="0" collapsed="false">
      <c r="A11" s="9" t="s">
        <v>119</v>
      </c>
      <c r="B11" s="9" t="s">
        <v>236</v>
      </c>
      <c r="C11" s="9" t="s">
        <v>237</v>
      </c>
      <c r="D11" s="9" t="s">
        <v>116</v>
      </c>
      <c r="E11" s="9" t="s">
        <v>238</v>
      </c>
      <c r="F11" s="9" t="s">
        <v>239</v>
      </c>
      <c r="G11" s="9" t="s">
        <v>240</v>
      </c>
      <c r="H11" s="9" t="s">
        <v>202</v>
      </c>
      <c r="I11" s="20" t="s">
        <v>203</v>
      </c>
    </row>
    <row r="12" customFormat="false" ht="85.5" hidden="false" customHeight="true" outlineLevel="0" collapsed="false">
      <c r="A12" s="9" t="s">
        <v>241</v>
      </c>
      <c r="B12" s="9" t="s">
        <v>242</v>
      </c>
      <c r="C12" s="9" t="s">
        <v>243</v>
      </c>
      <c r="D12" s="9" t="s">
        <v>244</v>
      </c>
      <c r="E12" s="9" t="s">
        <v>245</v>
      </c>
      <c r="F12" s="9" t="s">
        <v>246</v>
      </c>
      <c r="G12" s="9" t="s">
        <v>247</v>
      </c>
      <c r="H12" s="9" t="s">
        <v>223</v>
      </c>
      <c r="I12" s="20" t="s">
        <v>203</v>
      </c>
    </row>
    <row r="13" customFormat="false" ht="85.5" hidden="false" customHeight="true" outlineLevel="0" collapsed="false">
      <c r="A13" s="9" t="s">
        <v>123</v>
      </c>
      <c r="B13" s="9" t="s">
        <v>248</v>
      </c>
      <c r="C13" s="9" t="s">
        <v>249</v>
      </c>
      <c r="D13" s="9" t="s">
        <v>120</v>
      </c>
      <c r="E13" s="9" t="s">
        <v>250</v>
      </c>
      <c r="F13" s="9" t="s">
        <v>251</v>
      </c>
      <c r="G13" s="9" t="s">
        <v>252</v>
      </c>
      <c r="H13" s="9" t="s">
        <v>202</v>
      </c>
      <c r="I13" s="20" t="s">
        <v>203</v>
      </c>
    </row>
    <row r="14" customFormat="false" ht="85.5" hidden="false" customHeight="true" outlineLevel="0" collapsed="false">
      <c r="A14" s="9" t="s">
        <v>253</v>
      </c>
      <c r="B14" s="9" t="s">
        <v>254</v>
      </c>
      <c r="C14" s="9" t="s">
        <v>255</v>
      </c>
      <c r="D14" s="9" t="s">
        <v>130</v>
      </c>
      <c r="E14" s="9" t="s">
        <v>256</v>
      </c>
      <c r="F14" s="9" t="s">
        <v>257</v>
      </c>
      <c r="G14" s="9" t="s">
        <v>258</v>
      </c>
      <c r="H14" s="9" t="s">
        <v>223</v>
      </c>
      <c r="I14" s="20" t="s">
        <v>203</v>
      </c>
    </row>
    <row r="15" customFormat="false" ht="85.5" hidden="false" customHeight="true" outlineLevel="0" collapsed="false">
      <c r="A15" s="9" t="s">
        <v>142</v>
      </c>
      <c r="B15" s="9" t="s">
        <v>259</v>
      </c>
      <c r="C15" s="9" t="s">
        <v>260</v>
      </c>
      <c r="D15" s="9" t="s">
        <v>139</v>
      </c>
      <c r="E15" s="9" t="s">
        <v>261</v>
      </c>
      <c r="F15" s="9" t="s">
        <v>262</v>
      </c>
      <c r="G15" s="9" t="s">
        <v>263</v>
      </c>
      <c r="H15" s="9" t="s">
        <v>223</v>
      </c>
      <c r="I15" s="20" t="s">
        <v>203</v>
      </c>
    </row>
    <row r="16" customFormat="false" ht="85.5" hidden="false" customHeight="true" outlineLevel="0" collapsed="false">
      <c r="A16" s="9" t="s">
        <v>137</v>
      </c>
      <c r="B16" s="9" t="s">
        <v>264</v>
      </c>
      <c r="C16" s="9" t="s">
        <v>265</v>
      </c>
      <c r="D16" s="9" t="s">
        <v>134</v>
      </c>
      <c r="E16" s="9" t="s">
        <v>266</v>
      </c>
      <c r="F16" s="9" t="s">
        <v>267</v>
      </c>
      <c r="G16" s="9" t="s">
        <v>268</v>
      </c>
      <c r="H16" s="9" t="s">
        <v>223</v>
      </c>
      <c r="I16" s="20" t="s">
        <v>203</v>
      </c>
    </row>
    <row r="17" customFormat="false" ht="85.5" hidden="false" customHeight="true" outlineLevel="0" collapsed="false">
      <c r="A17" s="9" t="s">
        <v>128</v>
      </c>
      <c r="B17" s="9" t="s">
        <v>269</v>
      </c>
      <c r="C17" s="9" t="s">
        <v>270</v>
      </c>
      <c r="D17" s="9" t="s">
        <v>271</v>
      </c>
      <c r="E17" s="9" t="s">
        <v>272</v>
      </c>
      <c r="F17" s="9" t="s">
        <v>273</v>
      </c>
      <c r="G17" s="9" t="s">
        <v>274</v>
      </c>
      <c r="H17" s="9" t="s">
        <v>223</v>
      </c>
      <c r="I17" s="20" t="s">
        <v>203</v>
      </c>
    </row>
    <row r="18" customFormat="false" ht="85.5" hidden="false" customHeight="true" outlineLevel="0" collapsed="false">
      <c r="A18" s="9" t="s">
        <v>147</v>
      </c>
      <c r="B18" s="9" t="s">
        <v>275</v>
      </c>
      <c r="C18" s="9" t="s">
        <v>276</v>
      </c>
      <c r="D18" s="9" t="s">
        <v>277</v>
      </c>
      <c r="E18" s="9" t="s">
        <v>278</v>
      </c>
      <c r="F18" s="9" t="s">
        <v>279</v>
      </c>
      <c r="G18" s="9" t="s">
        <v>280</v>
      </c>
      <c r="H18" s="9" t="s">
        <v>281</v>
      </c>
      <c r="I18" s="20" t="s">
        <v>203</v>
      </c>
    </row>
    <row r="19" customFormat="false" ht="85.5" hidden="false" customHeight="true" outlineLevel="0" collapsed="false">
      <c r="A19" s="9" t="s">
        <v>282</v>
      </c>
      <c r="B19" s="9" t="s">
        <v>283</v>
      </c>
      <c r="C19" s="9" t="s">
        <v>284</v>
      </c>
      <c r="D19" s="9" t="s">
        <v>91</v>
      </c>
      <c r="E19" s="9" t="s">
        <v>285</v>
      </c>
      <c r="F19" s="9" t="s">
        <v>286</v>
      </c>
      <c r="G19" s="9" t="s">
        <v>287</v>
      </c>
      <c r="H19" s="9" t="s">
        <v>91</v>
      </c>
      <c r="I19" s="20" t="s">
        <v>203</v>
      </c>
    </row>
  </sheetData>
  <mergeCells count="2">
    <mergeCell ref="A1:I1"/>
    <mergeCell ref="A2:I2"/>
  </mergeCells>
  <dataValidations count="1">
    <dataValidation allowBlank="true" errorStyle="stop" operator="between" showDropDown="false" showErrorMessage="false" showInputMessage="false" sqref="I5:I19" type="list">
      <formula1>"Pendiente,En proceso,Entregado,Observado,Conforme"</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44"/>
    <col collapsed="false" customWidth="true" hidden="false" outlineLevel="0" max="5" min="4" style="1" width="48"/>
  </cols>
  <sheetData>
    <row r="1" customFormat="false" ht="30" hidden="false" customHeight="true" outlineLevel="0" collapsed="false">
      <c r="A1" s="21" t="s">
        <v>288</v>
      </c>
      <c r="B1" s="21"/>
      <c r="C1" s="21"/>
      <c r="D1" s="21"/>
      <c r="E1" s="21"/>
    </row>
    <row r="2" customFormat="false" ht="25.5" hidden="false" customHeight="true" outlineLevel="0" collapsed="false">
      <c r="A2" s="15" t="s">
        <v>289</v>
      </c>
      <c r="B2" s="15"/>
      <c r="C2" s="15"/>
      <c r="D2" s="15"/>
      <c r="E2" s="15"/>
    </row>
    <row r="4" customFormat="false" ht="33.75" hidden="false" customHeight="true" outlineLevel="0" collapsed="false">
      <c r="A4" s="8" t="s">
        <v>290</v>
      </c>
      <c r="B4" s="8" t="s">
        <v>291</v>
      </c>
      <c r="C4" s="8" t="s">
        <v>292</v>
      </c>
      <c r="D4" s="8" t="s">
        <v>293</v>
      </c>
      <c r="E4" s="8" t="s">
        <v>294</v>
      </c>
    </row>
    <row r="5" customFormat="false" ht="75.75" hidden="false" customHeight="true" outlineLevel="0" collapsed="false">
      <c r="A5" s="9" t="s">
        <v>295</v>
      </c>
      <c r="B5" s="9" t="s">
        <v>296</v>
      </c>
      <c r="C5" s="9" t="s">
        <v>297</v>
      </c>
      <c r="D5" s="19" t="s">
        <v>298</v>
      </c>
      <c r="E5" s="20"/>
    </row>
    <row r="6" customFormat="false" ht="75.75" hidden="false" customHeight="true" outlineLevel="0" collapsed="false">
      <c r="A6" s="9" t="s">
        <v>299</v>
      </c>
      <c r="B6" s="9" t="s">
        <v>300</v>
      </c>
      <c r="C6" s="9" t="s">
        <v>301</v>
      </c>
      <c r="D6" s="19" t="s">
        <v>302</v>
      </c>
      <c r="E6" s="20"/>
    </row>
    <row r="7" customFormat="false" ht="75.75" hidden="false" customHeight="true" outlineLevel="0" collapsed="false">
      <c r="A7" s="9" t="s">
        <v>303</v>
      </c>
      <c r="B7" s="9" t="s">
        <v>304</v>
      </c>
      <c r="C7" s="9" t="s">
        <v>305</v>
      </c>
      <c r="D7" s="19" t="s">
        <v>306</v>
      </c>
      <c r="E7" s="20"/>
    </row>
    <row r="8" customFormat="false" ht="75.75" hidden="false" customHeight="true" outlineLevel="0" collapsed="false">
      <c r="A8" s="9" t="s">
        <v>307</v>
      </c>
      <c r="B8" s="9" t="s">
        <v>308</v>
      </c>
      <c r="C8" s="9" t="s">
        <v>309</v>
      </c>
      <c r="D8" s="19" t="s">
        <v>310</v>
      </c>
      <c r="E8" s="20"/>
    </row>
    <row r="9" customFormat="false" ht="75.75" hidden="false" customHeight="true" outlineLevel="0" collapsed="false">
      <c r="A9" s="9" t="s">
        <v>311</v>
      </c>
      <c r="B9" s="9" t="s">
        <v>312</v>
      </c>
      <c r="C9" s="9" t="s">
        <v>313</v>
      </c>
      <c r="D9" s="19" t="s">
        <v>314</v>
      </c>
      <c r="E9" s="20"/>
    </row>
    <row r="10" customFormat="false" ht="75.75" hidden="false" customHeight="true" outlineLevel="0" collapsed="false">
      <c r="A10" s="9" t="s">
        <v>315</v>
      </c>
      <c r="B10" s="9" t="s">
        <v>316</v>
      </c>
      <c r="C10" s="9" t="s">
        <v>317</v>
      </c>
      <c r="D10" s="19" t="s">
        <v>318</v>
      </c>
      <c r="E10" s="20"/>
    </row>
    <row r="11" customFormat="false" ht="75.75" hidden="false" customHeight="true" outlineLevel="0" collapsed="false">
      <c r="A11" s="9" t="s">
        <v>319</v>
      </c>
      <c r="B11" s="9" t="s">
        <v>320</v>
      </c>
      <c r="C11" s="9" t="s">
        <v>321</v>
      </c>
      <c r="D11" s="19" t="s">
        <v>322</v>
      </c>
      <c r="E11" s="20"/>
    </row>
    <row r="12" customFormat="false" ht="75.75" hidden="false" customHeight="true" outlineLevel="0" collapsed="false">
      <c r="A12" s="9" t="s">
        <v>323</v>
      </c>
      <c r="B12" s="9" t="s">
        <v>324</v>
      </c>
      <c r="C12" s="9" t="s">
        <v>325</v>
      </c>
      <c r="D12" s="19" t="s">
        <v>326</v>
      </c>
      <c r="E12" s="20"/>
    </row>
    <row r="13" customFormat="false" ht="75.75" hidden="false" customHeight="true" outlineLevel="0" collapsed="false">
      <c r="A13" s="9" t="s">
        <v>327</v>
      </c>
      <c r="B13" s="9" t="s">
        <v>328</v>
      </c>
      <c r="C13" s="9" t="s">
        <v>329</v>
      </c>
      <c r="D13" s="19" t="s">
        <v>330</v>
      </c>
      <c r="E13" s="20"/>
    </row>
    <row r="14" customFormat="false" ht="75.75" hidden="false" customHeight="true" outlineLevel="0" collapsed="false">
      <c r="A14" s="9" t="s">
        <v>331</v>
      </c>
      <c r="B14" s="9" t="s">
        <v>332</v>
      </c>
      <c r="C14" s="9" t="s">
        <v>333</v>
      </c>
      <c r="D14" s="19" t="s">
        <v>334</v>
      </c>
      <c r="E14" s="20"/>
    </row>
    <row r="15" customFormat="false" ht="75.75" hidden="false" customHeight="true" outlineLevel="0" collapsed="false">
      <c r="A15" s="9" t="s">
        <v>335</v>
      </c>
      <c r="B15" s="9" t="s">
        <v>336</v>
      </c>
      <c r="C15" s="9" t="s">
        <v>337</v>
      </c>
      <c r="D15" s="19" t="s">
        <v>338</v>
      </c>
      <c r="E15" s="20"/>
    </row>
    <row r="16" customFormat="false" ht="75.75" hidden="false" customHeight="true" outlineLevel="0" collapsed="false">
      <c r="A16" s="9" t="s">
        <v>339</v>
      </c>
      <c r="B16" s="9" t="s">
        <v>340</v>
      </c>
      <c r="C16" s="9" t="s">
        <v>341</v>
      </c>
      <c r="D16" s="19" t="s">
        <v>342</v>
      </c>
      <c r="E16" s="20"/>
    </row>
    <row r="18" customFormat="false" ht="21.75" hidden="false" customHeight="true" outlineLevel="0" collapsed="false">
      <c r="A18" s="6" t="s">
        <v>343</v>
      </c>
      <c r="B18" s="6"/>
      <c r="C18" s="6"/>
      <c r="D18" s="6"/>
      <c r="E18" s="6"/>
    </row>
    <row r="19" customFormat="false" ht="27.75" hidden="false" customHeight="true" outlineLevel="0" collapsed="false">
      <c r="A19" s="22" t="s">
        <v>344</v>
      </c>
      <c r="B19" s="22"/>
      <c r="C19" s="22"/>
      <c r="D19" s="22"/>
      <c r="E19" s="22"/>
    </row>
    <row r="20" customFormat="false" ht="33.75" hidden="false" customHeight="true" outlineLevel="0" collapsed="false">
      <c r="A20" s="8" t="s">
        <v>290</v>
      </c>
      <c r="B20" s="8" t="s">
        <v>345</v>
      </c>
      <c r="C20" s="8" t="s">
        <v>346</v>
      </c>
      <c r="D20" s="8" t="s">
        <v>347</v>
      </c>
      <c r="E20" s="8" t="s">
        <v>348</v>
      </c>
    </row>
    <row r="21" customFormat="false" ht="31.5" hidden="false" customHeight="true" outlineLevel="0" collapsed="false">
      <c r="A21" s="19" t="s">
        <v>295</v>
      </c>
      <c r="B21" s="19" t="s">
        <v>349</v>
      </c>
      <c r="C21" s="19" t="s">
        <v>350</v>
      </c>
      <c r="D21" s="19" t="s">
        <v>351</v>
      </c>
      <c r="E21" s="19" t="s">
        <v>352</v>
      </c>
    </row>
    <row r="22" customFormat="false" ht="31.5" hidden="false" customHeight="true" outlineLevel="0" collapsed="false">
      <c r="A22" s="19" t="s">
        <v>299</v>
      </c>
      <c r="B22" s="19" t="s">
        <v>353</v>
      </c>
      <c r="C22" s="19" t="s">
        <v>354</v>
      </c>
      <c r="D22" s="19" t="s">
        <v>355</v>
      </c>
      <c r="E22" s="19" t="s">
        <v>356</v>
      </c>
    </row>
    <row r="23" customFormat="false" ht="31.5" hidden="false" customHeight="true" outlineLevel="0" collapsed="false">
      <c r="A23" s="19" t="s">
        <v>303</v>
      </c>
      <c r="B23" s="19" t="s">
        <v>357</v>
      </c>
      <c r="C23" s="19" t="s">
        <v>358</v>
      </c>
      <c r="D23" s="19" t="s">
        <v>359</v>
      </c>
      <c r="E23" s="19" t="s">
        <v>356</v>
      </c>
    </row>
    <row r="24" customFormat="false" ht="31.5" hidden="false" customHeight="true" outlineLevel="0" collapsed="false">
      <c r="A24" s="19" t="s">
        <v>307</v>
      </c>
      <c r="B24" s="19" t="s">
        <v>360</v>
      </c>
      <c r="C24" s="19" t="s">
        <v>361</v>
      </c>
      <c r="D24" s="19" t="s">
        <v>362</v>
      </c>
      <c r="E24" s="19" t="s">
        <v>363</v>
      </c>
    </row>
    <row r="25" customFormat="false" ht="31.5" hidden="false" customHeight="true" outlineLevel="0" collapsed="false">
      <c r="A25" s="19" t="s">
        <v>311</v>
      </c>
      <c r="B25" s="19" t="s">
        <v>364</v>
      </c>
      <c r="C25" s="19" t="s">
        <v>365</v>
      </c>
      <c r="D25" s="19" t="s">
        <v>366</v>
      </c>
      <c r="E25" s="19" t="s">
        <v>367</v>
      </c>
    </row>
    <row r="26" customFormat="false" ht="27.75" hidden="false" customHeight="true" outlineLevel="0" collapsed="false">
      <c r="A26" s="20" t="s">
        <v>315</v>
      </c>
      <c r="B26" s="20"/>
      <c r="C26" s="20"/>
      <c r="D26" s="20"/>
      <c r="E26" s="20"/>
    </row>
    <row r="27" customFormat="false" ht="27.75" hidden="false" customHeight="true" outlineLevel="0" collapsed="false">
      <c r="A27" s="20" t="s">
        <v>319</v>
      </c>
      <c r="B27" s="20"/>
      <c r="C27" s="20"/>
      <c r="D27" s="20"/>
      <c r="E27" s="20"/>
    </row>
    <row r="28" customFormat="false" ht="27.75" hidden="false" customHeight="true" outlineLevel="0" collapsed="false">
      <c r="A28" s="20" t="s">
        <v>323</v>
      </c>
      <c r="B28" s="20"/>
      <c r="C28" s="20"/>
      <c r="D28" s="20"/>
      <c r="E28" s="20"/>
    </row>
    <row r="29" customFormat="false" ht="27.75" hidden="false" customHeight="true" outlineLevel="0" collapsed="false">
      <c r="A29" s="20" t="s">
        <v>327</v>
      </c>
      <c r="B29" s="20"/>
      <c r="C29" s="20"/>
      <c r="D29" s="20"/>
      <c r="E29" s="20"/>
    </row>
    <row r="30" customFormat="false" ht="27.75" hidden="false" customHeight="true" outlineLevel="0" collapsed="false">
      <c r="A30" s="20" t="s">
        <v>331</v>
      </c>
      <c r="B30" s="20"/>
      <c r="C30" s="20"/>
      <c r="D30" s="20"/>
      <c r="E30" s="20"/>
    </row>
    <row r="31" customFormat="false" ht="27.75" hidden="false" customHeight="true" outlineLevel="0" collapsed="false">
      <c r="A31" s="20" t="s">
        <v>335</v>
      </c>
      <c r="B31" s="20"/>
      <c r="C31" s="20"/>
      <c r="D31" s="20"/>
      <c r="E31" s="20"/>
    </row>
    <row r="32" customFormat="false" ht="27.75" hidden="false" customHeight="true" outlineLevel="0" collapsed="false">
      <c r="A32" s="20" t="s">
        <v>339</v>
      </c>
      <c r="B32" s="20"/>
      <c r="C32" s="20"/>
      <c r="D32" s="20"/>
      <c r="E32" s="20"/>
    </row>
  </sheetData>
  <mergeCells count="4">
    <mergeCell ref="A1:E1"/>
    <mergeCell ref="A2:E2"/>
    <mergeCell ref="A18:E18"/>
    <mergeCell ref="A19:E19"/>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4"/>
    <col collapsed="false" customWidth="true" hidden="false" outlineLevel="0" max="4" min="4" style="1" width="32"/>
    <col collapsed="false" customWidth="true" hidden="false" outlineLevel="0" max="5" min="5" style="1" width="34"/>
    <col collapsed="false" customWidth="true" hidden="false" outlineLevel="0" max="6" min="6" style="1" width="26"/>
    <col collapsed="false" customWidth="true" hidden="false" outlineLevel="0" max="7" min="7" style="1" width="16"/>
    <col collapsed="false" customWidth="true" hidden="false" outlineLevel="0" max="8" min="8" style="1" width="24"/>
    <col collapsed="false" customWidth="true" hidden="false" outlineLevel="0" max="9" min="9" style="1" width="14"/>
  </cols>
  <sheetData>
    <row r="1" customFormat="false" ht="30" hidden="false" customHeight="true" outlineLevel="0" collapsed="false">
      <c r="A1" s="21" t="s">
        <v>368</v>
      </c>
      <c r="B1" s="21"/>
      <c r="C1" s="21"/>
      <c r="D1" s="21"/>
      <c r="E1" s="21"/>
      <c r="F1" s="21"/>
      <c r="G1" s="21"/>
      <c r="H1" s="21"/>
      <c r="I1" s="21"/>
    </row>
    <row r="2" customFormat="false" ht="30" hidden="false" customHeight="true" outlineLevel="0" collapsed="false">
      <c r="A2" s="15" t="s">
        <v>369</v>
      </c>
      <c r="B2" s="15"/>
      <c r="C2" s="15"/>
      <c r="D2" s="15"/>
      <c r="E2" s="15"/>
      <c r="F2" s="15"/>
      <c r="G2" s="15"/>
      <c r="H2" s="15"/>
      <c r="I2" s="15"/>
    </row>
    <row r="4" customFormat="false" ht="21.75" hidden="false" customHeight="true" outlineLevel="0" collapsed="false">
      <c r="A4" s="6" t="s">
        <v>370</v>
      </c>
      <c r="B4" s="6"/>
      <c r="C4" s="6"/>
      <c r="D4" s="6"/>
      <c r="E4" s="6"/>
      <c r="F4" s="6"/>
      <c r="G4" s="6"/>
      <c r="H4" s="6"/>
      <c r="I4" s="6"/>
    </row>
    <row r="5" customFormat="false" ht="33.75" hidden="false" customHeight="true" outlineLevel="0" collapsed="false">
      <c r="A5" s="8" t="s">
        <v>290</v>
      </c>
      <c r="B5" s="8" t="s">
        <v>371</v>
      </c>
      <c r="C5" s="8" t="s">
        <v>372</v>
      </c>
      <c r="D5" s="8" t="s">
        <v>373</v>
      </c>
      <c r="E5" s="8" t="s">
        <v>374</v>
      </c>
      <c r="F5" s="8" t="s">
        <v>375</v>
      </c>
      <c r="G5" s="8" t="s">
        <v>376</v>
      </c>
      <c r="H5" s="8" t="s">
        <v>377</v>
      </c>
      <c r="I5" s="8" t="s">
        <v>378</v>
      </c>
    </row>
    <row r="6" customFormat="false" ht="61.5" hidden="false" customHeight="true" outlineLevel="0" collapsed="false">
      <c r="A6" s="19" t="s">
        <v>295</v>
      </c>
      <c r="B6" s="19" t="s">
        <v>379</v>
      </c>
      <c r="C6" s="19" t="s">
        <v>380</v>
      </c>
      <c r="D6" s="19" t="s">
        <v>381</v>
      </c>
      <c r="E6" s="19" t="s">
        <v>382</v>
      </c>
      <c r="F6" s="19" t="s">
        <v>383</v>
      </c>
      <c r="G6" s="19" t="s">
        <v>384</v>
      </c>
      <c r="H6" s="19" t="s">
        <v>385</v>
      </c>
      <c r="I6" s="19" t="s">
        <v>386</v>
      </c>
    </row>
    <row r="7" customFormat="false" ht="61.5" hidden="false" customHeight="true" outlineLevel="0" collapsed="false">
      <c r="A7" s="19" t="s">
        <v>299</v>
      </c>
      <c r="B7" s="19" t="s">
        <v>387</v>
      </c>
      <c r="C7" s="19" t="s">
        <v>388</v>
      </c>
      <c r="D7" s="19" t="s">
        <v>389</v>
      </c>
      <c r="E7" s="19" t="s">
        <v>390</v>
      </c>
      <c r="F7" s="19" t="s">
        <v>391</v>
      </c>
      <c r="G7" s="19" t="s">
        <v>392</v>
      </c>
      <c r="H7" s="19" t="s">
        <v>393</v>
      </c>
      <c r="I7" s="19" t="s">
        <v>394</v>
      </c>
    </row>
    <row r="8" customFormat="false" ht="61.5" hidden="false" customHeight="true" outlineLevel="0" collapsed="false">
      <c r="A8" s="19" t="s">
        <v>303</v>
      </c>
      <c r="B8" s="19" t="s">
        <v>395</v>
      </c>
      <c r="C8" s="19" t="s">
        <v>388</v>
      </c>
      <c r="D8" s="19" t="s">
        <v>396</v>
      </c>
      <c r="E8" s="19" t="s">
        <v>397</v>
      </c>
      <c r="F8" s="19" t="s">
        <v>398</v>
      </c>
      <c r="G8" s="19" t="s">
        <v>399</v>
      </c>
      <c r="H8" s="19" t="s">
        <v>393</v>
      </c>
      <c r="I8" s="19" t="s">
        <v>400</v>
      </c>
    </row>
    <row r="9" customFormat="false" ht="61.5" hidden="false" customHeight="true" outlineLevel="0" collapsed="false">
      <c r="A9" s="19" t="s">
        <v>307</v>
      </c>
      <c r="B9" s="19" t="s">
        <v>401</v>
      </c>
      <c r="C9" s="19" t="s">
        <v>388</v>
      </c>
      <c r="D9" s="19" t="s">
        <v>402</v>
      </c>
      <c r="E9" s="19" t="s">
        <v>403</v>
      </c>
      <c r="F9" s="19" t="s">
        <v>404</v>
      </c>
      <c r="G9" s="19" t="s">
        <v>405</v>
      </c>
      <c r="H9" s="19" t="s">
        <v>406</v>
      </c>
      <c r="I9" s="19" t="s">
        <v>407</v>
      </c>
    </row>
    <row r="10" customFormat="false" ht="61.5" hidden="false" customHeight="true" outlineLevel="0" collapsed="false">
      <c r="A10" s="19" t="s">
        <v>311</v>
      </c>
      <c r="B10" s="19" t="s">
        <v>408</v>
      </c>
      <c r="C10" s="19" t="s">
        <v>388</v>
      </c>
      <c r="D10" s="19" t="s">
        <v>409</v>
      </c>
      <c r="E10" s="19" t="s">
        <v>410</v>
      </c>
      <c r="F10" s="19" t="s">
        <v>411</v>
      </c>
      <c r="G10" s="19" t="s">
        <v>412</v>
      </c>
      <c r="H10" s="19" t="s">
        <v>413</v>
      </c>
      <c r="I10" s="19" t="s">
        <v>414</v>
      </c>
    </row>
    <row r="11" customFormat="false" ht="30" hidden="false" customHeight="true" outlineLevel="0" collapsed="false">
      <c r="A11" s="20" t="s">
        <v>315</v>
      </c>
      <c r="B11" s="20"/>
      <c r="C11" s="20"/>
      <c r="D11" s="20"/>
      <c r="E11" s="20"/>
      <c r="F11" s="20"/>
      <c r="G11" s="20"/>
      <c r="H11" s="20"/>
      <c r="I11" s="20"/>
    </row>
    <row r="12" customFormat="false" ht="30" hidden="false" customHeight="true" outlineLevel="0" collapsed="false">
      <c r="A12" s="20" t="s">
        <v>319</v>
      </c>
      <c r="B12" s="20"/>
      <c r="C12" s="20"/>
      <c r="D12" s="20"/>
      <c r="E12" s="20"/>
      <c r="F12" s="20"/>
      <c r="G12" s="20"/>
      <c r="H12" s="20"/>
      <c r="I12" s="20"/>
    </row>
    <row r="13" customFormat="false" ht="30" hidden="false" customHeight="true" outlineLevel="0" collapsed="false">
      <c r="A13" s="20" t="s">
        <v>323</v>
      </c>
      <c r="B13" s="20"/>
      <c r="C13" s="20"/>
      <c r="D13" s="20"/>
      <c r="E13" s="20"/>
      <c r="F13" s="20"/>
      <c r="G13" s="20"/>
      <c r="H13" s="20"/>
      <c r="I13" s="20"/>
    </row>
    <row r="14" customFormat="false" ht="30" hidden="false" customHeight="true" outlineLevel="0" collapsed="false">
      <c r="A14" s="20" t="s">
        <v>327</v>
      </c>
      <c r="B14" s="20"/>
      <c r="C14" s="20"/>
      <c r="D14" s="20"/>
      <c r="E14" s="20"/>
      <c r="F14" s="20"/>
      <c r="G14" s="20"/>
      <c r="H14" s="20"/>
      <c r="I14" s="20"/>
    </row>
    <row r="15" customFormat="false" ht="30" hidden="false" customHeight="true" outlineLevel="0" collapsed="false">
      <c r="A15" s="20" t="s">
        <v>331</v>
      </c>
      <c r="B15" s="20"/>
      <c r="C15" s="20"/>
      <c r="D15" s="20"/>
      <c r="E15" s="20"/>
      <c r="F15" s="20"/>
      <c r="G15" s="20"/>
      <c r="H15" s="20"/>
      <c r="I15" s="20"/>
    </row>
    <row r="17" customFormat="false" ht="31.5" hidden="false" customHeight="true" outlineLevel="0" collapsed="false">
      <c r="A17" s="22" t="s">
        <v>415</v>
      </c>
      <c r="B17" s="22"/>
      <c r="C17" s="22"/>
      <c r="D17" s="22"/>
      <c r="E17" s="22"/>
      <c r="F17" s="22"/>
      <c r="G17" s="22"/>
      <c r="H17" s="22"/>
      <c r="I17" s="22"/>
    </row>
    <row r="19" customFormat="false" ht="21.75" hidden="false" customHeight="true" outlineLevel="0" collapsed="false">
      <c r="A19" s="6" t="s">
        <v>416</v>
      </c>
      <c r="B19" s="6"/>
      <c r="C19" s="6"/>
      <c r="D19" s="6"/>
      <c r="E19" s="6"/>
      <c r="F19" s="6"/>
      <c r="G19" s="6"/>
      <c r="H19" s="6"/>
      <c r="I19" s="6"/>
    </row>
    <row r="20" customFormat="false" ht="33.75" hidden="false" customHeight="true" outlineLevel="0" collapsed="false">
      <c r="A20" s="8" t="s">
        <v>290</v>
      </c>
      <c r="B20" s="8" t="s">
        <v>372</v>
      </c>
      <c r="C20" s="8" t="s">
        <v>417</v>
      </c>
      <c r="D20" s="8" t="s">
        <v>418</v>
      </c>
      <c r="E20" s="8" t="s">
        <v>419</v>
      </c>
      <c r="F20" s="8" t="s">
        <v>420</v>
      </c>
      <c r="G20" s="8" t="s">
        <v>421</v>
      </c>
      <c r="H20" s="8" t="s">
        <v>422</v>
      </c>
      <c r="I20" s="8" t="s">
        <v>423</v>
      </c>
    </row>
    <row r="21" customFormat="false" ht="55.5" hidden="false" customHeight="true" outlineLevel="0" collapsed="false">
      <c r="A21" s="19" t="s">
        <v>424</v>
      </c>
      <c r="B21" s="19" t="s">
        <v>425</v>
      </c>
      <c r="C21" s="19" t="s">
        <v>426</v>
      </c>
      <c r="D21" s="19" t="s">
        <v>427</v>
      </c>
      <c r="E21" s="19" t="s">
        <v>428</v>
      </c>
      <c r="F21" s="19" t="s">
        <v>429</v>
      </c>
      <c r="G21" s="19" t="s">
        <v>430</v>
      </c>
      <c r="H21" s="19" t="s">
        <v>120</v>
      </c>
      <c r="I21" s="19"/>
    </row>
    <row r="22" customFormat="false" ht="55.5" hidden="false" customHeight="true" outlineLevel="0" collapsed="false">
      <c r="A22" s="19" t="s">
        <v>431</v>
      </c>
      <c r="B22" s="19" t="s">
        <v>432</v>
      </c>
      <c r="C22" s="19" t="s">
        <v>433</v>
      </c>
      <c r="D22" s="19" t="s">
        <v>434</v>
      </c>
      <c r="E22" s="19" t="s">
        <v>435</v>
      </c>
      <c r="F22" s="19" t="s">
        <v>436</v>
      </c>
      <c r="G22" s="19" t="s">
        <v>437</v>
      </c>
      <c r="H22" s="19" t="s">
        <v>120</v>
      </c>
      <c r="I22" s="19"/>
    </row>
    <row r="23" customFormat="false" ht="55.5" hidden="false" customHeight="true" outlineLevel="0" collapsed="false">
      <c r="A23" s="19" t="s">
        <v>438</v>
      </c>
      <c r="B23" s="19" t="s">
        <v>432</v>
      </c>
      <c r="C23" s="19" t="s">
        <v>439</v>
      </c>
      <c r="D23" s="19" t="s">
        <v>440</v>
      </c>
      <c r="E23" s="19" t="s">
        <v>441</v>
      </c>
      <c r="F23" s="19" t="s">
        <v>429</v>
      </c>
      <c r="G23" s="19" t="s">
        <v>437</v>
      </c>
      <c r="H23" s="19" t="s">
        <v>120</v>
      </c>
      <c r="I23" s="19"/>
    </row>
    <row r="24" customFormat="false" ht="33.75" hidden="false" customHeight="true" outlineLevel="0" collapsed="false">
      <c r="A24" s="20" t="s">
        <v>442</v>
      </c>
      <c r="B24" s="20" t="s">
        <v>432</v>
      </c>
      <c r="C24" s="20"/>
      <c r="D24" s="20"/>
      <c r="E24" s="20"/>
      <c r="F24" s="20"/>
      <c r="G24" s="20"/>
      <c r="H24" s="20"/>
      <c r="I24" s="20"/>
    </row>
    <row r="25" customFormat="false" ht="33.75" hidden="false" customHeight="true" outlineLevel="0" collapsed="false">
      <c r="A25" s="20" t="s">
        <v>443</v>
      </c>
      <c r="B25" s="20" t="s">
        <v>432</v>
      </c>
      <c r="C25" s="20"/>
      <c r="D25" s="20"/>
      <c r="E25" s="20"/>
      <c r="F25" s="20"/>
      <c r="G25" s="20"/>
      <c r="H25" s="20"/>
      <c r="I25" s="20"/>
    </row>
    <row r="26" customFormat="false" ht="33.75" hidden="false" customHeight="true" outlineLevel="0" collapsed="false">
      <c r="A26" s="20" t="s">
        <v>444</v>
      </c>
      <c r="B26" s="20" t="s">
        <v>432</v>
      </c>
      <c r="C26" s="20"/>
      <c r="D26" s="20"/>
      <c r="E26" s="20"/>
      <c r="F26" s="20"/>
      <c r="G26" s="20"/>
      <c r="H26" s="20"/>
      <c r="I26" s="20"/>
    </row>
    <row r="28" customFormat="false" ht="30" hidden="false" customHeight="true" outlineLevel="0" collapsed="false">
      <c r="A28" s="22" t="s">
        <v>445</v>
      </c>
      <c r="B28" s="22"/>
      <c r="C28" s="22"/>
      <c r="D28" s="22"/>
      <c r="E28" s="22"/>
      <c r="F28" s="22"/>
      <c r="G28" s="22"/>
      <c r="H28" s="22"/>
      <c r="I28" s="22"/>
    </row>
  </sheetData>
  <mergeCells count="6">
    <mergeCell ref="A1:I1"/>
    <mergeCell ref="A2:I2"/>
    <mergeCell ref="A4:I4"/>
    <mergeCell ref="A17:I17"/>
    <mergeCell ref="A19:I19"/>
    <mergeCell ref="A28:I28"/>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16"/>
    <col collapsed="false" customWidth="true" hidden="false" outlineLevel="0" max="4" min="4" style="1" width="14"/>
    <col collapsed="false" customWidth="true" hidden="false" outlineLevel="0" max="5" min="5" style="1" width="52"/>
    <col collapsed="false" customWidth="true" hidden="false" outlineLevel="0" max="6" min="6" style="1" width="26"/>
  </cols>
  <sheetData>
    <row r="1" customFormat="false" ht="30" hidden="false" customHeight="true" outlineLevel="0" collapsed="false">
      <c r="A1" s="21" t="s">
        <v>446</v>
      </c>
      <c r="B1" s="21"/>
      <c r="C1" s="21"/>
      <c r="D1" s="21"/>
      <c r="E1" s="21"/>
      <c r="F1" s="21"/>
    </row>
    <row r="2" customFormat="false" ht="25.5" hidden="false" customHeight="true" outlineLevel="0" collapsed="false">
      <c r="A2" s="15" t="s">
        <v>447</v>
      </c>
      <c r="B2" s="15"/>
      <c r="C2" s="15"/>
      <c r="D2" s="15"/>
      <c r="E2" s="15"/>
      <c r="F2" s="15"/>
    </row>
    <row r="4" customFormat="false" ht="21.75" hidden="false" customHeight="true" outlineLevel="0" collapsed="false">
      <c r="A4" s="6" t="s">
        <v>448</v>
      </c>
      <c r="B4" s="6"/>
      <c r="C4" s="6"/>
      <c r="D4" s="6"/>
      <c r="E4" s="6"/>
      <c r="F4" s="6"/>
    </row>
    <row r="5" customFormat="false" ht="33.75" hidden="false" customHeight="true" outlineLevel="0" collapsed="false">
      <c r="A5" s="8" t="s">
        <v>290</v>
      </c>
      <c r="B5" s="8" t="s">
        <v>291</v>
      </c>
      <c r="C5" s="8"/>
      <c r="D5" s="8"/>
      <c r="E5" s="8" t="s">
        <v>449</v>
      </c>
      <c r="F5" s="8" t="s">
        <v>294</v>
      </c>
    </row>
    <row r="6" customFormat="false" ht="42" hidden="false" customHeight="true" outlineLevel="0" collapsed="false">
      <c r="A6" s="9" t="s">
        <v>295</v>
      </c>
      <c r="B6" s="9" t="s">
        <v>450</v>
      </c>
      <c r="C6" s="9"/>
      <c r="D6" s="9"/>
      <c r="E6" s="19" t="s">
        <v>451</v>
      </c>
      <c r="F6" s="20"/>
    </row>
    <row r="7" customFormat="false" ht="42" hidden="false" customHeight="true" outlineLevel="0" collapsed="false">
      <c r="A7" s="9" t="s">
        <v>299</v>
      </c>
      <c r="B7" s="9" t="s">
        <v>452</v>
      </c>
      <c r="C7" s="9"/>
      <c r="D7" s="9"/>
      <c r="E7" s="19" t="s">
        <v>453</v>
      </c>
      <c r="F7" s="20"/>
    </row>
    <row r="8" customFormat="false" ht="42" hidden="false" customHeight="true" outlineLevel="0" collapsed="false">
      <c r="A8" s="9" t="s">
        <v>303</v>
      </c>
      <c r="B8" s="9" t="s">
        <v>454</v>
      </c>
      <c r="C8" s="9"/>
      <c r="D8" s="9"/>
      <c r="E8" s="19" t="s">
        <v>455</v>
      </c>
      <c r="F8" s="20"/>
    </row>
    <row r="9" customFormat="false" ht="42" hidden="false" customHeight="true" outlineLevel="0" collapsed="false">
      <c r="A9" s="9" t="s">
        <v>307</v>
      </c>
      <c r="B9" s="9" t="s">
        <v>456</v>
      </c>
      <c r="C9" s="9"/>
      <c r="D9" s="9"/>
      <c r="E9" s="19" t="s">
        <v>457</v>
      </c>
      <c r="F9" s="20"/>
    </row>
    <row r="10" customFormat="false" ht="42" hidden="false" customHeight="true" outlineLevel="0" collapsed="false">
      <c r="A10" s="9" t="s">
        <v>311</v>
      </c>
      <c r="B10" s="9" t="s">
        <v>458</v>
      </c>
      <c r="C10" s="9"/>
      <c r="D10" s="9"/>
      <c r="E10" s="19" t="s">
        <v>459</v>
      </c>
      <c r="F10" s="20"/>
    </row>
    <row r="11" customFormat="false" ht="42" hidden="false" customHeight="true" outlineLevel="0" collapsed="false">
      <c r="A11" s="9" t="s">
        <v>315</v>
      </c>
      <c r="B11" s="9" t="s">
        <v>460</v>
      </c>
      <c r="C11" s="9"/>
      <c r="D11" s="9"/>
      <c r="E11" s="19" t="s">
        <v>461</v>
      </c>
      <c r="F11" s="20"/>
    </row>
    <row r="12" customFormat="false" ht="42" hidden="false" customHeight="true" outlineLevel="0" collapsed="false">
      <c r="A12" s="9" t="s">
        <v>319</v>
      </c>
      <c r="B12" s="9" t="s">
        <v>462</v>
      </c>
      <c r="C12" s="9"/>
      <c r="D12" s="9"/>
      <c r="E12" s="19" t="s">
        <v>463</v>
      </c>
      <c r="F12" s="20"/>
    </row>
    <row r="14" customFormat="false" ht="21.75" hidden="false" customHeight="true" outlineLevel="0" collapsed="false">
      <c r="A14" s="6" t="s">
        <v>464</v>
      </c>
      <c r="B14" s="6"/>
      <c r="C14" s="6"/>
      <c r="D14" s="6"/>
      <c r="E14" s="6"/>
      <c r="F14" s="6"/>
    </row>
    <row r="15" customFormat="false" ht="33.75" hidden="false" customHeight="true" outlineLevel="0" collapsed="false">
      <c r="A15" s="8" t="s">
        <v>290</v>
      </c>
      <c r="B15" s="8" t="s">
        <v>465</v>
      </c>
      <c r="C15" s="8" t="s">
        <v>466</v>
      </c>
      <c r="D15" s="8" t="s">
        <v>467</v>
      </c>
      <c r="E15" s="8" t="s">
        <v>468</v>
      </c>
      <c r="F15" s="8" t="s">
        <v>469</v>
      </c>
    </row>
    <row r="16" customFormat="false" ht="31.5" hidden="false" customHeight="true" outlineLevel="0" collapsed="false">
      <c r="A16" s="9" t="s">
        <v>295</v>
      </c>
      <c r="B16" s="9" t="s">
        <v>470</v>
      </c>
      <c r="C16" s="9" t="s">
        <v>471</v>
      </c>
      <c r="D16" s="23" t="n">
        <v>4760</v>
      </c>
      <c r="E16" s="9" t="s">
        <v>472</v>
      </c>
      <c r="F16" s="9" t="s">
        <v>473</v>
      </c>
    </row>
    <row r="17" customFormat="false" ht="31.5" hidden="false" customHeight="true" outlineLevel="0" collapsed="false">
      <c r="A17" s="9" t="s">
        <v>299</v>
      </c>
      <c r="B17" s="9" t="s">
        <v>474</v>
      </c>
      <c r="C17" s="9" t="s">
        <v>475</v>
      </c>
      <c r="D17" s="24" t="n">
        <v>0.95</v>
      </c>
      <c r="E17" s="9" t="s">
        <v>476</v>
      </c>
      <c r="F17" s="9" t="s">
        <v>473</v>
      </c>
    </row>
    <row r="18" customFormat="false" ht="31.5" hidden="false" customHeight="true" outlineLevel="0" collapsed="false">
      <c r="A18" s="9" t="s">
        <v>303</v>
      </c>
      <c r="B18" s="9" t="s">
        <v>477</v>
      </c>
      <c r="C18" s="9" t="s">
        <v>478</v>
      </c>
      <c r="D18" s="25" t="n">
        <f aca="false">INDEX($D$29:$D$32,MATCH(D17,$C$29:$C$32,0))</f>
        <v>1.96</v>
      </c>
      <c r="E18" s="9" t="s">
        <v>479</v>
      </c>
      <c r="F18" s="9" t="s">
        <v>480</v>
      </c>
    </row>
    <row r="19" customFormat="false" ht="31.5" hidden="false" customHeight="true" outlineLevel="0" collapsed="false">
      <c r="A19" s="9" t="s">
        <v>307</v>
      </c>
      <c r="B19" s="9" t="s">
        <v>481</v>
      </c>
      <c r="C19" s="9" t="s">
        <v>482</v>
      </c>
      <c r="D19" s="26" t="n">
        <v>0.5</v>
      </c>
      <c r="E19" s="9" t="s">
        <v>483</v>
      </c>
      <c r="F19" s="9" t="s">
        <v>473</v>
      </c>
    </row>
    <row r="20" customFormat="false" ht="31.5" hidden="false" customHeight="true" outlineLevel="0" collapsed="false">
      <c r="A20" s="9" t="s">
        <v>311</v>
      </c>
      <c r="B20" s="9" t="s">
        <v>484</v>
      </c>
      <c r="C20" s="9" t="s">
        <v>485</v>
      </c>
      <c r="D20" s="25" t="n">
        <f aca="false">1-D19</f>
        <v>0.5</v>
      </c>
      <c r="E20" s="9" t="s">
        <v>486</v>
      </c>
      <c r="F20" s="9" t="s">
        <v>487</v>
      </c>
    </row>
    <row r="21" customFormat="false" ht="31.5" hidden="false" customHeight="true" outlineLevel="0" collapsed="false">
      <c r="A21" s="9" t="s">
        <v>315</v>
      </c>
      <c r="B21" s="9" t="s">
        <v>488</v>
      </c>
      <c r="C21" s="9" t="s">
        <v>489</v>
      </c>
      <c r="D21" s="24" t="n">
        <v>0.05</v>
      </c>
      <c r="E21" s="9" t="s">
        <v>490</v>
      </c>
      <c r="F21" s="9" t="s">
        <v>473</v>
      </c>
    </row>
    <row r="22" customFormat="false" ht="31.5" hidden="false" customHeight="true" outlineLevel="0" collapsed="false">
      <c r="A22" s="9" t="s">
        <v>319</v>
      </c>
      <c r="B22" s="9" t="s">
        <v>491</v>
      </c>
      <c r="C22" s="9" t="s">
        <v>492</v>
      </c>
      <c r="D22" s="27" t="n">
        <f aca="false">ROUND((D18^2*D19*D20)/(D21^2),0)</f>
        <v>384</v>
      </c>
      <c r="E22" s="9" t="s">
        <v>493</v>
      </c>
      <c r="F22" s="9" t="s">
        <v>494</v>
      </c>
    </row>
    <row r="23" customFormat="false" ht="31.5" hidden="false" customHeight="true" outlineLevel="0" collapsed="false">
      <c r="A23" s="9" t="s">
        <v>323</v>
      </c>
      <c r="B23" s="9" t="s">
        <v>495</v>
      </c>
      <c r="C23" s="9" t="s">
        <v>496</v>
      </c>
      <c r="D23" s="27" t="n">
        <f aca="false">ROUND(D22/(1+((D22-1)/D16)),0)</f>
        <v>355</v>
      </c>
      <c r="E23" s="9" t="s">
        <v>497</v>
      </c>
      <c r="F23" s="9" t="s">
        <v>498</v>
      </c>
    </row>
    <row r="24" customFormat="false" ht="31.5" hidden="false" customHeight="true" outlineLevel="0" collapsed="false">
      <c r="A24" s="9" t="s">
        <v>327</v>
      </c>
      <c r="B24" s="9" t="s">
        <v>499</v>
      </c>
      <c r="C24" s="9" t="s">
        <v>91</v>
      </c>
      <c r="D24" s="24" t="n">
        <v>0.15</v>
      </c>
      <c r="E24" s="9" t="s">
        <v>500</v>
      </c>
      <c r="F24" s="9" t="s">
        <v>473</v>
      </c>
    </row>
    <row r="25" customFormat="false" ht="31.5" hidden="false" customHeight="true" outlineLevel="0" collapsed="false">
      <c r="A25" s="9" t="s">
        <v>331</v>
      </c>
      <c r="B25" s="9" t="s">
        <v>501</v>
      </c>
      <c r="C25" s="9" t="s">
        <v>91</v>
      </c>
      <c r="D25" s="27" t="n">
        <f aca="false">ROUND(D23/(1-D24),0)</f>
        <v>418</v>
      </c>
      <c r="E25" s="9" t="s">
        <v>502</v>
      </c>
      <c r="F25" s="9" t="s">
        <v>503</v>
      </c>
    </row>
    <row r="27" customFormat="false" ht="21.75" hidden="false" customHeight="true" outlineLevel="0" collapsed="false">
      <c r="A27" s="28" t="s">
        <v>504</v>
      </c>
      <c r="B27" s="28"/>
      <c r="C27" s="28"/>
      <c r="D27" s="28"/>
      <c r="E27" s="28"/>
      <c r="F27" s="28"/>
    </row>
    <row r="28" customFormat="false" ht="33.75" hidden="false" customHeight="true" outlineLevel="0" collapsed="false">
      <c r="A28" s="8"/>
      <c r="B28" s="8" t="s">
        <v>474</v>
      </c>
      <c r="C28" s="8" t="s">
        <v>505</v>
      </c>
      <c r="D28" s="8" t="s">
        <v>506</v>
      </c>
      <c r="E28" s="8" t="s">
        <v>507</v>
      </c>
      <c r="F28" s="8"/>
    </row>
    <row r="29" customFormat="false" ht="18" hidden="false" customHeight="true" outlineLevel="0" collapsed="false">
      <c r="A29" s="29"/>
      <c r="B29" s="29" t="s">
        <v>508</v>
      </c>
      <c r="C29" s="30" t="n">
        <v>0.9</v>
      </c>
      <c r="D29" s="29" t="n">
        <v>1.645</v>
      </c>
      <c r="E29" s="29" t="s">
        <v>509</v>
      </c>
      <c r="F29" s="29"/>
    </row>
    <row r="30" customFormat="false" ht="18" hidden="false" customHeight="true" outlineLevel="0" collapsed="false">
      <c r="A30" s="29"/>
      <c r="B30" s="29" t="s">
        <v>510</v>
      </c>
      <c r="C30" s="30" t="n">
        <v>0.95</v>
      </c>
      <c r="D30" s="29" t="n">
        <v>1.96</v>
      </c>
      <c r="E30" s="29" t="s">
        <v>511</v>
      </c>
      <c r="F30" s="29"/>
    </row>
    <row r="31" customFormat="false" ht="18" hidden="false" customHeight="true" outlineLevel="0" collapsed="false">
      <c r="A31" s="29"/>
      <c r="B31" s="29" t="s">
        <v>512</v>
      </c>
      <c r="C31" s="30" t="n">
        <v>0.97</v>
      </c>
      <c r="D31" s="29" t="n">
        <v>2.17</v>
      </c>
      <c r="E31" s="29" t="s">
        <v>513</v>
      </c>
      <c r="F31" s="29"/>
    </row>
    <row r="32" customFormat="false" ht="18" hidden="false" customHeight="true" outlineLevel="0" collapsed="false">
      <c r="A32" s="29"/>
      <c r="B32" s="29" t="s">
        <v>514</v>
      </c>
      <c r="C32" s="30" t="n">
        <v>0.99</v>
      </c>
      <c r="D32" s="29" t="n">
        <v>2.575</v>
      </c>
      <c r="E32" s="29" t="s">
        <v>515</v>
      </c>
      <c r="F32" s="29"/>
    </row>
    <row r="34" customFormat="false" ht="21.75" hidden="false" customHeight="true" outlineLevel="0" collapsed="false">
      <c r="A34" s="6" t="s">
        <v>516</v>
      </c>
      <c r="B34" s="6"/>
      <c r="C34" s="6"/>
      <c r="D34" s="6"/>
      <c r="E34" s="6"/>
      <c r="F34" s="6"/>
    </row>
    <row r="35" customFormat="false" ht="33.75" hidden="false" customHeight="true" outlineLevel="0" collapsed="false">
      <c r="A35" s="8" t="s">
        <v>290</v>
      </c>
      <c r="B35" s="8" t="s">
        <v>517</v>
      </c>
      <c r="C35" s="8" t="s">
        <v>518</v>
      </c>
      <c r="D35" s="8" t="s">
        <v>519</v>
      </c>
      <c r="E35" s="8" t="s">
        <v>520</v>
      </c>
      <c r="F35" s="8" t="s">
        <v>521</v>
      </c>
    </row>
    <row r="36" customFormat="false" ht="25.5" hidden="false" customHeight="true" outlineLevel="0" collapsed="false">
      <c r="A36" s="9" t="s">
        <v>295</v>
      </c>
      <c r="B36" s="20" t="s">
        <v>522</v>
      </c>
      <c r="C36" s="31" t="n">
        <v>0.3</v>
      </c>
      <c r="D36" s="32" t="n">
        <f aca="false">ROUND($D$23*C36,0)</f>
        <v>107</v>
      </c>
      <c r="E36" s="9" t="s">
        <v>523</v>
      </c>
      <c r="F36" s="20"/>
    </row>
    <row r="37" customFormat="false" ht="25.5" hidden="false" customHeight="true" outlineLevel="0" collapsed="false">
      <c r="A37" s="9" t="s">
        <v>299</v>
      </c>
      <c r="B37" s="20" t="s">
        <v>524</v>
      </c>
      <c r="C37" s="31" t="n">
        <v>0.2</v>
      </c>
      <c r="D37" s="32" t="n">
        <f aca="false">ROUND($D$23*C37,0)</f>
        <v>71</v>
      </c>
      <c r="E37" s="9" t="s">
        <v>523</v>
      </c>
      <c r="F37" s="20"/>
    </row>
    <row r="38" customFormat="false" ht="25.5" hidden="false" customHeight="true" outlineLevel="0" collapsed="false">
      <c r="A38" s="9" t="s">
        <v>303</v>
      </c>
      <c r="B38" s="20" t="s">
        <v>525</v>
      </c>
      <c r="C38" s="31" t="n">
        <v>0.3</v>
      </c>
      <c r="D38" s="32" t="n">
        <f aca="false">ROUND($D$23*C38,0)</f>
        <v>107</v>
      </c>
      <c r="E38" s="9" t="s">
        <v>523</v>
      </c>
      <c r="F38" s="20"/>
    </row>
    <row r="39" customFormat="false" ht="25.5" hidden="false" customHeight="true" outlineLevel="0" collapsed="false">
      <c r="A39" s="9" t="s">
        <v>307</v>
      </c>
      <c r="B39" s="20" t="s">
        <v>526</v>
      </c>
      <c r="C39" s="31" t="n">
        <v>0.2</v>
      </c>
      <c r="D39" s="32" t="n">
        <f aca="false">ROUND($D$23*C39,0)</f>
        <v>71</v>
      </c>
      <c r="E39" s="9" t="s">
        <v>523</v>
      </c>
      <c r="F39" s="20"/>
    </row>
    <row r="40" customFormat="false" ht="30" hidden="false" customHeight="true" outlineLevel="0" collapsed="false">
      <c r="A40" s="33"/>
      <c r="B40" s="33" t="s">
        <v>527</v>
      </c>
      <c r="C40" s="34" t="n">
        <f aca="false">SUM(C36:C39)</f>
        <v>1</v>
      </c>
      <c r="D40" s="35" t="n">
        <f aca="false">SUM(D36:D39)</f>
        <v>356</v>
      </c>
      <c r="E40" s="33" t="s">
        <v>528</v>
      </c>
      <c r="F40" s="33"/>
    </row>
    <row r="42" customFormat="false" ht="21.75" hidden="false" customHeight="true" outlineLevel="0" collapsed="false">
      <c r="A42" s="6" t="s">
        <v>529</v>
      </c>
      <c r="B42" s="6"/>
      <c r="C42" s="6"/>
      <c r="D42" s="6"/>
      <c r="E42" s="6"/>
      <c r="F42" s="6"/>
    </row>
    <row r="43" customFormat="false" ht="33.75" hidden="false" customHeight="true" outlineLevel="0" collapsed="false">
      <c r="A43" s="8" t="s">
        <v>290</v>
      </c>
      <c r="B43" s="8" t="s">
        <v>530</v>
      </c>
      <c r="C43" s="8"/>
      <c r="D43" s="8"/>
      <c r="E43" s="8" t="s">
        <v>531</v>
      </c>
      <c r="F43" s="8" t="s">
        <v>294</v>
      </c>
    </row>
    <row r="44" customFormat="false" ht="39.75" hidden="false" customHeight="true" outlineLevel="0" collapsed="false">
      <c r="A44" s="9" t="s">
        <v>295</v>
      </c>
      <c r="B44" s="9" t="s">
        <v>532</v>
      </c>
      <c r="C44" s="9"/>
      <c r="D44" s="9"/>
      <c r="E44" s="19" t="s">
        <v>533</v>
      </c>
      <c r="F44" s="20"/>
    </row>
    <row r="45" customFormat="false" ht="39.75" hidden="false" customHeight="true" outlineLevel="0" collapsed="false">
      <c r="A45" s="9" t="s">
        <v>299</v>
      </c>
      <c r="B45" s="9" t="s">
        <v>534</v>
      </c>
      <c r="C45" s="9"/>
      <c r="D45" s="9"/>
      <c r="E45" s="19" t="s">
        <v>535</v>
      </c>
      <c r="F45" s="20"/>
    </row>
    <row r="46" customFormat="false" ht="39.75" hidden="false" customHeight="true" outlineLevel="0" collapsed="false">
      <c r="A46" s="9" t="s">
        <v>303</v>
      </c>
      <c r="B46" s="9" t="s">
        <v>536</v>
      </c>
      <c r="C46" s="9"/>
      <c r="D46" s="9"/>
      <c r="E46" s="19" t="s">
        <v>537</v>
      </c>
      <c r="F46" s="20"/>
    </row>
    <row r="47" customFormat="false" ht="39.75" hidden="false" customHeight="true" outlineLevel="0" collapsed="false">
      <c r="A47" s="9" t="s">
        <v>307</v>
      </c>
      <c r="B47" s="9" t="s">
        <v>538</v>
      </c>
      <c r="C47" s="9"/>
      <c r="D47" s="9"/>
      <c r="E47" s="19" t="s">
        <v>539</v>
      </c>
      <c r="F47" s="20"/>
    </row>
    <row r="48" customFormat="false" ht="39.75" hidden="false" customHeight="true" outlineLevel="0" collapsed="false">
      <c r="A48" s="9" t="s">
        <v>311</v>
      </c>
      <c r="B48" s="9" t="s">
        <v>540</v>
      </c>
      <c r="C48" s="9"/>
      <c r="D48" s="9"/>
      <c r="E48" s="19" t="s">
        <v>541</v>
      </c>
      <c r="F48" s="20"/>
    </row>
    <row r="49" customFormat="false" ht="39.75" hidden="false" customHeight="true" outlineLevel="0" collapsed="false">
      <c r="A49" s="9" t="s">
        <v>315</v>
      </c>
      <c r="B49" s="9" t="s">
        <v>542</v>
      </c>
      <c r="C49" s="9"/>
      <c r="D49" s="9"/>
      <c r="E49" s="19" t="s">
        <v>543</v>
      </c>
      <c r="F49" s="20"/>
    </row>
    <row r="50" customFormat="false" ht="39.75" hidden="false" customHeight="true" outlineLevel="0" collapsed="false">
      <c r="A50" s="9" t="s">
        <v>319</v>
      </c>
      <c r="B50" s="9" t="s">
        <v>544</v>
      </c>
      <c r="C50" s="9"/>
      <c r="D50" s="9"/>
      <c r="E50" s="19" t="s">
        <v>545</v>
      </c>
      <c r="F50" s="20"/>
    </row>
  </sheetData>
  <mergeCells count="22">
    <mergeCell ref="A1:F1"/>
    <mergeCell ref="A2:F2"/>
    <mergeCell ref="A4:F4"/>
    <mergeCell ref="C5:D5"/>
    <mergeCell ref="C6:D6"/>
    <mergeCell ref="C7:D7"/>
    <mergeCell ref="C8:D8"/>
    <mergeCell ref="C9:D9"/>
    <mergeCell ref="C10:D10"/>
    <mergeCell ref="C11:D11"/>
    <mergeCell ref="C12:D12"/>
    <mergeCell ref="A14:F14"/>
    <mergeCell ref="A27:F27"/>
    <mergeCell ref="A34:F34"/>
    <mergeCell ref="A42:F42"/>
    <mergeCell ref="C44:D44"/>
    <mergeCell ref="C45:D45"/>
    <mergeCell ref="C46:D46"/>
    <mergeCell ref="C47:D47"/>
    <mergeCell ref="C48:D48"/>
    <mergeCell ref="C49:D49"/>
    <mergeCell ref="C50:D50"/>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3" min="3" style="1" width="24"/>
    <col collapsed="false" customWidth="true" hidden="false" outlineLevel="0" max="4" min="4" style="1" width="52"/>
    <col collapsed="false" customWidth="true" hidden="false" outlineLevel="0" max="5" min="5" style="1" width="20"/>
    <col collapsed="false" customWidth="true" hidden="false" outlineLevel="0" max="6" min="6" style="1" width="22"/>
    <col collapsed="false" customWidth="true" hidden="false" outlineLevel="0" max="7" min="7" style="1" width="46"/>
    <col collapsed="false" customWidth="true" hidden="false" outlineLevel="0" max="8" min="8" style="1" width="22"/>
    <col collapsed="false" customWidth="true" hidden="false" outlineLevel="0" max="9" min="9" style="1" width="14"/>
    <col collapsed="false" customWidth="true" hidden="false" outlineLevel="0" max="10" min="10" style="1" width="30"/>
  </cols>
  <sheetData>
    <row r="1" customFormat="false" ht="30" hidden="false" customHeight="true" outlineLevel="0" collapsed="false">
      <c r="A1" s="14" t="s">
        <v>546</v>
      </c>
      <c r="B1" s="14"/>
      <c r="C1" s="14"/>
      <c r="D1" s="14"/>
      <c r="E1" s="14"/>
      <c r="F1" s="14"/>
      <c r="G1" s="14"/>
      <c r="H1" s="14"/>
      <c r="I1" s="14"/>
      <c r="J1" s="14"/>
    </row>
    <row r="2" customFormat="false" ht="39.75" hidden="false" customHeight="true" outlineLevel="0" collapsed="false">
      <c r="A2" s="15" t="s">
        <v>547</v>
      </c>
      <c r="B2" s="15"/>
      <c r="C2" s="15"/>
      <c r="D2" s="15"/>
      <c r="E2" s="15"/>
      <c r="F2" s="15"/>
      <c r="G2" s="15"/>
      <c r="H2" s="15"/>
      <c r="I2" s="15"/>
      <c r="J2" s="15"/>
    </row>
    <row r="4" customFormat="false" ht="21.75" hidden="false" customHeight="true" outlineLevel="0" collapsed="false">
      <c r="A4" s="6" t="s">
        <v>548</v>
      </c>
      <c r="B4" s="6"/>
      <c r="C4" s="6"/>
      <c r="D4" s="6"/>
      <c r="E4" s="6"/>
      <c r="F4" s="6"/>
      <c r="G4" s="6"/>
      <c r="H4" s="6"/>
      <c r="I4" s="6"/>
      <c r="J4" s="6"/>
    </row>
    <row r="5" customFormat="false" ht="33.75" hidden="false" customHeight="true" outlineLevel="0" collapsed="false">
      <c r="A5" s="8"/>
      <c r="B5" s="8" t="s">
        <v>291</v>
      </c>
      <c r="C5" s="8" t="s">
        <v>22</v>
      </c>
      <c r="D5" s="8"/>
      <c r="E5" s="8"/>
      <c r="F5" s="8"/>
      <c r="G5" s="8" t="s">
        <v>291</v>
      </c>
      <c r="H5" s="8" t="s">
        <v>22</v>
      </c>
      <c r="I5" s="8"/>
      <c r="J5" s="8"/>
    </row>
    <row r="6" customFormat="false" ht="27.75" hidden="false" customHeight="true" outlineLevel="0" collapsed="false">
      <c r="A6" s="9"/>
      <c r="B6" s="29" t="s">
        <v>549</v>
      </c>
      <c r="C6" s="23" t="s">
        <v>550</v>
      </c>
      <c r="D6" s="23"/>
      <c r="E6" s="23"/>
      <c r="F6" s="23"/>
      <c r="G6" s="29" t="s">
        <v>551</v>
      </c>
      <c r="H6" s="23" t="s">
        <v>552</v>
      </c>
      <c r="I6" s="23"/>
      <c r="J6" s="23"/>
    </row>
    <row r="7" customFormat="false" ht="27.75" hidden="false" customHeight="true" outlineLevel="0" collapsed="false">
      <c r="A7" s="9"/>
      <c r="B7" s="29" t="s">
        <v>553</v>
      </c>
      <c r="C7" s="20" t="s">
        <v>554</v>
      </c>
      <c r="D7" s="20"/>
      <c r="E7" s="20"/>
      <c r="F7" s="20"/>
      <c r="G7" s="29" t="s">
        <v>555</v>
      </c>
      <c r="H7" s="20" t="s">
        <v>556</v>
      </c>
      <c r="I7" s="20"/>
      <c r="J7" s="20"/>
    </row>
    <row r="8" customFormat="false" ht="27.75" hidden="false" customHeight="true" outlineLevel="0" collapsed="false">
      <c r="A8" s="9"/>
      <c r="B8" s="29" t="s">
        <v>557</v>
      </c>
      <c r="C8" s="20" t="s">
        <v>558</v>
      </c>
      <c r="D8" s="20"/>
      <c r="E8" s="20"/>
      <c r="F8" s="20"/>
      <c r="G8" s="29" t="s">
        <v>559</v>
      </c>
      <c r="H8" s="20" t="s">
        <v>560</v>
      </c>
      <c r="I8" s="20"/>
      <c r="J8" s="20"/>
    </row>
    <row r="9" customFormat="false" ht="27.75" hidden="false" customHeight="true" outlineLevel="0" collapsed="false">
      <c r="A9" s="9"/>
      <c r="B9" s="29" t="s">
        <v>561</v>
      </c>
      <c r="C9" s="20" t="s">
        <v>562</v>
      </c>
      <c r="D9" s="20"/>
      <c r="E9" s="20"/>
      <c r="F9" s="20"/>
      <c r="G9" s="29" t="s">
        <v>563</v>
      </c>
      <c r="H9" s="20" t="s">
        <v>564</v>
      </c>
      <c r="I9" s="20"/>
      <c r="J9" s="20"/>
    </row>
    <row r="11" customFormat="false" ht="33.75" hidden="false" customHeight="true" outlineLevel="0" collapsed="false">
      <c r="A11" s="8" t="s">
        <v>290</v>
      </c>
      <c r="B11" s="8" t="s">
        <v>565</v>
      </c>
      <c r="C11" s="8" t="s">
        <v>566</v>
      </c>
      <c r="D11" s="8" t="s">
        <v>567</v>
      </c>
      <c r="E11" s="8" t="s">
        <v>568</v>
      </c>
      <c r="F11" s="8" t="s">
        <v>569</v>
      </c>
      <c r="G11" s="8" t="s">
        <v>570</v>
      </c>
      <c r="H11" s="8" t="s">
        <v>571</v>
      </c>
      <c r="I11" s="8" t="s">
        <v>572</v>
      </c>
      <c r="J11" s="8" t="s">
        <v>573</v>
      </c>
    </row>
    <row r="12" customFormat="false" ht="21.75" hidden="false" customHeight="true" outlineLevel="0" collapsed="false">
      <c r="A12" s="36" t="s">
        <v>574</v>
      </c>
      <c r="B12" s="36"/>
      <c r="C12" s="36"/>
      <c r="D12" s="36"/>
      <c r="E12" s="36"/>
      <c r="F12" s="36"/>
      <c r="G12" s="36"/>
      <c r="H12" s="36"/>
      <c r="I12" s="36"/>
      <c r="J12" s="36"/>
    </row>
    <row r="13" customFormat="false" ht="45.75" hidden="false" customHeight="true" outlineLevel="0" collapsed="false">
      <c r="A13" s="9" t="s">
        <v>91</v>
      </c>
      <c r="B13" s="9" t="s">
        <v>575</v>
      </c>
      <c r="C13" s="9" t="s">
        <v>91</v>
      </c>
      <c r="D13" s="9" t="s">
        <v>576</v>
      </c>
      <c r="E13" s="9" t="s">
        <v>577</v>
      </c>
      <c r="F13" s="9" t="s">
        <v>91</v>
      </c>
      <c r="G13" s="9" t="s">
        <v>578</v>
      </c>
      <c r="H13" s="9" t="s">
        <v>579</v>
      </c>
      <c r="I13" s="9" t="s">
        <v>101</v>
      </c>
      <c r="J13" s="9" t="s">
        <v>580</v>
      </c>
    </row>
    <row r="14" customFormat="false" ht="21.75" hidden="false" customHeight="true" outlineLevel="0" collapsed="false">
      <c r="A14" s="36" t="s">
        <v>581</v>
      </c>
      <c r="B14" s="36"/>
      <c r="C14" s="36"/>
      <c r="D14" s="36"/>
      <c r="E14" s="36"/>
      <c r="F14" s="36"/>
      <c r="G14" s="36"/>
      <c r="H14" s="36"/>
      <c r="I14" s="36"/>
      <c r="J14" s="36"/>
    </row>
    <row r="15" customFormat="false" ht="45.75" hidden="false" customHeight="true" outlineLevel="0" collapsed="false">
      <c r="A15" s="9" t="s">
        <v>582</v>
      </c>
      <c r="B15" s="9" t="s">
        <v>583</v>
      </c>
      <c r="C15" s="9" t="s">
        <v>584</v>
      </c>
      <c r="D15" s="9" t="s">
        <v>585</v>
      </c>
      <c r="E15" s="9" t="s">
        <v>586</v>
      </c>
      <c r="F15" s="9" t="s">
        <v>406</v>
      </c>
      <c r="G15" s="9" t="s">
        <v>587</v>
      </c>
      <c r="H15" s="9" t="s">
        <v>588</v>
      </c>
      <c r="I15" s="9" t="s">
        <v>95</v>
      </c>
      <c r="J15" s="9" t="s">
        <v>589</v>
      </c>
    </row>
    <row r="16" customFormat="false" ht="45.75" hidden="false" customHeight="true" outlineLevel="0" collapsed="false">
      <c r="A16" s="9" t="s">
        <v>590</v>
      </c>
      <c r="B16" s="9" t="s">
        <v>583</v>
      </c>
      <c r="C16" s="9" t="s">
        <v>591</v>
      </c>
      <c r="D16" s="9" t="s">
        <v>592</v>
      </c>
      <c r="E16" s="9" t="s">
        <v>593</v>
      </c>
      <c r="F16" s="9" t="s">
        <v>594</v>
      </c>
      <c r="G16" s="9" t="s">
        <v>595</v>
      </c>
      <c r="H16" s="9" t="s">
        <v>596</v>
      </c>
      <c r="I16" s="9" t="s">
        <v>597</v>
      </c>
      <c r="J16" s="9" t="s">
        <v>598</v>
      </c>
    </row>
    <row r="17" customFormat="false" ht="45.75" hidden="false" customHeight="true" outlineLevel="0" collapsed="false">
      <c r="A17" s="9" t="s">
        <v>599</v>
      </c>
      <c r="B17" s="9" t="s">
        <v>583</v>
      </c>
      <c r="C17" s="9" t="s">
        <v>600</v>
      </c>
      <c r="D17" s="9" t="s">
        <v>601</v>
      </c>
      <c r="E17" s="9" t="s">
        <v>586</v>
      </c>
      <c r="F17" s="9" t="s">
        <v>406</v>
      </c>
      <c r="G17" s="9" t="s">
        <v>587</v>
      </c>
      <c r="H17" s="9" t="s">
        <v>588</v>
      </c>
      <c r="I17" s="9" t="s">
        <v>95</v>
      </c>
      <c r="J17" s="9" t="s">
        <v>602</v>
      </c>
    </row>
    <row r="18" customFormat="false" ht="21.75" hidden="false" customHeight="true" outlineLevel="0" collapsed="false">
      <c r="A18" s="36" t="s">
        <v>603</v>
      </c>
      <c r="B18" s="36"/>
      <c r="C18" s="36"/>
      <c r="D18" s="36"/>
      <c r="E18" s="36"/>
      <c r="F18" s="36"/>
      <c r="G18" s="36"/>
      <c r="H18" s="36"/>
      <c r="I18" s="36"/>
      <c r="J18" s="36"/>
    </row>
    <row r="19" customFormat="false" ht="45.75" hidden="false" customHeight="true" outlineLevel="0" collapsed="false">
      <c r="A19" s="9" t="s">
        <v>604</v>
      </c>
      <c r="B19" s="9" t="s">
        <v>605</v>
      </c>
      <c r="C19" s="9" t="s">
        <v>606</v>
      </c>
      <c r="D19" s="9" t="s">
        <v>607</v>
      </c>
      <c r="E19" s="9" t="s">
        <v>593</v>
      </c>
      <c r="F19" s="9" t="s">
        <v>608</v>
      </c>
      <c r="G19" s="9" t="s">
        <v>609</v>
      </c>
      <c r="H19" s="9" t="s">
        <v>610</v>
      </c>
      <c r="I19" s="9" t="s">
        <v>130</v>
      </c>
      <c r="J19" s="9" t="s">
        <v>611</v>
      </c>
    </row>
    <row r="20" customFormat="false" ht="45.75" hidden="false" customHeight="true" outlineLevel="0" collapsed="false">
      <c r="A20" s="9" t="s">
        <v>612</v>
      </c>
      <c r="B20" s="9" t="s">
        <v>605</v>
      </c>
      <c r="C20" s="9" t="s">
        <v>613</v>
      </c>
      <c r="D20" s="9" t="s">
        <v>614</v>
      </c>
      <c r="E20" s="9" t="s">
        <v>593</v>
      </c>
      <c r="F20" s="9" t="s">
        <v>406</v>
      </c>
      <c r="G20" s="9" t="s">
        <v>615</v>
      </c>
      <c r="H20" s="9" t="s">
        <v>610</v>
      </c>
      <c r="I20" s="9" t="s">
        <v>130</v>
      </c>
      <c r="J20" s="9" t="s">
        <v>616</v>
      </c>
    </row>
    <row r="21" customFormat="false" ht="45.75" hidden="false" customHeight="true" outlineLevel="0" collapsed="false">
      <c r="A21" s="9" t="s">
        <v>617</v>
      </c>
      <c r="B21" s="9" t="s">
        <v>605</v>
      </c>
      <c r="C21" s="9" t="s">
        <v>618</v>
      </c>
      <c r="D21" s="9" t="s">
        <v>619</v>
      </c>
      <c r="E21" s="9" t="s">
        <v>593</v>
      </c>
      <c r="F21" s="9" t="s">
        <v>406</v>
      </c>
      <c r="G21" s="9" t="s">
        <v>620</v>
      </c>
      <c r="H21" s="9" t="s">
        <v>610</v>
      </c>
      <c r="I21" s="9" t="s">
        <v>130</v>
      </c>
      <c r="J21" s="9" t="s">
        <v>621</v>
      </c>
    </row>
    <row r="22" customFormat="false" ht="45.75" hidden="false" customHeight="true" outlineLevel="0" collapsed="false">
      <c r="A22" s="9" t="s">
        <v>386</v>
      </c>
      <c r="B22" s="9" t="s">
        <v>605</v>
      </c>
      <c r="C22" s="9" t="s">
        <v>622</v>
      </c>
      <c r="D22" s="9" t="s">
        <v>623</v>
      </c>
      <c r="E22" s="9" t="s">
        <v>593</v>
      </c>
      <c r="F22" s="9" t="s">
        <v>624</v>
      </c>
      <c r="G22" s="9" t="s">
        <v>625</v>
      </c>
      <c r="H22" s="9" t="s">
        <v>610</v>
      </c>
      <c r="I22" s="9" t="s">
        <v>626</v>
      </c>
      <c r="J22" s="9" t="s">
        <v>627</v>
      </c>
    </row>
    <row r="23" customFormat="false" ht="45.75" hidden="false" customHeight="true" outlineLevel="0" collapsed="false">
      <c r="A23" s="9" t="s">
        <v>628</v>
      </c>
      <c r="B23" s="9" t="s">
        <v>605</v>
      </c>
      <c r="C23" s="9" t="s">
        <v>629</v>
      </c>
      <c r="D23" s="9" t="s">
        <v>630</v>
      </c>
      <c r="E23" s="9" t="s">
        <v>593</v>
      </c>
      <c r="F23" s="9" t="s">
        <v>406</v>
      </c>
      <c r="G23" s="9" t="s">
        <v>631</v>
      </c>
      <c r="H23" s="9" t="s">
        <v>610</v>
      </c>
      <c r="I23" s="9" t="s">
        <v>130</v>
      </c>
      <c r="J23" s="9" t="s">
        <v>632</v>
      </c>
    </row>
    <row r="24" customFormat="false" ht="45.75" hidden="false" customHeight="true" outlineLevel="0" collapsed="false">
      <c r="A24" s="9" t="s">
        <v>633</v>
      </c>
      <c r="B24" s="9" t="s">
        <v>605</v>
      </c>
      <c r="C24" s="9" t="s">
        <v>634</v>
      </c>
      <c r="D24" s="9" t="s">
        <v>635</v>
      </c>
      <c r="E24" s="9" t="s">
        <v>593</v>
      </c>
      <c r="F24" s="9" t="s">
        <v>406</v>
      </c>
      <c r="G24" s="9" t="s">
        <v>636</v>
      </c>
      <c r="H24" s="9" t="s">
        <v>610</v>
      </c>
      <c r="I24" s="9" t="s">
        <v>130</v>
      </c>
      <c r="J24" s="9" t="s">
        <v>637</v>
      </c>
    </row>
    <row r="25" customFormat="false" ht="45.75" hidden="false" customHeight="true" outlineLevel="0" collapsed="false">
      <c r="A25" s="9" t="s">
        <v>638</v>
      </c>
      <c r="B25" s="9" t="s">
        <v>605</v>
      </c>
      <c r="C25" s="9" t="s">
        <v>639</v>
      </c>
      <c r="D25" s="9" t="s">
        <v>640</v>
      </c>
      <c r="E25" s="9" t="s">
        <v>641</v>
      </c>
      <c r="F25" s="9" t="s">
        <v>642</v>
      </c>
      <c r="G25" s="9" t="s">
        <v>643</v>
      </c>
      <c r="H25" s="9" t="s">
        <v>644</v>
      </c>
      <c r="I25" s="9" t="s">
        <v>626</v>
      </c>
      <c r="J25" s="9" t="s">
        <v>645</v>
      </c>
    </row>
    <row r="26" customFormat="false" ht="45.75" hidden="false" customHeight="true" outlineLevel="0" collapsed="false">
      <c r="A26" s="9" t="s">
        <v>646</v>
      </c>
      <c r="B26" s="9" t="s">
        <v>605</v>
      </c>
      <c r="C26" s="9" t="s">
        <v>647</v>
      </c>
      <c r="D26" s="9" t="s">
        <v>648</v>
      </c>
      <c r="E26" s="9" t="s">
        <v>649</v>
      </c>
      <c r="F26" s="9" t="s">
        <v>406</v>
      </c>
      <c r="G26" s="9" t="s">
        <v>650</v>
      </c>
      <c r="H26" s="9" t="s">
        <v>610</v>
      </c>
      <c r="I26" s="9" t="s">
        <v>651</v>
      </c>
      <c r="J26" s="9" t="s">
        <v>652</v>
      </c>
    </row>
    <row r="27" customFormat="false" ht="21.75" hidden="false" customHeight="true" outlineLevel="0" collapsed="false">
      <c r="A27" s="36" t="s">
        <v>653</v>
      </c>
      <c r="B27" s="36"/>
      <c r="C27" s="36"/>
      <c r="D27" s="36"/>
      <c r="E27" s="36"/>
      <c r="F27" s="36"/>
      <c r="G27" s="36"/>
      <c r="H27" s="36"/>
      <c r="I27" s="36"/>
      <c r="J27" s="36"/>
    </row>
    <row r="28" customFormat="false" ht="45.75" hidden="false" customHeight="true" outlineLevel="0" collapsed="false">
      <c r="A28" s="9" t="s">
        <v>654</v>
      </c>
      <c r="B28" s="9" t="s">
        <v>655</v>
      </c>
      <c r="C28" s="9" t="s">
        <v>656</v>
      </c>
      <c r="D28" s="9" t="s">
        <v>657</v>
      </c>
      <c r="E28" s="9" t="s">
        <v>658</v>
      </c>
      <c r="F28" s="9" t="s">
        <v>659</v>
      </c>
      <c r="G28" s="9" t="s">
        <v>660</v>
      </c>
      <c r="H28" s="9" t="s">
        <v>661</v>
      </c>
      <c r="I28" s="9" t="s">
        <v>139</v>
      </c>
      <c r="J28" s="9" t="s">
        <v>662</v>
      </c>
    </row>
    <row r="29" customFormat="false" ht="45.75" hidden="false" customHeight="true" outlineLevel="0" collapsed="false">
      <c r="A29" s="9" t="s">
        <v>394</v>
      </c>
      <c r="B29" s="9" t="s">
        <v>655</v>
      </c>
      <c r="C29" s="9" t="s">
        <v>663</v>
      </c>
      <c r="D29" s="9" t="s">
        <v>664</v>
      </c>
      <c r="E29" s="9" t="s">
        <v>665</v>
      </c>
      <c r="F29" s="9" t="s">
        <v>659</v>
      </c>
      <c r="G29" s="9" t="s">
        <v>660</v>
      </c>
      <c r="H29" s="9" t="s">
        <v>610</v>
      </c>
      <c r="I29" s="9" t="s">
        <v>139</v>
      </c>
      <c r="J29" s="9" t="s">
        <v>666</v>
      </c>
    </row>
    <row r="30" customFormat="false" ht="45.75" hidden="false" customHeight="true" outlineLevel="0" collapsed="false">
      <c r="A30" s="9" t="s">
        <v>667</v>
      </c>
      <c r="B30" s="9" t="s">
        <v>655</v>
      </c>
      <c r="C30" s="9" t="s">
        <v>668</v>
      </c>
      <c r="D30" s="9" t="s">
        <v>669</v>
      </c>
      <c r="E30" s="9" t="s">
        <v>593</v>
      </c>
      <c r="F30" s="9" t="s">
        <v>670</v>
      </c>
      <c r="G30" s="9" t="s">
        <v>671</v>
      </c>
      <c r="H30" s="9" t="s">
        <v>610</v>
      </c>
      <c r="I30" s="9" t="s">
        <v>672</v>
      </c>
      <c r="J30" s="9" t="s">
        <v>673</v>
      </c>
    </row>
    <row r="31" customFormat="false" ht="45.75" hidden="false" customHeight="true" outlineLevel="0" collapsed="false">
      <c r="A31" s="9" t="s">
        <v>674</v>
      </c>
      <c r="B31" s="9" t="s">
        <v>655</v>
      </c>
      <c r="C31" s="9" t="s">
        <v>675</v>
      </c>
      <c r="D31" s="9" t="s">
        <v>676</v>
      </c>
      <c r="E31" s="9" t="s">
        <v>665</v>
      </c>
      <c r="F31" s="9" t="s">
        <v>659</v>
      </c>
      <c r="G31" s="9" t="s">
        <v>677</v>
      </c>
      <c r="H31" s="9" t="s">
        <v>610</v>
      </c>
      <c r="I31" s="9" t="s">
        <v>139</v>
      </c>
      <c r="J31" s="9" t="s">
        <v>673</v>
      </c>
    </row>
    <row r="32" customFormat="false" ht="45.75" hidden="false" customHeight="true" outlineLevel="0" collapsed="false">
      <c r="A32" s="9" t="s">
        <v>678</v>
      </c>
      <c r="B32" s="9" t="s">
        <v>655</v>
      </c>
      <c r="C32" s="9" t="s">
        <v>679</v>
      </c>
      <c r="D32" s="9" t="s">
        <v>680</v>
      </c>
      <c r="E32" s="9" t="s">
        <v>681</v>
      </c>
      <c r="F32" s="9" t="s">
        <v>682</v>
      </c>
      <c r="G32" s="9" t="s">
        <v>683</v>
      </c>
      <c r="H32" s="9" t="s">
        <v>610</v>
      </c>
      <c r="I32" s="9" t="s">
        <v>139</v>
      </c>
      <c r="J32" s="9" t="s">
        <v>673</v>
      </c>
    </row>
    <row r="33" customFormat="false" ht="45.75" hidden="false" customHeight="true" outlineLevel="0" collapsed="false">
      <c r="A33" s="9" t="s">
        <v>684</v>
      </c>
      <c r="B33" s="9" t="s">
        <v>655</v>
      </c>
      <c r="C33" s="9" t="s">
        <v>685</v>
      </c>
      <c r="D33" s="9" t="s">
        <v>686</v>
      </c>
      <c r="E33" s="9" t="s">
        <v>687</v>
      </c>
      <c r="F33" s="9" t="s">
        <v>688</v>
      </c>
      <c r="G33" s="9" t="s">
        <v>689</v>
      </c>
      <c r="H33" s="9" t="s">
        <v>610</v>
      </c>
      <c r="I33" s="9" t="s">
        <v>139</v>
      </c>
      <c r="J33" s="9" t="s">
        <v>690</v>
      </c>
    </row>
    <row r="34" customFormat="false" ht="21.75" hidden="false" customHeight="true" outlineLevel="0" collapsed="false">
      <c r="A34" s="36" t="s">
        <v>691</v>
      </c>
      <c r="B34" s="36"/>
      <c r="C34" s="36"/>
      <c r="D34" s="36"/>
      <c r="E34" s="36"/>
      <c r="F34" s="36"/>
      <c r="G34" s="36"/>
      <c r="H34" s="36"/>
      <c r="I34" s="36"/>
      <c r="J34" s="36"/>
    </row>
    <row r="35" customFormat="false" ht="45.75" hidden="false" customHeight="true" outlineLevel="0" collapsed="false">
      <c r="A35" s="9" t="s">
        <v>407</v>
      </c>
      <c r="B35" s="9" t="s">
        <v>692</v>
      </c>
      <c r="C35" s="9" t="s">
        <v>693</v>
      </c>
      <c r="D35" s="9" t="s">
        <v>694</v>
      </c>
      <c r="E35" s="9" t="s">
        <v>695</v>
      </c>
      <c r="F35" s="9" t="s">
        <v>406</v>
      </c>
      <c r="G35" s="9" t="s">
        <v>696</v>
      </c>
      <c r="H35" s="9" t="s">
        <v>697</v>
      </c>
      <c r="I35" s="9" t="s">
        <v>134</v>
      </c>
      <c r="J35" s="9" t="s">
        <v>698</v>
      </c>
    </row>
    <row r="36" customFormat="false" ht="45.75" hidden="false" customHeight="true" outlineLevel="0" collapsed="false">
      <c r="A36" s="9" t="s">
        <v>699</v>
      </c>
      <c r="B36" s="9" t="s">
        <v>692</v>
      </c>
      <c r="C36" s="9" t="s">
        <v>700</v>
      </c>
      <c r="D36" s="9" t="s">
        <v>701</v>
      </c>
      <c r="E36" s="9" t="s">
        <v>702</v>
      </c>
      <c r="F36" s="9" t="s">
        <v>642</v>
      </c>
      <c r="G36" s="9" t="s">
        <v>703</v>
      </c>
      <c r="H36" s="9" t="s">
        <v>704</v>
      </c>
      <c r="I36" s="9" t="s">
        <v>134</v>
      </c>
      <c r="J36" s="9" t="s">
        <v>705</v>
      </c>
    </row>
    <row r="37" customFormat="false" ht="45.75" hidden="false" customHeight="true" outlineLevel="0" collapsed="false">
      <c r="A37" s="9" t="s">
        <v>706</v>
      </c>
      <c r="B37" s="9" t="s">
        <v>692</v>
      </c>
      <c r="C37" s="9" t="s">
        <v>707</v>
      </c>
      <c r="D37" s="9" t="s">
        <v>708</v>
      </c>
      <c r="E37" s="9" t="s">
        <v>709</v>
      </c>
      <c r="F37" s="9" t="s">
        <v>642</v>
      </c>
      <c r="G37" s="9" t="s">
        <v>710</v>
      </c>
      <c r="H37" s="9" t="s">
        <v>711</v>
      </c>
      <c r="I37" s="9" t="s">
        <v>134</v>
      </c>
      <c r="J37" s="9" t="s">
        <v>652</v>
      </c>
    </row>
    <row r="38" customFormat="false" ht="45.75" hidden="false" customHeight="true" outlineLevel="0" collapsed="false">
      <c r="A38" s="9" t="s">
        <v>712</v>
      </c>
      <c r="B38" s="9" t="s">
        <v>692</v>
      </c>
      <c r="C38" s="9" t="s">
        <v>713</v>
      </c>
      <c r="D38" s="9" t="s">
        <v>714</v>
      </c>
      <c r="E38" s="9" t="s">
        <v>715</v>
      </c>
      <c r="F38" s="9" t="s">
        <v>642</v>
      </c>
      <c r="G38" s="9" t="s">
        <v>716</v>
      </c>
      <c r="H38" s="9" t="s">
        <v>717</v>
      </c>
      <c r="I38" s="9" t="s">
        <v>134</v>
      </c>
      <c r="J38" s="9" t="s">
        <v>718</v>
      </c>
    </row>
    <row r="39" customFormat="false" ht="45.75" hidden="false" customHeight="true" outlineLevel="0" collapsed="false">
      <c r="A39" s="9" t="s">
        <v>719</v>
      </c>
      <c r="B39" s="9" t="s">
        <v>692</v>
      </c>
      <c r="C39" s="9" t="s">
        <v>720</v>
      </c>
      <c r="D39" s="9" t="s">
        <v>721</v>
      </c>
      <c r="E39" s="9" t="s">
        <v>593</v>
      </c>
      <c r="F39" s="9" t="s">
        <v>406</v>
      </c>
      <c r="G39" s="9" t="s">
        <v>722</v>
      </c>
      <c r="H39" s="9" t="s">
        <v>610</v>
      </c>
      <c r="I39" s="9" t="s">
        <v>134</v>
      </c>
      <c r="J39" s="9" t="s">
        <v>723</v>
      </c>
    </row>
    <row r="40" customFormat="false" ht="45.75" hidden="false" customHeight="true" outlineLevel="0" collapsed="false">
      <c r="A40" s="9" t="s">
        <v>724</v>
      </c>
      <c r="B40" s="9" t="s">
        <v>692</v>
      </c>
      <c r="C40" s="9" t="s">
        <v>725</v>
      </c>
      <c r="D40" s="9" t="s">
        <v>726</v>
      </c>
      <c r="E40" s="9" t="s">
        <v>687</v>
      </c>
      <c r="F40" s="9" t="s">
        <v>688</v>
      </c>
      <c r="G40" s="9" t="s">
        <v>689</v>
      </c>
      <c r="H40" s="9" t="s">
        <v>610</v>
      </c>
      <c r="I40" s="9" t="s">
        <v>134</v>
      </c>
      <c r="J40" s="9" t="s">
        <v>690</v>
      </c>
    </row>
    <row r="41" customFormat="false" ht="21.75" hidden="false" customHeight="true" outlineLevel="0" collapsed="false">
      <c r="A41" s="36" t="s">
        <v>727</v>
      </c>
      <c r="B41" s="36"/>
      <c r="C41" s="36"/>
      <c r="D41" s="36"/>
      <c r="E41" s="36"/>
      <c r="F41" s="36"/>
      <c r="G41" s="36"/>
      <c r="H41" s="36"/>
      <c r="I41" s="36"/>
      <c r="J41" s="36"/>
    </row>
    <row r="42" customFormat="false" ht="45.75" hidden="false" customHeight="true" outlineLevel="0" collapsed="false">
      <c r="A42" s="9" t="s">
        <v>728</v>
      </c>
      <c r="B42" s="9" t="s">
        <v>729</v>
      </c>
      <c r="C42" s="9" t="s">
        <v>730</v>
      </c>
      <c r="D42" s="9" t="s">
        <v>731</v>
      </c>
      <c r="E42" s="9" t="s">
        <v>732</v>
      </c>
      <c r="F42" s="9" t="s">
        <v>659</v>
      </c>
      <c r="G42" s="9" t="s">
        <v>733</v>
      </c>
      <c r="H42" s="9" t="s">
        <v>610</v>
      </c>
      <c r="I42" s="9" t="s">
        <v>130</v>
      </c>
      <c r="J42" s="9" t="s">
        <v>666</v>
      </c>
    </row>
    <row r="43" customFormat="false" ht="45.75" hidden="false" customHeight="true" outlineLevel="0" collapsed="false">
      <c r="A43" s="9" t="s">
        <v>734</v>
      </c>
      <c r="B43" s="9" t="s">
        <v>729</v>
      </c>
      <c r="C43" s="9" t="s">
        <v>412</v>
      </c>
      <c r="D43" s="9" t="s">
        <v>735</v>
      </c>
      <c r="E43" s="9" t="s">
        <v>593</v>
      </c>
      <c r="F43" s="9" t="s">
        <v>413</v>
      </c>
      <c r="G43" s="9" t="s">
        <v>736</v>
      </c>
      <c r="H43" s="9" t="s">
        <v>610</v>
      </c>
      <c r="I43" s="9" t="s">
        <v>626</v>
      </c>
      <c r="J43" s="9" t="s">
        <v>737</v>
      </c>
    </row>
    <row r="44" customFormat="false" ht="45.75" hidden="false" customHeight="true" outlineLevel="0" collapsed="false">
      <c r="A44" s="9" t="s">
        <v>738</v>
      </c>
      <c r="B44" s="9" t="s">
        <v>729</v>
      </c>
      <c r="C44" s="9" t="s">
        <v>739</v>
      </c>
      <c r="D44" s="9" t="s">
        <v>740</v>
      </c>
      <c r="E44" s="9" t="s">
        <v>593</v>
      </c>
      <c r="F44" s="9" t="s">
        <v>608</v>
      </c>
      <c r="G44" s="9" t="s">
        <v>741</v>
      </c>
      <c r="H44" s="9" t="s">
        <v>610</v>
      </c>
      <c r="I44" s="9" t="s">
        <v>130</v>
      </c>
      <c r="J44" s="9" t="s">
        <v>666</v>
      </c>
    </row>
    <row r="45" customFormat="false" ht="45.75" hidden="false" customHeight="true" outlineLevel="0" collapsed="false">
      <c r="A45" s="9" t="s">
        <v>742</v>
      </c>
      <c r="B45" s="9" t="s">
        <v>729</v>
      </c>
      <c r="C45" s="9" t="s">
        <v>743</v>
      </c>
      <c r="D45" s="9" t="s">
        <v>744</v>
      </c>
      <c r="E45" s="9" t="s">
        <v>593</v>
      </c>
      <c r="F45" s="9" t="s">
        <v>406</v>
      </c>
      <c r="G45" s="9" t="s">
        <v>745</v>
      </c>
      <c r="H45" s="9" t="s">
        <v>610</v>
      </c>
      <c r="I45" s="9" t="s">
        <v>130</v>
      </c>
      <c r="J45" s="9" t="s">
        <v>746</v>
      </c>
    </row>
    <row r="46" customFormat="false" ht="21.75" hidden="false" customHeight="true" outlineLevel="0" collapsed="false">
      <c r="A46" s="36" t="s">
        <v>747</v>
      </c>
      <c r="B46" s="36"/>
      <c r="C46" s="36"/>
      <c r="D46" s="36"/>
      <c r="E46" s="36"/>
      <c r="F46" s="36"/>
      <c r="G46" s="36"/>
      <c r="H46" s="36"/>
      <c r="I46" s="36"/>
      <c r="J46" s="36"/>
    </row>
    <row r="47" customFormat="false" ht="45.75" hidden="false" customHeight="true" outlineLevel="0" collapsed="false">
      <c r="A47" s="9" t="s">
        <v>91</v>
      </c>
      <c r="B47" s="9" t="s">
        <v>748</v>
      </c>
      <c r="C47" s="9" t="s">
        <v>91</v>
      </c>
      <c r="D47" s="9" t="s">
        <v>749</v>
      </c>
      <c r="E47" s="9" t="s">
        <v>750</v>
      </c>
      <c r="F47" s="9" t="s">
        <v>91</v>
      </c>
      <c r="G47" s="9" t="s">
        <v>751</v>
      </c>
      <c r="H47" s="9" t="s">
        <v>752</v>
      </c>
      <c r="I47" s="9" t="s">
        <v>139</v>
      </c>
      <c r="J47" s="9" t="s">
        <v>753</v>
      </c>
    </row>
    <row r="48" customFormat="false" ht="45.75" hidden="false" customHeight="true" outlineLevel="0" collapsed="false">
      <c r="A48" s="9" t="s">
        <v>754</v>
      </c>
      <c r="B48" s="9" t="s">
        <v>748</v>
      </c>
      <c r="C48" s="9" t="s">
        <v>755</v>
      </c>
      <c r="D48" s="9" t="s">
        <v>756</v>
      </c>
      <c r="E48" s="9" t="s">
        <v>665</v>
      </c>
      <c r="F48" s="9" t="s">
        <v>659</v>
      </c>
      <c r="G48" s="9" t="s">
        <v>757</v>
      </c>
      <c r="H48" s="9" t="s">
        <v>610</v>
      </c>
      <c r="I48" s="9" t="s">
        <v>139</v>
      </c>
      <c r="J48" s="9" t="s">
        <v>666</v>
      </c>
    </row>
    <row r="49" customFormat="false" ht="45.75" hidden="false" customHeight="true" outlineLevel="0" collapsed="false">
      <c r="A49" s="9" t="s">
        <v>758</v>
      </c>
      <c r="B49" s="9" t="s">
        <v>748</v>
      </c>
      <c r="C49" s="9" t="s">
        <v>759</v>
      </c>
      <c r="D49" s="9" t="s">
        <v>760</v>
      </c>
      <c r="E49" s="9" t="s">
        <v>593</v>
      </c>
      <c r="F49" s="9" t="s">
        <v>761</v>
      </c>
      <c r="G49" s="9" t="s">
        <v>762</v>
      </c>
      <c r="H49" s="9" t="s">
        <v>610</v>
      </c>
      <c r="I49" s="9" t="s">
        <v>139</v>
      </c>
      <c r="J49" s="9" t="s">
        <v>763</v>
      </c>
    </row>
    <row r="50" customFormat="false" ht="45.75" hidden="false" customHeight="true" outlineLevel="0" collapsed="false">
      <c r="A50" s="9" t="s">
        <v>764</v>
      </c>
      <c r="B50" s="9" t="s">
        <v>748</v>
      </c>
      <c r="C50" s="9" t="s">
        <v>765</v>
      </c>
      <c r="D50" s="9" t="s">
        <v>766</v>
      </c>
      <c r="E50" s="9" t="s">
        <v>593</v>
      </c>
      <c r="F50" s="9" t="s">
        <v>767</v>
      </c>
      <c r="G50" s="9" t="s">
        <v>768</v>
      </c>
      <c r="H50" s="9" t="s">
        <v>610</v>
      </c>
      <c r="I50" s="9" t="s">
        <v>139</v>
      </c>
      <c r="J50" s="9" t="s">
        <v>769</v>
      </c>
    </row>
    <row r="51" customFormat="false" ht="45.75" hidden="false" customHeight="true" outlineLevel="0" collapsed="false">
      <c r="A51" s="9" t="s">
        <v>770</v>
      </c>
      <c r="B51" s="9" t="s">
        <v>748</v>
      </c>
      <c r="C51" s="9" t="s">
        <v>771</v>
      </c>
      <c r="D51" s="9" t="s">
        <v>772</v>
      </c>
      <c r="E51" s="9" t="s">
        <v>593</v>
      </c>
      <c r="F51" s="9" t="s">
        <v>406</v>
      </c>
      <c r="G51" s="9" t="s">
        <v>773</v>
      </c>
      <c r="H51" s="9" t="s">
        <v>610</v>
      </c>
      <c r="I51" s="9" t="s">
        <v>139</v>
      </c>
      <c r="J51" s="9" t="s">
        <v>774</v>
      </c>
    </row>
    <row r="52" customFormat="false" ht="45.75" hidden="false" customHeight="true" outlineLevel="0" collapsed="false">
      <c r="A52" s="9" t="s">
        <v>775</v>
      </c>
      <c r="B52" s="9" t="s">
        <v>748</v>
      </c>
      <c r="C52" s="9" t="s">
        <v>776</v>
      </c>
      <c r="D52" s="9" t="s">
        <v>777</v>
      </c>
      <c r="E52" s="9" t="s">
        <v>687</v>
      </c>
      <c r="F52" s="9" t="s">
        <v>688</v>
      </c>
      <c r="G52" s="9" t="s">
        <v>689</v>
      </c>
      <c r="H52" s="9" t="s">
        <v>610</v>
      </c>
      <c r="I52" s="9" t="s">
        <v>139</v>
      </c>
      <c r="J52" s="9" t="s">
        <v>690</v>
      </c>
    </row>
    <row r="53" customFormat="false" ht="21.75" hidden="false" customHeight="true" outlineLevel="0" collapsed="false">
      <c r="A53" s="36" t="s">
        <v>778</v>
      </c>
      <c r="B53" s="36"/>
      <c r="C53" s="36"/>
      <c r="D53" s="36"/>
      <c r="E53" s="36"/>
      <c r="F53" s="36"/>
      <c r="G53" s="36"/>
      <c r="H53" s="36"/>
      <c r="I53" s="36"/>
      <c r="J53" s="36"/>
    </row>
    <row r="54" customFormat="false" ht="45.75" hidden="false" customHeight="true" outlineLevel="0" collapsed="false">
      <c r="A54" s="9" t="s">
        <v>779</v>
      </c>
      <c r="B54" s="9" t="s">
        <v>780</v>
      </c>
      <c r="C54" s="9" t="s">
        <v>781</v>
      </c>
      <c r="D54" s="9" t="s">
        <v>782</v>
      </c>
      <c r="E54" s="9" t="s">
        <v>593</v>
      </c>
      <c r="F54" s="9" t="s">
        <v>406</v>
      </c>
      <c r="G54" s="9" t="s">
        <v>783</v>
      </c>
      <c r="H54" s="9" t="s">
        <v>610</v>
      </c>
      <c r="I54" s="9" t="s">
        <v>784</v>
      </c>
      <c r="J54" s="9" t="s">
        <v>666</v>
      </c>
    </row>
    <row r="55" customFormat="false" ht="45.75" hidden="false" customHeight="true" outlineLevel="0" collapsed="false">
      <c r="A55" s="9" t="s">
        <v>785</v>
      </c>
      <c r="B55" s="9" t="s">
        <v>780</v>
      </c>
      <c r="C55" s="9" t="s">
        <v>786</v>
      </c>
      <c r="D55" s="9" t="s">
        <v>787</v>
      </c>
      <c r="E55" s="9" t="s">
        <v>788</v>
      </c>
      <c r="F55" s="9" t="s">
        <v>594</v>
      </c>
      <c r="G55" s="9" t="s">
        <v>789</v>
      </c>
      <c r="H55" s="9" t="s">
        <v>790</v>
      </c>
      <c r="I55" s="9" t="s">
        <v>784</v>
      </c>
      <c r="J55" s="9" t="s">
        <v>791</v>
      </c>
    </row>
    <row r="56" customFormat="false" ht="45.75" hidden="false" customHeight="true" outlineLevel="0" collapsed="false">
      <c r="A56" s="9" t="s">
        <v>792</v>
      </c>
      <c r="B56" s="9" t="s">
        <v>780</v>
      </c>
      <c r="C56" s="9" t="s">
        <v>793</v>
      </c>
      <c r="D56" s="9" t="s">
        <v>794</v>
      </c>
      <c r="E56" s="9" t="s">
        <v>593</v>
      </c>
      <c r="F56" s="9" t="s">
        <v>608</v>
      </c>
      <c r="G56" s="9" t="s">
        <v>795</v>
      </c>
      <c r="H56" s="9" t="s">
        <v>610</v>
      </c>
      <c r="I56" s="9" t="s">
        <v>125</v>
      </c>
      <c r="J56" s="9" t="s">
        <v>796</v>
      </c>
    </row>
    <row r="57" customFormat="false" ht="45.75" hidden="false" customHeight="true" outlineLevel="0" collapsed="false">
      <c r="A57" s="9" t="s">
        <v>797</v>
      </c>
      <c r="B57" s="9" t="s">
        <v>780</v>
      </c>
      <c r="C57" s="9" t="s">
        <v>798</v>
      </c>
      <c r="D57" s="9" t="s">
        <v>799</v>
      </c>
      <c r="E57" s="9" t="s">
        <v>649</v>
      </c>
      <c r="F57" s="9" t="s">
        <v>406</v>
      </c>
      <c r="G57" s="9" t="s">
        <v>800</v>
      </c>
      <c r="H57" s="9" t="s">
        <v>610</v>
      </c>
      <c r="I57" s="9" t="s">
        <v>125</v>
      </c>
      <c r="J57" s="9" t="s">
        <v>801</v>
      </c>
    </row>
    <row r="58" customFormat="false" ht="45.75" hidden="false" customHeight="true" outlineLevel="0" collapsed="false">
      <c r="A58" s="9" t="s">
        <v>802</v>
      </c>
      <c r="B58" s="9" t="s">
        <v>780</v>
      </c>
      <c r="C58" s="9" t="s">
        <v>803</v>
      </c>
      <c r="D58" s="9" t="s">
        <v>804</v>
      </c>
      <c r="E58" s="9" t="s">
        <v>593</v>
      </c>
      <c r="F58" s="9" t="s">
        <v>406</v>
      </c>
      <c r="G58" s="9" t="s">
        <v>805</v>
      </c>
      <c r="H58" s="9" t="s">
        <v>610</v>
      </c>
      <c r="I58" s="9" t="s">
        <v>125</v>
      </c>
      <c r="J58" s="9" t="s">
        <v>666</v>
      </c>
    </row>
    <row r="59" customFormat="false" ht="45.75" hidden="false" customHeight="true" outlineLevel="0" collapsed="false">
      <c r="A59" s="9" t="s">
        <v>806</v>
      </c>
      <c r="B59" s="9" t="s">
        <v>780</v>
      </c>
      <c r="C59" s="9" t="s">
        <v>807</v>
      </c>
      <c r="D59" s="9" t="s">
        <v>808</v>
      </c>
      <c r="E59" s="9" t="s">
        <v>593</v>
      </c>
      <c r="F59" s="9" t="s">
        <v>809</v>
      </c>
      <c r="G59" s="9" t="s">
        <v>810</v>
      </c>
      <c r="H59" s="9" t="s">
        <v>811</v>
      </c>
      <c r="I59" s="9" t="s">
        <v>784</v>
      </c>
      <c r="J59" s="9" t="s">
        <v>812</v>
      </c>
    </row>
    <row r="60" customFormat="false" ht="21.75" hidden="false" customHeight="true" outlineLevel="0" collapsed="false">
      <c r="A60" s="36" t="s">
        <v>813</v>
      </c>
      <c r="B60" s="36"/>
      <c r="C60" s="36"/>
      <c r="D60" s="36"/>
      <c r="E60" s="36"/>
      <c r="F60" s="36"/>
      <c r="G60" s="36"/>
      <c r="H60" s="36"/>
      <c r="I60" s="36"/>
      <c r="J60" s="36"/>
    </row>
    <row r="61" customFormat="false" ht="45.75" hidden="false" customHeight="true" outlineLevel="0" collapsed="false">
      <c r="A61" s="9" t="s">
        <v>91</v>
      </c>
      <c r="B61" s="9" t="s">
        <v>148</v>
      </c>
      <c r="C61" s="9" t="s">
        <v>91</v>
      </c>
      <c r="D61" s="9" t="s">
        <v>814</v>
      </c>
      <c r="E61" s="9" t="s">
        <v>815</v>
      </c>
      <c r="F61" s="9" t="s">
        <v>91</v>
      </c>
      <c r="G61" s="9" t="s">
        <v>751</v>
      </c>
      <c r="H61" s="9" t="s">
        <v>91</v>
      </c>
      <c r="I61" s="9" t="s">
        <v>101</v>
      </c>
      <c r="J61" s="9" t="s">
        <v>791</v>
      </c>
    </row>
    <row r="63" customFormat="false" ht="21.75" hidden="false" customHeight="true" outlineLevel="0" collapsed="false">
      <c r="A63" s="6" t="s">
        <v>816</v>
      </c>
      <c r="B63" s="6"/>
      <c r="C63" s="6"/>
      <c r="D63" s="6"/>
      <c r="E63" s="6"/>
      <c r="F63" s="6"/>
      <c r="G63" s="6"/>
      <c r="H63" s="6"/>
      <c r="I63" s="6"/>
      <c r="J63" s="6"/>
    </row>
    <row r="64" customFormat="false" ht="16.5" hidden="false" customHeight="true" outlineLevel="0" collapsed="false">
      <c r="A64" s="5" t="s">
        <v>817</v>
      </c>
      <c r="B64" s="5"/>
      <c r="C64" s="5"/>
      <c r="D64" s="5"/>
      <c r="E64" s="5"/>
      <c r="F64" s="5"/>
      <c r="G64" s="5"/>
      <c r="H64" s="5"/>
      <c r="I64" s="5"/>
      <c r="J64" s="5"/>
    </row>
    <row r="65" customFormat="false" ht="16.5" hidden="false" customHeight="true" outlineLevel="0" collapsed="false">
      <c r="A65" s="5" t="s">
        <v>818</v>
      </c>
      <c r="B65" s="5"/>
      <c r="C65" s="5"/>
      <c r="D65" s="5"/>
      <c r="E65" s="5"/>
      <c r="F65" s="5"/>
      <c r="G65" s="5"/>
      <c r="H65" s="5"/>
      <c r="I65" s="5"/>
      <c r="J65" s="5"/>
    </row>
    <row r="66" customFormat="false" ht="16.5" hidden="false" customHeight="true" outlineLevel="0" collapsed="false">
      <c r="A66" s="5" t="s">
        <v>819</v>
      </c>
      <c r="B66" s="5"/>
      <c r="C66" s="5"/>
      <c r="D66" s="5"/>
      <c r="E66" s="5"/>
      <c r="F66" s="5"/>
      <c r="G66" s="5"/>
      <c r="H66" s="5"/>
      <c r="I66" s="5"/>
      <c r="J66" s="5"/>
    </row>
    <row r="67" customFormat="false" ht="16.5" hidden="false" customHeight="true" outlineLevel="0" collapsed="false">
      <c r="A67" s="5" t="s">
        <v>820</v>
      </c>
      <c r="B67" s="5"/>
      <c r="C67" s="5"/>
      <c r="D67" s="5"/>
      <c r="E67" s="5"/>
      <c r="F67" s="5"/>
      <c r="G67" s="5"/>
      <c r="H67" s="5"/>
      <c r="I67" s="5"/>
      <c r="J67" s="5"/>
    </row>
    <row r="68" customFormat="false" ht="16.5" hidden="false" customHeight="true" outlineLevel="0" collapsed="false">
      <c r="A68" s="5" t="s">
        <v>821</v>
      </c>
      <c r="B68" s="5"/>
      <c r="C68" s="5"/>
      <c r="D68" s="5"/>
      <c r="E68" s="5"/>
      <c r="F68" s="5"/>
      <c r="G68" s="5"/>
      <c r="H68" s="5"/>
      <c r="I68" s="5"/>
      <c r="J68" s="5"/>
    </row>
    <row r="69" customFormat="false" ht="16.5" hidden="false" customHeight="true" outlineLevel="0" collapsed="false">
      <c r="A69" s="5" t="s">
        <v>822</v>
      </c>
      <c r="B69" s="5"/>
      <c r="C69" s="5"/>
      <c r="D69" s="5"/>
      <c r="E69" s="5"/>
      <c r="F69" s="5"/>
      <c r="G69" s="5"/>
      <c r="H69" s="5"/>
      <c r="I69" s="5"/>
      <c r="J69" s="5"/>
    </row>
    <row r="70" customFormat="false" ht="16.5" hidden="false" customHeight="true" outlineLevel="0" collapsed="false">
      <c r="A70" s="5" t="s">
        <v>823</v>
      </c>
      <c r="B70" s="5"/>
      <c r="C70" s="5"/>
      <c r="D70" s="5"/>
      <c r="E70" s="5"/>
      <c r="F70" s="5"/>
      <c r="G70" s="5"/>
      <c r="H70" s="5"/>
      <c r="I70" s="5"/>
      <c r="J70" s="5"/>
    </row>
    <row r="71" customFormat="false" ht="16.5" hidden="false" customHeight="true" outlineLevel="0" collapsed="false">
      <c r="A71" s="5" t="s">
        <v>824</v>
      </c>
      <c r="B71" s="5"/>
      <c r="C71" s="5"/>
      <c r="D71" s="5"/>
      <c r="E71" s="5"/>
      <c r="F71" s="5"/>
      <c r="G71" s="5"/>
      <c r="H71" s="5"/>
      <c r="I71" s="5"/>
      <c r="J71" s="5"/>
    </row>
    <row r="72" customFormat="false" ht="16.5" hidden="false" customHeight="true" outlineLevel="0" collapsed="false">
      <c r="A72" s="5" t="s">
        <v>825</v>
      </c>
      <c r="B72" s="5"/>
      <c r="C72" s="5"/>
      <c r="D72" s="5"/>
      <c r="E72" s="5"/>
      <c r="F72" s="5"/>
      <c r="G72" s="5"/>
      <c r="H72" s="5"/>
      <c r="I72" s="5"/>
      <c r="J72" s="5"/>
    </row>
    <row r="73" customFormat="false" ht="16.5" hidden="false" customHeight="true" outlineLevel="0" collapsed="false">
      <c r="A73" s="5" t="s">
        <v>826</v>
      </c>
      <c r="B73" s="5"/>
      <c r="C73" s="5"/>
      <c r="D73" s="5"/>
      <c r="E73" s="5"/>
      <c r="F73" s="5"/>
      <c r="G73" s="5"/>
      <c r="H73" s="5"/>
      <c r="I73" s="5"/>
      <c r="J73" s="5"/>
    </row>
  </sheetData>
  <mergeCells count="31">
    <mergeCell ref="A1:J1"/>
    <mergeCell ref="A2:J2"/>
    <mergeCell ref="A4:J4"/>
    <mergeCell ref="C6:F6"/>
    <mergeCell ref="H6:J6"/>
    <mergeCell ref="C7:F7"/>
    <mergeCell ref="H7:J7"/>
    <mergeCell ref="C8:F8"/>
    <mergeCell ref="H8:J8"/>
    <mergeCell ref="C9:F9"/>
    <mergeCell ref="H9:J9"/>
    <mergeCell ref="A12:J12"/>
    <mergeCell ref="A14:J14"/>
    <mergeCell ref="A18:J18"/>
    <mergeCell ref="A27:J27"/>
    <mergeCell ref="A34:J34"/>
    <mergeCell ref="A41:J41"/>
    <mergeCell ref="A46:J46"/>
    <mergeCell ref="A53:J53"/>
    <mergeCell ref="A60:J60"/>
    <mergeCell ref="A63:J63"/>
    <mergeCell ref="A64:J64"/>
    <mergeCell ref="A65:J65"/>
    <mergeCell ref="A66:J66"/>
    <mergeCell ref="A67:J67"/>
    <mergeCell ref="A68:J68"/>
    <mergeCell ref="A69:J69"/>
    <mergeCell ref="A70:J70"/>
    <mergeCell ref="A71:J71"/>
    <mergeCell ref="A72:J72"/>
    <mergeCell ref="A73:J73"/>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0"/>
    <col collapsed="false" customWidth="true" hidden="false" outlineLevel="0" max="4" min="4" style="1" width="30"/>
    <col collapsed="false" customWidth="true" hidden="false" outlineLevel="0" max="5" min="5" style="1" width="28"/>
    <col collapsed="false" customWidth="true" hidden="false" outlineLevel="0" max="6" min="6" style="1" width="26"/>
    <col collapsed="false" customWidth="true" hidden="false" outlineLevel="0" max="7" min="7" style="1" width="30"/>
    <col collapsed="false" customWidth="true" hidden="false" outlineLevel="0" max="8" min="8" style="1" width="26"/>
    <col collapsed="false" customWidth="true" hidden="false" outlineLevel="0" max="9" min="9" style="1" width="14"/>
  </cols>
  <sheetData>
    <row r="1" customFormat="false" ht="30" hidden="false" customHeight="true" outlineLevel="0" collapsed="false">
      <c r="A1" s="21" t="s">
        <v>827</v>
      </c>
      <c r="B1" s="21"/>
      <c r="C1" s="21"/>
      <c r="D1" s="21"/>
      <c r="E1" s="21"/>
      <c r="F1" s="21"/>
      <c r="G1" s="21"/>
      <c r="H1" s="21"/>
      <c r="I1" s="21"/>
    </row>
    <row r="2" customFormat="false" ht="36" hidden="false" customHeight="true" outlineLevel="0" collapsed="false">
      <c r="A2" s="15" t="s">
        <v>828</v>
      </c>
      <c r="B2" s="15"/>
      <c r="C2" s="15"/>
      <c r="D2" s="15"/>
      <c r="E2" s="15"/>
      <c r="F2" s="15"/>
      <c r="G2" s="15"/>
      <c r="H2" s="15"/>
      <c r="I2" s="15"/>
    </row>
    <row r="4" customFormat="false" ht="33.75" hidden="false" customHeight="true" outlineLevel="0" collapsed="false">
      <c r="A4" s="8" t="s">
        <v>829</v>
      </c>
      <c r="B4" s="8" t="s">
        <v>371</v>
      </c>
      <c r="C4" s="8" t="s">
        <v>830</v>
      </c>
      <c r="D4" s="8" t="s">
        <v>831</v>
      </c>
      <c r="E4" s="8" t="s">
        <v>832</v>
      </c>
      <c r="F4" s="8" t="s">
        <v>833</v>
      </c>
      <c r="G4" s="8" t="s">
        <v>834</v>
      </c>
      <c r="H4" s="8" t="s">
        <v>835</v>
      </c>
      <c r="I4" s="8" t="s">
        <v>572</v>
      </c>
    </row>
    <row r="5" customFormat="false" ht="45.75" hidden="false" customHeight="true" outlineLevel="0" collapsed="false">
      <c r="A5" s="9" t="s">
        <v>836</v>
      </c>
      <c r="B5" s="9" t="s">
        <v>837</v>
      </c>
      <c r="C5" s="9" t="s">
        <v>838</v>
      </c>
      <c r="D5" s="9" t="s">
        <v>839</v>
      </c>
      <c r="E5" s="9" t="s">
        <v>840</v>
      </c>
      <c r="F5" s="9" t="s">
        <v>841</v>
      </c>
      <c r="G5" s="9" t="s">
        <v>91</v>
      </c>
      <c r="H5" s="9" t="s">
        <v>91</v>
      </c>
      <c r="I5" s="9" t="s">
        <v>842</v>
      </c>
    </row>
    <row r="6" customFormat="false" ht="45.75" hidden="false" customHeight="true" outlineLevel="0" collapsed="false">
      <c r="A6" s="9" t="s">
        <v>604</v>
      </c>
      <c r="B6" s="9" t="s">
        <v>843</v>
      </c>
      <c r="C6" s="9" t="s">
        <v>608</v>
      </c>
      <c r="D6" s="9" t="s">
        <v>844</v>
      </c>
      <c r="E6" s="9" t="s">
        <v>845</v>
      </c>
      <c r="F6" s="9" t="s">
        <v>846</v>
      </c>
      <c r="G6" s="9" t="s">
        <v>847</v>
      </c>
      <c r="H6" s="9" t="s">
        <v>437</v>
      </c>
      <c r="I6" s="9" t="s">
        <v>130</v>
      </c>
    </row>
    <row r="7" customFormat="false" ht="45.75" hidden="false" customHeight="true" outlineLevel="0" collapsed="false">
      <c r="A7" s="9" t="s">
        <v>612</v>
      </c>
      <c r="B7" s="9" t="s">
        <v>848</v>
      </c>
      <c r="C7" s="9" t="s">
        <v>406</v>
      </c>
      <c r="D7" s="9" t="s">
        <v>844</v>
      </c>
      <c r="E7" s="9" t="s">
        <v>849</v>
      </c>
      <c r="F7" s="9" t="s">
        <v>850</v>
      </c>
      <c r="G7" s="9" t="s">
        <v>851</v>
      </c>
      <c r="H7" s="9" t="s">
        <v>437</v>
      </c>
      <c r="I7" s="9" t="s">
        <v>130</v>
      </c>
    </row>
    <row r="8" customFormat="false" ht="45.75" hidden="false" customHeight="true" outlineLevel="0" collapsed="false">
      <c r="A8" s="9" t="s">
        <v>617</v>
      </c>
      <c r="B8" s="9" t="s">
        <v>852</v>
      </c>
      <c r="C8" s="9" t="s">
        <v>406</v>
      </c>
      <c r="D8" s="9" t="s">
        <v>844</v>
      </c>
      <c r="E8" s="9" t="s">
        <v>853</v>
      </c>
      <c r="F8" s="9" t="s">
        <v>854</v>
      </c>
      <c r="G8" s="9" t="s">
        <v>855</v>
      </c>
      <c r="H8" s="9" t="s">
        <v>91</v>
      </c>
      <c r="I8" s="9" t="s">
        <v>130</v>
      </c>
    </row>
    <row r="9" customFormat="false" ht="45.75" hidden="false" customHeight="true" outlineLevel="0" collapsed="false">
      <c r="A9" s="9" t="s">
        <v>386</v>
      </c>
      <c r="B9" s="9" t="s">
        <v>622</v>
      </c>
      <c r="C9" s="9" t="s">
        <v>624</v>
      </c>
      <c r="D9" s="9" t="s">
        <v>856</v>
      </c>
      <c r="E9" s="9" t="s">
        <v>857</v>
      </c>
      <c r="F9" s="9" t="s">
        <v>858</v>
      </c>
      <c r="G9" s="9" t="s">
        <v>859</v>
      </c>
      <c r="H9" s="9" t="s">
        <v>430</v>
      </c>
      <c r="I9" s="9" t="s">
        <v>626</v>
      </c>
    </row>
    <row r="10" customFormat="false" ht="45.75" hidden="false" customHeight="true" outlineLevel="0" collapsed="false">
      <c r="A10" s="9" t="s">
        <v>628</v>
      </c>
      <c r="B10" s="9" t="s">
        <v>629</v>
      </c>
      <c r="C10" s="9" t="s">
        <v>406</v>
      </c>
      <c r="D10" s="9" t="s">
        <v>844</v>
      </c>
      <c r="E10" s="9" t="s">
        <v>853</v>
      </c>
      <c r="F10" s="9" t="s">
        <v>860</v>
      </c>
      <c r="G10" s="9" t="s">
        <v>91</v>
      </c>
      <c r="H10" s="9" t="s">
        <v>91</v>
      </c>
      <c r="I10" s="9" t="s">
        <v>130</v>
      </c>
    </row>
    <row r="11" customFormat="false" ht="45.75" hidden="false" customHeight="true" outlineLevel="0" collapsed="false">
      <c r="A11" s="9" t="s">
        <v>633</v>
      </c>
      <c r="B11" s="9" t="s">
        <v>634</v>
      </c>
      <c r="C11" s="9" t="s">
        <v>406</v>
      </c>
      <c r="D11" s="9" t="s">
        <v>844</v>
      </c>
      <c r="E11" s="9" t="s">
        <v>853</v>
      </c>
      <c r="F11" s="9" t="s">
        <v>854</v>
      </c>
      <c r="G11" s="9" t="s">
        <v>861</v>
      </c>
      <c r="H11" s="9" t="s">
        <v>437</v>
      </c>
      <c r="I11" s="9" t="s">
        <v>130</v>
      </c>
    </row>
    <row r="12" customFormat="false" ht="45.75" hidden="false" customHeight="true" outlineLevel="0" collapsed="false">
      <c r="A12" s="9" t="s">
        <v>638</v>
      </c>
      <c r="B12" s="9" t="s">
        <v>639</v>
      </c>
      <c r="C12" s="9" t="s">
        <v>642</v>
      </c>
      <c r="D12" s="9" t="s">
        <v>862</v>
      </c>
      <c r="E12" s="9" t="s">
        <v>863</v>
      </c>
      <c r="F12" s="9" t="s">
        <v>864</v>
      </c>
      <c r="G12" s="9" t="s">
        <v>865</v>
      </c>
      <c r="H12" s="9" t="s">
        <v>91</v>
      </c>
      <c r="I12" s="9" t="s">
        <v>626</v>
      </c>
    </row>
    <row r="13" customFormat="false" ht="45.75" hidden="false" customHeight="true" outlineLevel="0" collapsed="false">
      <c r="A13" s="9" t="s">
        <v>646</v>
      </c>
      <c r="B13" s="9" t="s">
        <v>866</v>
      </c>
      <c r="C13" s="9" t="s">
        <v>406</v>
      </c>
      <c r="D13" s="9" t="s">
        <v>867</v>
      </c>
      <c r="E13" s="9" t="s">
        <v>853</v>
      </c>
      <c r="F13" s="9" t="s">
        <v>868</v>
      </c>
      <c r="G13" s="9" t="s">
        <v>869</v>
      </c>
      <c r="H13" s="9" t="s">
        <v>91</v>
      </c>
      <c r="I13" s="9" t="s">
        <v>651</v>
      </c>
    </row>
    <row r="14" customFormat="false" ht="45.75" hidden="false" customHeight="true" outlineLevel="0" collapsed="false">
      <c r="A14" s="9" t="s">
        <v>870</v>
      </c>
      <c r="B14" s="9" t="s">
        <v>871</v>
      </c>
      <c r="C14" s="9" t="s">
        <v>872</v>
      </c>
      <c r="D14" s="9" t="s">
        <v>873</v>
      </c>
      <c r="E14" s="9" t="s">
        <v>874</v>
      </c>
      <c r="F14" s="9" t="s">
        <v>875</v>
      </c>
      <c r="G14" s="9" t="s">
        <v>876</v>
      </c>
      <c r="H14" s="9" t="s">
        <v>430</v>
      </c>
      <c r="I14" s="9" t="s">
        <v>139</v>
      </c>
    </row>
    <row r="15" customFormat="false" ht="45.75" hidden="false" customHeight="true" outlineLevel="0" collapsed="false">
      <c r="A15" s="9" t="s">
        <v>394</v>
      </c>
      <c r="B15" s="9" t="s">
        <v>387</v>
      </c>
      <c r="C15" s="9" t="s">
        <v>872</v>
      </c>
      <c r="D15" s="9" t="s">
        <v>877</v>
      </c>
      <c r="E15" s="9" t="s">
        <v>878</v>
      </c>
      <c r="F15" s="9" t="s">
        <v>854</v>
      </c>
      <c r="G15" s="9" t="s">
        <v>859</v>
      </c>
      <c r="H15" s="9" t="s">
        <v>879</v>
      </c>
      <c r="I15" s="9" t="s">
        <v>139</v>
      </c>
    </row>
    <row r="16" customFormat="false" ht="45.75" hidden="false" customHeight="true" outlineLevel="0" collapsed="false">
      <c r="A16" s="9" t="s">
        <v>667</v>
      </c>
      <c r="B16" s="9" t="s">
        <v>668</v>
      </c>
      <c r="C16" s="9" t="s">
        <v>608</v>
      </c>
      <c r="D16" s="9" t="s">
        <v>844</v>
      </c>
      <c r="E16" s="9" t="s">
        <v>880</v>
      </c>
      <c r="F16" s="9" t="s">
        <v>854</v>
      </c>
      <c r="G16" s="9" t="s">
        <v>881</v>
      </c>
      <c r="H16" s="9" t="s">
        <v>91</v>
      </c>
      <c r="I16" s="9" t="s">
        <v>882</v>
      </c>
    </row>
    <row r="17" customFormat="false" ht="45.75" hidden="false" customHeight="true" outlineLevel="0" collapsed="false">
      <c r="A17" s="9" t="s">
        <v>674</v>
      </c>
      <c r="B17" s="9" t="s">
        <v>675</v>
      </c>
      <c r="C17" s="9" t="s">
        <v>872</v>
      </c>
      <c r="D17" s="9" t="s">
        <v>877</v>
      </c>
      <c r="E17" s="9" t="s">
        <v>883</v>
      </c>
      <c r="F17" s="9" t="s">
        <v>854</v>
      </c>
      <c r="G17" s="9" t="s">
        <v>859</v>
      </c>
      <c r="H17" s="9" t="s">
        <v>430</v>
      </c>
      <c r="I17" s="9" t="s">
        <v>139</v>
      </c>
    </row>
    <row r="18" customFormat="false" ht="45.75" hidden="false" customHeight="true" outlineLevel="0" collapsed="false">
      <c r="A18" s="9" t="s">
        <v>678</v>
      </c>
      <c r="B18" s="9" t="s">
        <v>884</v>
      </c>
      <c r="C18" s="9" t="s">
        <v>885</v>
      </c>
      <c r="D18" s="9" t="s">
        <v>886</v>
      </c>
      <c r="E18" s="9" t="s">
        <v>887</v>
      </c>
      <c r="F18" s="9" t="s">
        <v>888</v>
      </c>
      <c r="G18" s="9" t="s">
        <v>876</v>
      </c>
      <c r="H18" s="9" t="s">
        <v>889</v>
      </c>
      <c r="I18" s="9" t="s">
        <v>139</v>
      </c>
    </row>
    <row r="19" customFormat="false" ht="45.75" hidden="false" customHeight="true" outlineLevel="0" collapsed="false">
      <c r="A19" s="9" t="s">
        <v>684</v>
      </c>
      <c r="B19" s="9" t="s">
        <v>890</v>
      </c>
      <c r="C19" s="9" t="s">
        <v>891</v>
      </c>
      <c r="D19" s="9" t="s">
        <v>892</v>
      </c>
      <c r="E19" s="9" t="s">
        <v>893</v>
      </c>
      <c r="F19" s="9" t="s">
        <v>868</v>
      </c>
      <c r="G19" s="9" t="s">
        <v>91</v>
      </c>
      <c r="H19" s="9" t="s">
        <v>91</v>
      </c>
      <c r="I19" s="9" t="s">
        <v>139</v>
      </c>
    </row>
    <row r="20" customFormat="false" ht="45.75" hidden="false" customHeight="true" outlineLevel="0" collapsed="false">
      <c r="A20" s="9" t="s">
        <v>407</v>
      </c>
      <c r="B20" s="9" t="s">
        <v>693</v>
      </c>
      <c r="C20" s="9" t="s">
        <v>406</v>
      </c>
      <c r="D20" s="9" t="s">
        <v>894</v>
      </c>
      <c r="E20" s="9" t="s">
        <v>895</v>
      </c>
      <c r="F20" s="9" t="s">
        <v>896</v>
      </c>
      <c r="G20" s="9" t="s">
        <v>91</v>
      </c>
      <c r="H20" s="9" t="s">
        <v>91</v>
      </c>
      <c r="I20" s="9" t="s">
        <v>134</v>
      </c>
    </row>
    <row r="21" customFormat="false" ht="45.75" hidden="false" customHeight="true" outlineLevel="0" collapsed="false">
      <c r="A21" s="9" t="s">
        <v>897</v>
      </c>
      <c r="B21" s="9" t="s">
        <v>898</v>
      </c>
      <c r="C21" s="9" t="s">
        <v>642</v>
      </c>
      <c r="D21" s="9" t="s">
        <v>862</v>
      </c>
      <c r="E21" s="9" t="s">
        <v>899</v>
      </c>
      <c r="F21" s="9" t="s">
        <v>900</v>
      </c>
      <c r="G21" s="9" t="s">
        <v>91</v>
      </c>
      <c r="H21" s="9" t="s">
        <v>91</v>
      </c>
      <c r="I21" s="9" t="s">
        <v>134</v>
      </c>
    </row>
    <row r="22" customFormat="false" ht="45.75" hidden="false" customHeight="true" outlineLevel="0" collapsed="false">
      <c r="A22" s="9" t="s">
        <v>712</v>
      </c>
      <c r="B22" s="9" t="s">
        <v>713</v>
      </c>
      <c r="C22" s="9" t="s">
        <v>642</v>
      </c>
      <c r="D22" s="9" t="s">
        <v>901</v>
      </c>
      <c r="E22" s="9" t="s">
        <v>902</v>
      </c>
      <c r="F22" s="9" t="s">
        <v>903</v>
      </c>
      <c r="G22" s="9" t="s">
        <v>91</v>
      </c>
      <c r="H22" s="9" t="s">
        <v>91</v>
      </c>
      <c r="I22" s="9" t="s">
        <v>134</v>
      </c>
    </row>
    <row r="23" customFormat="false" ht="45.75" hidden="false" customHeight="true" outlineLevel="0" collapsed="false">
      <c r="A23" s="9" t="s">
        <v>719</v>
      </c>
      <c r="B23" s="9" t="s">
        <v>720</v>
      </c>
      <c r="C23" s="9" t="s">
        <v>406</v>
      </c>
      <c r="D23" s="9" t="s">
        <v>844</v>
      </c>
      <c r="E23" s="9" t="s">
        <v>904</v>
      </c>
      <c r="F23" s="9" t="s">
        <v>868</v>
      </c>
      <c r="G23" s="9" t="s">
        <v>865</v>
      </c>
      <c r="H23" s="9" t="s">
        <v>437</v>
      </c>
      <c r="I23" s="9" t="s">
        <v>134</v>
      </c>
    </row>
    <row r="24" customFormat="false" ht="45.75" hidden="false" customHeight="true" outlineLevel="0" collapsed="false">
      <c r="A24" s="9" t="s">
        <v>724</v>
      </c>
      <c r="B24" s="9" t="s">
        <v>905</v>
      </c>
      <c r="C24" s="9" t="s">
        <v>891</v>
      </c>
      <c r="D24" s="9" t="s">
        <v>892</v>
      </c>
      <c r="E24" s="9" t="s">
        <v>906</v>
      </c>
      <c r="F24" s="9" t="s">
        <v>868</v>
      </c>
      <c r="G24" s="9" t="s">
        <v>881</v>
      </c>
      <c r="H24" s="9" t="s">
        <v>91</v>
      </c>
      <c r="I24" s="9" t="s">
        <v>134</v>
      </c>
    </row>
    <row r="25" customFormat="false" ht="45.75" hidden="false" customHeight="true" outlineLevel="0" collapsed="false">
      <c r="A25" s="9" t="s">
        <v>728</v>
      </c>
      <c r="B25" s="9" t="s">
        <v>907</v>
      </c>
      <c r="C25" s="9" t="s">
        <v>872</v>
      </c>
      <c r="D25" s="9" t="s">
        <v>877</v>
      </c>
      <c r="E25" s="9" t="s">
        <v>908</v>
      </c>
      <c r="F25" s="9" t="s">
        <v>854</v>
      </c>
      <c r="G25" s="9" t="s">
        <v>861</v>
      </c>
      <c r="H25" s="9" t="s">
        <v>437</v>
      </c>
      <c r="I25" s="9" t="s">
        <v>130</v>
      </c>
    </row>
    <row r="26" customFormat="false" ht="45.75" hidden="false" customHeight="true" outlineLevel="0" collapsed="false">
      <c r="A26" s="9" t="s">
        <v>734</v>
      </c>
      <c r="B26" s="9" t="s">
        <v>412</v>
      </c>
      <c r="C26" s="9" t="s">
        <v>608</v>
      </c>
      <c r="D26" s="9" t="s">
        <v>844</v>
      </c>
      <c r="E26" s="9" t="s">
        <v>909</v>
      </c>
      <c r="F26" s="9" t="s">
        <v>910</v>
      </c>
      <c r="G26" s="9" t="s">
        <v>911</v>
      </c>
      <c r="H26" s="9" t="s">
        <v>437</v>
      </c>
      <c r="I26" s="9" t="s">
        <v>626</v>
      </c>
    </row>
    <row r="27" customFormat="false" ht="45.75" hidden="false" customHeight="true" outlineLevel="0" collapsed="false">
      <c r="A27" s="9" t="s">
        <v>738</v>
      </c>
      <c r="B27" s="9" t="s">
        <v>912</v>
      </c>
      <c r="C27" s="9" t="s">
        <v>608</v>
      </c>
      <c r="D27" s="9" t="s">
        <v>913</v>
      </c>
      <c r="E27" s="9" t="s">
        <v>880</v>
      </c>
      <c r="F27" s="9" t="s">
        <v>854</v>
      </c>
      <c r="G27" s="9" t="s">
        <v>914</v>
      </c>
      <c r="H27" s="9" t="s">
        <v>430</v>
      </c>
      <c r="I27" s="9" t="s">
        <v>130</v>
      </c>
    </row>
    <row r="28" customFormat="false" ht="45.75" hidden="false" customHeight="true" outlineLevel="0" collapsed="false">
      <c r="A28" s="9" t="s">
        <v>742</v>
      </c>
      <c r="B28" s="9" t="s">
        <v>915</v>
      </c>
      <c r="C28" s="9" t="s">
        <v>406</v>
      </c>
      <c r="D28" s="9" t="s">
        <v>844</v>
      </c>
      <c r="E28" s="9" t="s">
        <v>853</v>
      </c>
      <c r="F28" s="9" t="s">
        <v>868</v>
      </c>
      <c r="G28" s="9" t="s">
        <v>91</v>
      </c>
      <c r="H28" s="9" t="s">
        <v>91</v>
      </c>
      <c r="I28" s="9" t="s">
        <v>130</v>
      </c>
    </row>
    <row r="29" customFormat="false" ht="45.75" hidden="false" customHeight="true" outlineLevel="0" collapsed="false">
      <c r="A29" s="9" t="s">
        <v>754</v>
      </c>
      <c r="B29" s="9" t="s">
        <v>755</v>
      </c>
      <c r="C29" s="9" t="s">
        <v>872</v>
      </c>
      <c r="D29" s="9" t="s">
        <v>877</v>
      </c>
      <c r="E29" s="9" t="s">
        <v>916</v>
      </c>
      <c r="F29" s="9" t="s">
        <v>854</v>
      </c>
      <c r="G29" s="9" t="s">
        <v>917</v>
      </c>
      <c r="H29" s="9" t="s">
        <v>889</v>
      </c>
      <c r="I29" s="9" t="s">
        <v>139</v>
      </c>
    </row>
    <row r="30" customFormat="false" ht="45.75" hidden="false" customHeight="true" outlineLevel="0" collapsed="false">
      <c r="A30" s="9" t="s">
        <v>758</v>
      </c>
      <c r="B30" s="9" t="s">
        <v>759</v>
      </c>
      <c r="C30" s="9" t="s">
        <v>608</v>
      </c>
      <c r="D30" s="9" t="s">
        <v>844</v>
      </c>
      <c r="E30" s="9" t="s">
        <v>918</v>
      </c>
      <c r="F30" s="9" t="s">
        <v>854</v>
      </c>
      <c r="G30" s="9" t="s">
        <v>919</v>
      </c>
      <c r="H30" s="9" t="s">
        <v>437</v>
      </c>
      <c r="I30" s="9" t="s">
        <v>139</v>
      </c>
    </row>
    <row r="31" customFormat="false" ht="45.75" hidden="false" customHeight="true" outlineLevel="0" collapsed="false">
      <c r="A31" s="9" t="s">
        <v>764</v>
      </c>
      <c r="B31" s="9" t="s">
        <v>920</v>
      </c>
      <c r="C31" s="9" t="s">
        <v>809</v>
      </c>
      <c r="D31" s="9" t="s">
        <v>844</v>
      </c>
      <c r="E31" s="9" t="s">
        <v>921</v>
      </c>
      <c r="F31" s="9" t="s">
        <v>922</v>
      </c>
      <c r="G31" s="9" t="s">
        <v>923</v>
      </c>
      <c r="H31" s="9" t="s">
        <v>91</v>
      </c>
      <c r="I31" s="9" t="s">
        <v>139</v>
      </c>
    </row>
    <row r="32" customFormat="false" ht="45.75" hidden="false" customHeight="true" outlineLevel="0" collapsed="false">
      <c r="A32" s="9" t="s">
        <v>770</v>
      </c>
      <c r="B32" s="9" t="s">
        <v>771</v>
      </c>
      <c r="C32" s="9" t="s">
        <v>406</v>
      </c>
      <c r="D32" s="9" t="s">
        <v>844</v>
      </c>
      <c r="E32" s="9" t="s">
        <v>853</v>
      </c>
      <c r="F32" s="9" t="s">
        <v>868</v>
      </c>
      <c r="G32" s="9" t="s">
        <v>924</v>
      </c>
      <c r="H32" s="9" t="s">
        <v>91</v>
      </c>
      <c r="I32" s="9" t="s">
        <v>139</v>
      </c>
    </row>
    <row r="33" customFormat="false" ht="45.75" hidden="false" customHeight="true" outlineLevel="0" collapsed="false">
      <c r="A33" s="9" t="s">
        <v>775</v>
      </c>
      <c r="B33" s="9" t="s">
        <v>776</v>
      </c>
      <c r="C33" s="9" t="s">
        <v>891</v>
      </c>
      <c r="D33" s="9" t="s">
        <v>892</v>
      </c>
      <c r="E33" s="9" t="s">
        <v>925</v>
      </c>
      <c r="F33" s="9" t="s">
        <v>868</v>
      </c>
      <c r="G33" s="9" t="s">
        <v>91</v>
      </c>
      <c r="H33" s="9" t="s">
        <v>91</v>
      </c>
      <c r="I33" s="9" t="s">
        <v>139</v>
      </c>
    </row>
    <row r="34" customFormat="false" ht="45.75" hidden="false" customHeight="true" outlineLevel="0" collapsed="false">
      <c r="A34" s="9" t="s">
        <v>926</v>
      </c>
      <c r="B34" s="9" t="s">
        <v>927</v>
      </c>
      <c r="C34" s="9" t="s">
        <v>838</v>
      </c>
      <c r="D34" s="9" t="s">
        <v>928</v>
      </c>
      <c r="E34" s="9" t="s">
        <v>929</v>
      </c>
      <c r="F34" s="9" t="s">
        <v>930</v>
      </c>
      <c r="G34" s="9" t="s">
        <v>931</v>
      </c>
      <c r="H34" s="9" t="s">
        <v>932</v>
      </c>
      <c r="I34" s="9" t="s">
        <v>933</v>
      </c>
    </row>
  </sheetData>
  <mergeCells count="2">
    <mergeCell ref="A1:I1"/>
    <mergeCell ref="A2:I2"/>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46"/>
    <col collapsed="false" customWidth="true" hidden="false" outlineLevel="0" max="4" min="4" style="1" width="52"/>
    <col collapsed="false" customWidth="true" hidden="false" outlineLevel="0" max="5" min="5" style="1" width="44"/>
    <col collapsed="false" customWidth="true" hidden="false" outlineLevel="0" max="6" min="6" style="1" width="20"/>
  </cols>
  <sheetData>
    <row r="1" customFormat="false" ht="30" hidden="false" customHeight="true" outlineLevel="0" collapsed="false">
      <c r="A1" s="14" t="s">
        <v>934</v>
      </c>
      <c r="B1" s="14"/>
      <c r="C1" s="14"/>
      <c r="D1" s="14"/>
      <c r="E1" s="14"/>
      <c r="F1" s="14"/>
    </row>
    <row r="2" customFormat="false" ht="30" hidden="false" customHeight="true" outlineLevel="0" collapsed="false">
      <c r="A2" s="15" t="s">
        <v>935</v>
      </c>
      <c r="B2" s="15"/>
      <c r="C2" s="15"/>
      <c r="D2" s="15"/>
      <c r="E2" s="15"/>
      <c r="F2" s="15"/>
    </row>
    <row r="4" customFormat="false" ht="21.75" hidden="false" customHeight="true" outlineLevel="0" collapsed="false">
      <c r="A4" s="6" t="s">
        <v>936</v>
      </c>
      <c r="B4" s="6"/>
      <c r="C4" s="6"/>
      <c r="D4" s="6"/>
      <c r="E4" s="6"/>
      <c r="F4" s="6"/>
    </row>
    <row r="5" customFormat="false" ht="33.75" hidden="false" customHeight="true" outlineLevel="0" collapsed="false">
      <c r="A5" s="8" t="s">
        <v>937</v>
      </c>
      <c r="B5" s="8" t="s">
        <v>22</v>
      </c>
      <c r="C5" s="8" t="s">
        <v>938</v>
      </c>
      <c r="D5" s="8" t="s">
        <v>939</v>
      </c>
      <c r="E5" s="8" t="s">
        <v>940</v>
      </c>
      <c r="F5" s="8" t="s">
        <v>186</v>
      </c>
    </row>
    <row r="6" customFormat="false" ht="75.75" hidden="false" customHeight="true" outlineLevel="0" collapsed="false">
      <c r="A6" s="9" t="s">
        <v>106</v>
      </c>
      <c r="B6" s="9" t="s">
        <v>941</v>
      </c>
      <c r="C6" s="9" t="s">
        <v>942</v>
      </c>
      <c r="D6" s="19" t="s">
        <v>943</v>
      </c>
      <c r="E6" s="9" t="s">
        <v>944</v>
      </c>
      <c r="F6" s="9" t="s">
        <v>109</v>
      </c>
    </row>
    <row r="7" customFormat="false" ht="75.75" hidden="false" customHeight="true" outlineLevel="0" collapsed="false">
      <c r="A7" s="9" t="s">
        <v>111</v>
      </c>
      <c r="B7" s="9" t="s">
        <v>945</v>
      </c>
      <c r="C7" s="9" t="s">
        <v>946</v>
      </c>
      <c r="D7" s="19" t="s">
        <v>947</v>
      </c>
      <c r="E7" s="9" t="s">
        <v>948</v>
      </c>
      <c r="F7" s="9" t="s">
        <v>114</v>
      </c>
    </row>
    <row r="8" customFormat="false" ht="75.75" hidden="false" customHeight="true" outlineLevel="0" collapsed="false">
      <c r="A8" s="9" t="s">
        <v>116</v>
      </c>
      <c r="B8" s="9" t="s">
        <v>949</v>
      </c>
      <c r="C8" s="9" t="s">
        <v>950</v>
      </c>
      <c r="D8" s="19" t="s">
        <v>951</v>
      </c>
      <c r="E8" s="9" t="s">
        <v>952</v>
      </c>
      <c r="F8" s="9" t="s">
        <v>119</v>
      </c>
    </row>
    <row r="9" customFormat="false" ht="75.75" hidden="false" customHeight="true" outlineLevel="0" collapsed="false">
      <c r="A9" s="9" t="s">
        <v>120</v>
      </c>
      <c r="B9" s="9" t="s">
        <v>953</v>
      </c>
      <c r="C9" s="9" t="s">
        <v>954</v>
      </c>
      <c r="D9" s="19" t="s">
        <v>955</v>
      </c>
      <c r="E9" s="9" t="s">
        <v>956</v>
      </c>
      <c r="F9" s="9" t="s">
        <v>123</v>
      </c>
    </row>
    <row r="11" customFormat="false" ht="21.75" hidden="false" customHeight="true" outlineLevel="0" collapsed="false">
      <c r="A11" s="6" t="s">
        <v>957</v>
      </c>
      <c r="B11" s="6"/>
      <c r="C11" s="6"/>
      <c r="D11" s="6"/>
      <c r="E11" s="6"/>
      <c r="F11" s="6"/>
    </row>
    <row r="12" customFormat="false" ht="33.75" hidden="false" customHeight="true" outlineLevel="0" collapsed="false">
      <c r="A12" s="8" t="s">
        <v>958</v>
      </c>
      <c r="B12" s="8" t="s">
        <v>959</v>
      </c>
      <c r="C12" s="8" t="s">
        <v>960</v>
      </c>
      <c r="D12" s="8" t="s">
        <v>961</v>
      </c>
      <c r="E12" s="8" t="s">
        <v>962</v>
      </c>
      <c r="F12" s="8" t="s">
        <v>963</v>
      </c>
    </row>
    <row r="13" customFormat="false" ht="61.5" hidden="false" customHeight="true" outlineLevel="0" collapsed="false">
      <c r="A13" s="9" t="s">
        <v>964</v>
      </c>
      <c r="B13" s="9" t="s">
        <v>965</v>
      </c>
      <c r="C13" s="9" t="s">
        <v>966</v>
      </c>
      <c r="D13" s="19" t="s">
        <v>967</v>
      </c>
      <c r="E13" s="9" t="s">
        <v>968</v>
      </c>
      <c r="F13" s="9" t="s">
        <v>969</v>
      </c>
    </row>
    <row r="14" customFormat="false" ht="61.5" hidden="false" customHeight="true" outlineLevel="0" collapsed="false">
      <c r="A14" s="9" t="s">
        <v>970</v>
      </c>
      <c r="B14" s="9" t="s">
        <v>971</v>
      </c>
      <c r="C14" s="9" t="s">
        <v>972</v>
      </c>
      <c r="D14" s="19" t="s">
        <v>973</v>
      </c>
      <c r="E14" s="9" t="s">
        <v>974</v>
      </c>
      <c r="F14" s="9" t="s">
        <v>975</v>
      </c>
    </row>
    <row r="15" customFormat="false" ht="61.5" hidden="false" customHeight="true" outlineLevel="0" collapsed="false">
      <c r="A15" s="9" t="s">
        <v>976</v>
      </c>
      <c r="B15" s="9" t="s">
        <v>977</v>
      </c>
      <c r="C15" s="9" t="s">
        <v>978</v>
      </c>
      <c r="D15" s="19" t="s">
        <v>979</v>
      </c>
      <c r="E15" s="9" t="s">
        <v>980</v>
      </c>
      <c r="F15" s="9" t="s">
        <v>969</v>
      </c>
    </row>
    <row r="17" customFormat="false" ht="21.75" hidden="false" customHeight="true" outlineLevel="0" collapsed="false">
      <c r="A17" s="6" t="s">
        <v>981</v>
      </c>
      <c r="B17" s="6"/>
      <c r="C17" s="6"/>
      <c r="D17" s="6"/>
      <c r="E17" s="6"/>
      <c r="F17" s="6"/>
    </row>
    <row r="18" customFormat="false" ht="33.75" hidden="false" customHeight="true" outlineLevel="0" collapsed="false">
      <c r="A18" s="8" t="s">
        <v>290</v>
      </c>
      <c r="B18" s="8" t="s">
        <v>982</v>
      </c>
      <c r="C18" s="8" t="s">
        <v>983</v>
      </c>
      <c r="D18" s="8" t="s">
        <v>984</v>
      </c>
      <c r="E18" s="8" t="s">
        <v>985</v>
      </c>
      <c r="F18" s="8" t="s">
        <v>572</v>
      </c>
    </row>
    <row r="19" customFormat="false" ht="48" hidden="false" customHeight="true" outlineLevel="0" collapsed="false">
      <c r="A19" s="19" t="s">
        <v>986</v>
      </c>
      <c r="B19" s="19" t="s">
        <v>987</v>
      </c>
      <c r="C19" s="19" t="s">
        <v>988</v>
      </c>
      <c r="D19" s="19" t="s">
        <v>989</v>
      </c>
      <c r="E19" s="19" t="s">
        <v>990</v>
      </c>
      <c r="F19" s="19" t="s">
        <v>130</v>
      </c>
    </row>
    <row r="20" customFormat="false" ht="30" hidden="false" customHeight="true" outlineLevel="0" collapsed="false">
      <c r="A20" s="20" t="s">
        <v>295</v>
      </c>
      <c r="B20" s="20"/>
      <c r="C20" s="20"/>
      <c r="D20" s="20"/>
      <c r="E20" s="20"/>
      <c r="F20" s="20"/>
    </row>
    <row r="21" customFormat="false" ht="30" hidden="false" customHeight="true" outlineLevel="0" collapsed="false">
      <c r="A21" s="20" t="s">
        <v>299</v>
      </c>
      <c r="B21" s="20"/>
      <c r="C21" s="20"/>
      <c r="D21" s="20"/>
      <c r="E21" s="20"/>
      <c r="F21" s="20"/>
    </row>
    <row r="22" customFormat="false" ht="30" hidden="false" customHeight="true" outlineLevel="0" collapsed="false">
      <c r="A22" s="20" t="s">
        <v>303</v>
      </c>
      <c r="B22" s="20"/>
      <c r="C22" s="20"/>
      <c r="D22" s="20"/>
      <c r="E22" s="20"/>
      <c r="F22" s="20"/>
    </row>
    <row r="23" customFormat="false" ht="30" hidden="false" customHeight="true" outlineLevel="0" collapsed="false">
      <c r="A23" s="20" t="s">
        <v>307</v>
      </c>
      <c r="B23" s="20"/>
      <c r="C23" s="20"/>
      <c r="D23" s="20"/>
      <c r="E23" s="20"/>
      <c r="F23" s="20"/>
    </row>
    <row r="24" customFormat="false" ht="30" hidden="false" customHeight="true" outlineLevel="0" collapsed="false">
      <c r="A24" s="20" t="s">
        <v>311</v>
      </c>
      <c r="B24" s="20"/>
      <c r="C24" s="20"/>
      <c r="D24" s="20"/>
      <c r="E24" s="20"/>
      <c r="F24" s="20"/>
    </row>
    <row r="25" customFormat="false" ht="30" hidden="false" customHeight="true" outlineLevel="0" collapsed="false">
      <c r="A25" s="20" t="s">
        <v>315</v>
      </c>
      <c r="B25" s="20"/>
      <c r="C25" s="20"/>
      <c r="D25" s="20"/>
      <c r="E25" s="20"/>
      <c r="F25" s="20"/>
    </row>
    <row r="26" customFormat="false" ht="30" hidden="false" customHeight="true" outlineLevel="0" collapsed="false">
      <c r="A26" s="20" t="s">
        <v>319</v>
      </c>
      <c r="B26" s="20"/>
      <c r="C26" s="20"/>
      <c r="D26" s="20"/>
      <c r="E26" s="20"/>
      <c r="F26" s="20"/>
    </row>
    <row r="27" customFormat="false" ht="30" hidden="false" customHeight="true" outlineLevel="0" collapsed="false">
      <c r="A27" s="20" t="s">
        <v>323</v>
      </c>
      <c r="B27" s="20"/>
      <c r="C27" s="20"/>
      <c r="D27" s="20"/>
      <c r="E27" s="20"/>
      <c r="F27" s="20"/>
    </row>
    <row r="28" customFormat="false" ht="30" hidden="false" customHeight="true" outlineLevel="0" collapsed="false">
      <c r="A28" s="20" t="s">
        <v>327</v>
      </c>
      <c r="B28" s="20"/>
      <c r="C28" s="20"/>
      <c r="D28" s="20"/>
      <c r="E28" s="20"/>
      <c r="F28" s="20"/>
    </row>
    <row r="29" customFormat="false" ht="30" hidden="false" customHeight="true" outlineLevel="0" collapsed="false">
      <c r="A29" s="20" t="s">
        <v>331</v>
      </c>
      <c r="B29" s="20"/>
      <c r="C29" s="20"/>
      <c r="D29" s="20"/>
      <c r="E29" s="20"/>
      <c r="F29" s="20"/>
    </row>
    <row r="30" customFormat="false" ht="30" hidden="false" customHeight="true" outlineLevel="0" collapsed="false">
      <c r="A30" s="20" t="s">
        <v>335</v>
      </c>
      <c r="B30" s="20"/>
      <c r="C30" s="20"/>
      <c r="D30" s="20"/>
      <c r="E30" s="20"/>
      <c r="F30" s="20"/>
    </row>
    <row r="31" customFormat="false" ht="30" hidden="false" customHeight="true" outlineLevel="0" collapsed="false">
      <c r="A31" s="20" t="s">
        <v>339</v>
      </c>
      <c r="B31" s="20"/>
      <c r="C31" s="20"/>
      <c r="D31" s="20"/>
      <c r="E31" s="20"/>
      <c r="F31" s="20"/>
    </row>
    <row r="33" customFormat="false" ht="21.75" hidden="false" customHeight="true" outlineLevel="0" collapsed="false">
      <c r="A33" s="6" t="s">
        <v>991</v>
      </c>
      <c r="B33" s="6"/>
      <c r="C33" s="6"/>
      <c r="D33" s="6"/>
      <c r="E33" s="6"/>
      <c r="F33" s="6"/>
    </row>
    <row r="34" customFormat="false" ht="16.5" hidden="false" customHeight="true" outlineLevel="0" collapsed="false">
      <c r="A34" s="5" t="s">
        <v>992</v>
      </c>
      <c r="B34" s="5"/>
      <c r="C34" s="5"/>
      <c r="D34" s="5"/>
      <c r="E34" s="5"/>
      <c r="F34" s="5"/>
    </row>
    <row r="35" customFormat="false" ht="16.5" hidden="false" customHeight="true" outlineLevel="0" collapsed="false">
      <c r="A35" s="5" t="s">
        <v>993</v>
      </c>
      <c r="B35" s="5"/>
      <c r="C35" s="5"/>
      <c r="D35" s="5"/>
      <c r="E35" s="5"/>
      <c r="F35" s="5"/>
    </row>
    <row r="36" customFormat="false" ht="16.5" hidden="false" customHeight="true" outlineLevel="0" collapsed="false">
      <c r="A36" s="5" t="s">
        <v>994</v>
      </c>
      <c r="B36" s="5"/>
      <c r="C36" s="5"/>
      <c r="D36" s="5"/>
      <c r="E36" s="5"/>
      <c r="F36" s="5"/>
    </row>
    <row r="37" customFormat="false" ht="16.5" hidden="false" customHeight="true" outlineLevel="0" collapsed="false">
      <c r="A37" s="5" t="s">
        <v>995</v>
      </c>
      <c r="B37" s="5"/>
      <c r="C37" s="5"/>
      <c r="D37" s="5"/>
      <c r="E37" s="5"/>
      <c r="F37" s="5"/>
    </row>
    <row r="38" customFormat="false" ht="16.5" hidden="false" customHeight="true" outlineLevel="0" collapsed="false">
      <c r="A38" s="5" t="s">
        <v>996</v>
      </c>
      <c r="B38" s="5"/>
      <c r="C38" s="5"/>
      <c r="D38" s="5"/>
      <c r="E38" s="5"/>
      <c r="F38" s="5"/>
    </row>
    <row r="39" customFormat="false" ht="16.5" hidden="false" customHeight="true" outlineLevel="0" collapsed="false">
      <c r="A39" s="5" t="s">
        <v>997</v>
      </c>
      <c r="B39" s="5"/>
      <c r="C39" s="5"/>
      <c r="D39" s="5"/>
      <c r="E39" s="5"/>
      <c r="F39" s="5"/>
    </row>
    <row r="40" customFormat="false" ht="16.5" hidden="false" customHeight="true" outlineLevel="0" collapsed="false">
      <c r="A40" s="5" t="s">
        <v>998</v>
      </c>
      <c r="B40" s="5"/>
      <c r="C40" s="5"/>
      <c r="D40" s="5"/>
      <c r="E40" s="5"/>
      <c r="F40" s="5"/>
    </row>
    <row r="41" customFormat="false" ht="16.5" hidden="false" customHeight="true" outlineLevel="0" collapsed="false">
      <c r="A41" s="5" t="s">
        <v>999</v>
      </c>
      <c r="B41" s="5"/>
      <c r="C41" s="5"/>
      <c r="D41" s="5"/>
      <c r="E41" s="5"/>
      <c r="F41" s="5"/>
    </row>
  </sheetData>
  <mergeCells count="14">
    <mergeCell ref="A1:F1"/>
    <mergeCell ref="A2:F2"/>
    <mergeCell ref="A4:F4"/>
    <mergeCell ref="A11:F11"/>
    <mergeCell ref="A17:F17"/>
    <mergeCell ref="A33:F33"/>
    <mergeCell ref="A34:F34"/>
    <mergeCell ref="A35:F35"/>
    <mergeCell ref="A36:F36"/>
    <mergeCell ref="A37:F37"/>
    <mergeCell ref="A38:F38"/>
    <mergeCell ref="A39:F39"/>
    <mergeCell ref="A40:F40"/>
    <mergeCell ref="A41:F41"/>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2"/>
    <col collapsed="false" customWidth="true" hidden="false" outlineLevel="0" max="5" min="4" style="1" width="20"/>
    <col collapsed="false" customWidth="true" hidden="false" outlineLevel="0" max="6" min="6" style="1" width="46"/>
    <col collapsed="false" customWidth="true" hidden="false" outlineLevel="0" max="7" min="7" style="1" width="22"/>
  </cols>
  <sheetData>
    <row r="1" customFormat="false" ht="30" hidden="false" customHeight="true" outlineLevel="0" collapsed="false">
      <c r="A1" s="21" t="s">
        <v>1000</v>
      </c>
      <c r="B1" s="21"/>
      <c r="C1" s="21"/>
      <c r="D1" s="21"/>
      <c r="E1" s="21"/>
      <c r="F1" s="21"/>
      <c r="G1" s="21"/>
    </row>
    <row r="2" customFormat="false" ht="33.75" hidden="false" customHeight="true" outlineLevel="0" collapsed="false">
      <c r="A2" s="15" t="s">
        <v>1001</v>
      </c>
      <c r="B2" s="15"/>
      <c r="C2" s="15"/>
      <c r="D2" s="15"/>
      <c r="E2" s="15"/>
      <c r="F2" s="15"/>
      <c r="G2" s="15"/>
    </row>
    <row r="4" customFormat="false" ht="33.75" hidden="false" customHeight="true" outlineLevel="0" collapsed="false">
      <c r="A4" s="8" t="s">
        <v>290</v>
      </c>
      <c r="B4" s="8" t="s">
        <v>1002</v>
      </c>
      <c r="C4" s="8" t="s">
        <v>1003</v>
      </c>
      <c r="D4" s="8" t="s">
        <v>1004</v>
      </c>
      <c r="E4" s="8" t="s">
        <v>830</v>
      </c>
      <c r="F4" s="8" t="s">
        <v>1005</v>
      </c>
      <c r="G4" s="8" t="s">
        <v>1006</v>
      </c>
    </row>
    <row r="5" customFormat="false" ht="30" hidden="false" customHeight="true" outlineLevel="0" collapsed="false">
      <c r="A5" s="9" t="s">
        <v>295</v>
      </c>
      <c r="B5" s="9" t="s">
        <v>1007</v>
      </c>
      <c r="C5" s="9" t="s">
        <v>1008</v>
      </c>
      <c r="D5" s="9" t="s">
        <v>1009</v>
      </c>
      <c r="E5" s="9" t="s">
        <v>91</v>
      </c>
      <c r="F5" s="9" t="s">
        <v>1010</v>
      </c>
      <c r="G5" s="9" t="s">
        <v>751</v>
      </c>
    </row>
    <row r="6" customFormat="false" ht="30" hidden="false" customHeight="true" outlineLevel="0" collapsed="false">
      <c r="A6" s="9" t="s">
        <v>299</v>
      </c>
      <c r="B6" s="9" t="s">
        <v>1011</v>
      </c>
      <c r="C6" s="9" t="s">
        <v>1012</v>
      </c>
      <c r="D6" s="9" t="s">
        <v>1013</v>
      </c>
      <c r="E6" s="9" t="s">
        <v>91</v>
      </c>
      <c r="F6" s="9" t="s">
        <v>1014</v>
      </c>
      <c r="G6" s="9" t="s">
        <v>751</v>
      </c>
    </row>
    <row r="7" customFormat="false" ht="30" hidden="false" customHeight="true" outlineLevel="0" collapsed="false">
      <c r="A7" s="9" t="s">
        <v>303</v>
      </c>
      <c r="B7" s="9" t="s">
        <v>1015</v>
      </c>
      <c r="C7" s="9" t="s">
        <v>1016</v>
      </c>
      <c r="D7" s="9" t="s">
        <v>1017</v>
      </c>
      <c r="E7" s="9" t="s">
        <v>406</v>
      </c>
      <c r="F7" s="9" t="s">
        <v>1018</v>
      </c>
      <c r="G7" s="9" t="s">
        <v>751</v>
      </c>
    </row>
    <row r="8" customFormat="false" ht="30" hidden="false" customHeight="true" outlineLevel="0" collapsed="false">
      <c r="A8" s="9" t="s">
        <v>307</v>
      </c>
      <c r="B8" s="9" t="s">
        <v>1019</v>
      </c>
      <c r="C8" s="9" t="s">
        <v>1020</v>
      </c>
      <c r="D8" s="9" t="s">
        <v>1009</v>
      </c>
      <c r="E8" s="9" t="s">
        <v>406</v>
      </c>
      <c r="F8" s="9" t="s">
        <v>1021</v>
      </c>
      <c r="G8" s="9" t="s">
        <v>1022</v>
      </c>
    </row>
    <row r="9" customFormat="false" ht="30" hidden="false" customHeight="true" outlineLevel="0" collapsed="false">
      <c r="A9" s="9" t="s">
        <v>311</v>
      </c>
      <c r="B9" s="9" t="s">
        <v>1023</v>
      </c>
      <c r="C9" s="9" t="s">
        <v>1024</v>
      </c>
      <c r="D9" s="9" t="s">
        <v>1009</v>
      </c>
      <c r="E9" s="9" t="s">
        <v>608</v>
      </c>
      <c r="F9" s="9" t="s">
        <v>1025</v>
      </c>
      <c r="G9" s="9" t="s">
        <v>1026</v>
      </c>
    </row>
    <row r="10" customFormat="false" ht="30" hidden="false" customHeight="true" outlineLevel="0" collapsed="false">
      <c r="A10" s="9" t="s">
        <v>315</v>
      </c>
      <c r="B10" s="9" t="s">
        <v>1027</v>
      </c>
      <c r="C10" s="9" t="s">
        <v>1028</v>
      </c>
      <c r="D10" s="9" t="s">
        <v>1009</v>
      </c>
      <c r="E10" s="9" t="s">
        <v>406</v>
      </c>
      <c r="F10" s="9" t="s">
        <v>1021</v>
      </c>
      <c r="G10" s="9" t="s">
        <v>1022</v>
      </c>
    </row>
    <row r="11" customFormat="false" ht="30" hidden="false" customHeight="true" outlineLevel="0" collapsed="false">
      <c r="A11" s="9" t="s">
        <v>319</v>
      </c>
      <c r="B11" s="9" t="s">
        <v>1029</v>
      </c>
      <c r="C11" s="9" t="s">
        <v>1030</v>
      </c>
      <c r="D11" s="9" t="s">
        <v>1009</v>
      </c>
      <c r="E11" s="9" t="s">
        <v>608</v>
      </c>
      <c r="F11" s="9" t="s">
        <v>1031</v>
      </c>
      <c r="G11" s="9" t="s">
        <v>1032</v>
      </c>
    </row>
    <row r="12" customFormat="false" ht="30" hidden="false" customHeight="true" outlineLevel="0" collapsed="false">
      <c r="A12" s="9" t="s">
        <v>323</v>
      </c>
      <c r="B12" s="9" t="s">
        <v>1033</v>
      </c>
      <c r="C12" s="9" t="s">
        <v>1034</v>
      </c>
      <c r="D12" s="9" t="s">
        <v>1009</v>
      </c>
      <c r="E12" s="9" t="s">
        <v>406</v>
      </c>
      <c r="F12" s="9" t="s">
        <v>1035</v>
      </c>
      <c r="G12" s="9" t="s">
        <v>1032</v>
      </c>
    </row>
    <row r="13" customFormat="false" ht="30" hidden="false" customHeight="true" outlineLevel="0" collapsed="false">
      <c r="A13" s="9" t="s">
        <v>327</v>
      </c>
      <c r="B13" s="9" t="s">
        <v>1036</v>
      </c>
      <c r="C13" s="9" t="s">
        <v>1037</v>
      </c>
      <c r="D13" s="9" t="s">
        <v>1009</v>
      </c>
      <c r="E13" s="9" t="s">
        <v>406</v>
      </c>
      <c r="F13" s="9" t="s">
        <v>1038</v>
      </c>
      <c r="G13" s="9" t="s">
        <v>1032</v>
      </c>
    </row>
    <row r="14" customFormat="false" ht="30" hidden="false" customHeight="true" outlineLevel="0" collapsed="false">
      <c r="A14" s="9" t="s">
        <v>331</v>
      </c>
      <c r="B14" s="9" t="s">
        <v>1039</v>
      </c>
      <c r="C14" s="9" t="s">
        <v>1040</v>
      </c>
      <c r="D14" s="9" t="s">
        <v>1009</v>
      </c>
      <c r="E14" s="9" t="s">
        <v>608</v>
      </c>
      <c r="F14" s="9" t="s">
        <v>1041</v>
      </c>
      <c r="G14" s="9" t="s">
        <v>1032</v>
      </c>
    </row>
    <row r="15" customFormat="false" ht="30" hidden="false" customHeight="true" outlineLevel="0" collapsed="false">
      <c r="A15" s="9" t="s">
        <v>335</v>
      </c>
      <c r="B15" s="9" t="s">
        <v>1042</v>
      </c>
      <c r="C15" s="9" t="s">
        <v>1043</v>
      </c>
      <c r="D15" s="9" t="s">
        <v>1009</v>
      </c>
      <c r="E15" s="9" t="s">
        <v>406</v>
      </c>
      <c r="F15" s="9" t="s">
        <v>1038</v>
      </c>
      <c r="G15" s="9" t="s">
        <v>1032</v>
      </c>
    </row>
    <row r="16" customFormat="false" ht="30" hidden="false" customHeight="true" outlineLevel="0" collapsed="false">
      <c r="A16" s="9" t="s">
        <v>339</v>
      </c>
      <c r="B16" s="9" t="s">
        <v>1044</v>
      </c>
      <c r="C16" s="9" t="s">
        <v>1045</v>
      </c>
      <c r="D16" s="9" t="s">
        <v>1009</v>
      </c>
      <c r="E16" s="9" t="s">
        <v>406</v>
      </c>
      <c r="F16" s="9" t="s">
        <v>1046</v>
      </c>
      <c r="G16" s="9" t="s">
        <v>1032</v>
      </c>
    </row>
    <row r="17" customFormat="false" ht="30" hidden="false" customHeight="true" outlineLevel="0" collapsed="false">
      <c r="A17" s="9" t="s">
        <v>1047</v>
      </c>
      <c r="B17" s="9" t="s">
        <v>1048</v>
      </c>
      <c r="C17" s="9" t="s">
        <v>1049</v>
      </c>
      <c r="D17" s="9" t="s">
        <v>1050</v>
      </c>
      <c r="E17" s="9" t="s">
        <v>642</v>
      </c>
      <c r="F17" s="9" t="s">
        <v>1051</v>
      </c>
      <c r="G17" s="9" t="s">
        <v>1052</v>
      </c>
    </row>
    <row r="18" customFormat="false" ht="30" hidden="false" customHeight="true" outlineLevel="0" collapsed="false">
      <c r="A18" s="9" t="s">
        <v>1053</v>
      </c>
      <c r="B18" s="9" t="s">
        <v>1054</v>
      </c>
      <c r="C18" s="9" t="s">
        <v>1055</v>
      </c>
      <c r="D18" s="9" t="s">
        <v>1009</v>
      </c>
      <c r="E18" s="9" t="s">
        <v>406</v>
      </c>
      <c r="F18" s="9" t="s">
        <v>1056</v>
      </c>
      <c r="G18" s="9" t="s">
        <v>1032</v>
      </c>
    </row>
    <row r="19" customFormat="false" ht="30" hidden="false" customHeight="true" outlineLevel="0" collapsed="false">
      <c r="A19" s="9" t="s">
        <v>1057</v>
      </c>
      <c r="B19" s="9" t="s">
        <v>1058</v>
      </c>
      <c r="C19" s="9" t="s">
        <v>1059</v>
      </c>
      <c r="D19" s="9" t="s">
        <v>1009</v>
      </c>
      <c r="E19" s="9" t="s">
        <v>608</v>
      </c>
      <c r="F19" s="9" t="s">
        <v>1060</v>
      </c>
      <c r="G19" s="9" t="s">
        <v>1032</v>
      </c>
    </row>
    <row r="20" customFormat="false" ht="30" hidden="false" customHeight="true" outlineLevel="0" collapsed="false">
      <c r="A20" s="9" t="s">
        <v>1061</v>
      </c>
      <c r="B20" s="9" t="s">
        <v>1062</v>
      </c>
      <c r="C20" s="9" t="s">
        <v>1063</v>
      </c>
      <c r="D20" s="9" t="s">
        <v>1009</v>
      </c>
      <c r="E20" s="9" t="s">
        <v>608</v>
      </c>
      <c r="F20" s="9" t="s">
        <v>1060</v>
      </c>
      <c r="G20" s="9" t="s">
        <v>1032</v>
      </c>
    </row>
    <row r="21" customFormat="false" ht="30" hidden="false" customHeight="true" outlineLevel="0" collapsed="false">
      <c r="A21" s="9" t="s">
        <v>1064</v>
      </c>
      <c r="B21" s="9" t="s">
        <v>1065</v>
      </c>
      <c r="C21" s="9" t="s">
        <v>1066</v>
      </c>
      <c r="D21" s="9" t="s">
        <v>1009</v>
      </c>
      <c r="E21" s="9" t="s">
        <v>608</v>
      </c>
      <c r="F21" s="9" t="s">
        <v>1067</v>
      </c>
      <c r="G21" s="9" t="s">
        <v>1032</v>
      </c>
    </row>
    <row r="22" customFormat="false" ht="30" hidden="false" customHeight="true" outlineLevel="0" collapsed="false">
      <c r="A22" s="9" t="s">
        <v>1068</v>
      </c>
      <c r="B22" s="9" t="s">
        <v>1069</v>
      </c>
      <c r="C22" s="9" t="s">
        <v>1070</v>
      </c>
      <c r="D22" s="9" t="s">
        <v>1009</v>
      </c>
      <c r="E22" s="9" t="s">
        <v>608</v>
      </c>
      <c r="F22" s="9" t="s">
        <v>1071</v>
      </c>
      <c r="G22" s="9" t="s">
        <v>1032</v>
      </c>
    </row>
    <row r="23" customFormat="false" ht="30" hidden="false" customHeight="true" outlineLevel="0" collapsed="false">
      <c r="A23" s="9" t="s">
        <v>1072</v>
      </c>
      <c r="B23" s="9" t="s">
        <v>1073</v>
      </c>
      <c r="C23" s="9" t="s">
        <v>1074</v>
      </c>
      <c r="D23" s="9" t="s">
        <v>1009</v>
      </c>
      <c r="E23" s="9" t="s">
        <v>885</v>
      </c>
      <c r="F23" s="9" t="s">
        <v>1075</v>
      </c>
      <c r="G23" s="9" t="s">
        <v>1032</v>
      </c>
    </row>
    <row r="24" customFormat="false" ht="30" hidden="false" customHeight="true" outlineLevel="0" collapsed="false">
      <c r="A24" s="9" t="s">
        <v>1076</v>
      </c>
      <c r="B24" s="9" t="s">
        <v>1077</v>
      </c>
      <c r="C24" s="9" t="s">
        <v>1078</v>
      </c>
      <c r="D24" s="9" t="s">
        <v>1079</v>
      </c>
      <c r="E24" s="9" t="s">
        <v>891</v>
      </c>
      <c r="F24" s="9" t="s">
        <v>1080</v>
      </c>
      <c r="G24" s="9" t="s">
        <v>1081</v>
      </c>
    </row>
    <row r="25" customFormat="false" ht="30" hidden="false" customHeight="true" outlineLevel="0" collapsed="false">
      <c r="A25" s="9" t="s">
        <v>1082</v>
      </c>
      <c r="B25" s="9" t="s">
        <v>1083</v>
      </c>
      <c r="C25" s="9" t="s">
        <v>1084</v>
      </c>
      <c r="D25" s="9" t="s">
        <v>1009</v>
      </c>
      <c r="E25" s="9" t="s">
        <v>406</v>
      </c>
      <c r="F25" s="9" t="s">
        <v>1085</v>
      </c>
      <c r="G25" s="9" t="s">
        <v>1032</v>
      </c>
    </row>
    <row r="26" customFormat="false" ht="30" hidden="false" customHeight="true" outlineLevel="0" collapsed="false">
      <c r="A26" s="9" t="s">
        <v>1086</v>
      </c>
      <c r="B26" s="9" t="s">
        <v>1087</v>
      </c>
      <c r="C26" s="9" t="s">
        <v>1088</v>
      </c>
      <c r="D26" s="9" t="s">
        <v>1009</v>
      </c>
      <c r="E26" s="9" t="s">
        <v>642</v>
      </c>
      <c r="F26" s="9" t="s">
        <v>1089</v>
      </c>
      <c r="G26" s="9" t="s">
        <v>1090</v>
      </c>
    </row>
    <row r="27" customFormat="false" ht="30" hidden="false" customHeight="true" outlineLevel="0" collapsed="false">
      <c r="A27" s="9" t="s">
        <v>1091</v>
      </c>
      <c r="B27" s="9" t="s">
        <v>1092</v>
      </c>
      <c r="C27" s="9" t="s">
        <v>1093</v>
      </c>
      <c r="D27" s="9" t="s">
        <v>1050</v>
      </c>
      <c r="E27" s="9" t="s">
        <v>642</v>
      </c>
      <c r="F27" s="9" t="s">
        <v>1094</v>
      </c>
      <c r="G27" s="9" t="s">
        <v>1095</v>
      </c>
    </row>
    <row r="28" customFormat="false" ht="30" hidden="false" customHeight="true" outlineLevel="0" collapsed="false">
      <c r="A28" s="9" t="s">
        <v>1096</v>
      </c>
      <c r="B28" s="9" t="s">
        <v>1097</v>
      </c>
      <c r="C28" s="9" t="s">
        <v>1098</v>
      </c>
      <c r="D28" s="9" t="s">
        <v>1050</v>
      </c>
      <c r="E28" s="9" t="s">
        <v>642</v>
      </c>
      <c r="F28" s="9" t="s">
        <v>1099</v>
      </c>
      <c r="G28" s="9" t="s">
        <v>1095</v>
      </c>
    </row>
    <row r="29" customFormat="false" ht="30" hidden="false" customHeight="true" outlineLevel="0" collapsed="false">
      <c r="A29" s="9" t="s">
        <v>1100</v>
      </c>
      <c r="B29" s="9" t="s">
        <v>1101</v>
      </c>
      <c r="C29" s="9" t="s">
        <v>1102</v>
      </c>
      <c r="D29" s="9" t="s">
        <v>1009</v>
      </c>
      <c r="E29" s="9" t="s">
        <v>406</v>
      </c>
      <c r="F29" s="9" t="s">
        <v>1103</v>
      </c>
      <c r="G29" s="9" t="s">
        <v>1032</v>
      </c>
    </row>
    <row r="30" customFormat="false" ht="30" hidden="false" customHeight="true" outlineLevel="0" collapsed="false">
      <c r="A30" s="9" t="s">
        <v>1104</v>
      </c>
      <c r="B30" s="9" t="s">
        <v>1105</v>
      </c>
      <c r="C30" s="9" t="s">
        <v>1106</v>
      </c>
      <c r="D30" s="9" t="s">
        <v>1079</v>
      </c>
      <c r="E30" s="9" t="s">
        <v>891</v>
      </c>
      <c r="F30" s="9" t="s">
        <v>1107</v>
      </c>
      <c r="G30" s="9" t="s">
        <v>1081</v>
      </c>
    </row>
    <row r="31" customFormat="false" ht="30" hidden="false" customHeight="true" outlineLevel="0" collapsed="false">
      <c r="A31" s="9" t="s">
        <v>1108</v>
      </c>
      <c r="B31" s="9" t="s">
        <v>1109</v>
      </c>
      <c r="C31" s="9" t="s">
        <v>1110</v>
      </c>
      <c r="D31" s="9" t="s">
        <v>1009</v>
      </c>
      <c r="E31" s="9" t="s">
        <v>608</v>
      </c>
      <c r="F31" s="9" t="s">
        <v>1111</v>
      </c>
      <c r="G31" s="9" t="s">
        <v>1032</v>
      </c>
    </row>
    <row r="32" customFormat="false" ht="30" hidden="false" customHeight="true" outlineLevel="0" collapsed="false">
      <c r="A32" s="9" t="s">
        <v>1112</v>
      </c>
      <c r="B32" s="9" t="s">
        <v>1113</v>
      </c>
      <c r="C32" s="9" t="s">
        <v>1114</v>
      </c>
      <c r="D32" s="9" t="s">
        <v>1009</v>
      </c>
      <c r="E32" s="9" t="s">
        <v>608</v>
      </c>
      <c r="F32" s="9" t="s">
        <v>1115</v>
      </c>
      <c r="G32" s="9" t="s">
        <v>1032</v>
      </c>
    </row>
    <row r="33" customFormat="false" ht="30" hidden="false" customHeight="true" outlineLevel="0" collapsed="false">
      <c r="A33" s="9" t="s">
        <v>1116</v>
      </c>
      <c r="B33" s="9" t="s">
        <v>1117</v>
      </c>
      <c r="C33" s="9" t="s">
        <v>1118</v>
      </c>
      <c r="D33" s="9" t="s">
        <v>1009</v>
      </c>
      <c r="E33" s="9" t="s">
        <v>608</v>
      </c>
      <c r="F33" s="9" t="s">
        <v>1119</v>
      </c>
      <c r="G33" s="9" t="s">
        <v>1032</v>
      </c>
    </row>
    <row r="34" customFormat="false" ht="30" hidden="false" customHeight="true" outlineLevel="0" collapsed="false">
      <c r="A34" s="9" t="s">
        <v>1120</v>
      </c>
      <c r="B34" s="9" t="s">
        <v>1121</v>
      </c>
      <c r="C34" s="9" t="s">
        <v>1122</v>
      </c>
      <c r="D34" s="9" t="s">
        <v>1009</v>
      </c>
      <c r="E34" s="9" t="s">
        <v>406</v>
      </c>
      <c r="F34" s="9" t="s">
        <v>1038</v>
      </c>
      <c r="G34" s="9" t="s">
        <v>1032</v>
      </c>
    </row>
    <row r="35" customFormat="false" ht="30" hidden="false" customHeight="true" outlineLevel="0" collapsed="false">
      <c r="A35" s="9" t="s">
        <v>1123</v>
      </c>
      <c r="B35" s="9" t="s">
        <v>1124</v>
      </c>
      <c r="C35" s="9" t="s">
        <v>1125</v>
      </c>
      <c r="D35" s="9" t="s">
        <v>1009</v>
      </c>
      <c r="E35" s="9" t="s">
        <v>608</v>
      </c>
      <c r="F35" s="9" t="s">
        <v>1126</v>
      </c>
      <c r="G35" s="9" t="s">
        <v>1032</v>
      </c>
    </row>
    <row r="36" customFormat="false" ht="30" hidden="false" customHeight="true" outlineLevel="0" collapsed="false">
      <c r="A36" s="9" t="s">
        <v>1127</v>
      </c>
      <c r="B36" s="9" t="s">
        <v>1128</v>
      </c>
      <c r="C36" s="9" t="s">
        <v>1129</v>
      </c>
      <c r="D36" s="9" t="s">
        <v>1009</v>
      </c>
      <c r="E36" s="9" t="s">
        <v>608</v>
      </c>
      <c r="F36" s="9" t="s">
        <v>1130</v>
      </c>
      <c r="G36" s="9" t="s">
        <v>1032</v>
      </c>
    </row>
    <row r="37" customFormat="false" ht="30" hidden="false" customHeight="true" outlineLevel="0" collapsed="false">
      <c r="A37" s="9" t="s">
        <v>1131</v>
      </c>
      <c r="B37" s="9" t="s">
        <v>1132</v>
      </c>
      <c r="C37" s="9" t="s">
        <v>1133</v>
      </c>
      <c r="D37" s="9" t="s">
        <v>1009</v>
      </c>
      <c r="E37" s="9" t="s">
        <v>608</v>
      </c>
      <c r="F37" s="9" t="s">
        <v>1041</v>
      </c>
      <c r="G37" s="9" t="s">
        <v>1032</v>
      </c>
    </row>
    <row r="38" customFormat="false" ht="30" hidden="false" customHeight="true" outlineLevel="0" collapsed="false">
      <c r="A38" s="9" t="s">
        <v>1134</v>
      </c>
      <c r="B38" s="9" t="s">
        <v>1135</v>
      </c>
      <c r="C38" s="9" t="s">
        <v>1136</v>
      </c>
      <c r="D38" s="9" t="s">
        <v>1009</v>
      </c>
      <c r="E38" s="9" t="s">
        <v>406</v>
      </c>
      <c r="F38" s="9" t="s">
        <v>1137</v>
      </c>
      <c r="G38" s="9" t="s">
        <v>1032</v>
      </c>
    </row>
    <row r="39" customFormat="false" ht="30" hidden="false" customHeight="true" outlineLevel="0" collapsed="false">
      <c r="A39" s="9" t="s">
        <v>1138</v>
      </c>
      <c r="B39" s="9" t="s">
        <v>1139</v>
      </c>
      <c r="C39" s="9" t="s">
        <v>1140</v>
      </c>
      <c r="D39" s="9" t="s">
        <v>1079</v>
      </c>
      <c r="E39" s="9" t="s">
        <v>891</v>
      </c>
      <c r="F39" s="9" t="s">
        <v>1107</v>
      </c>
      <c r="G39" s="9" t="s">
        <v>1081</v>
      </c>
    </row>
    <row r="40" customFormat="false" ht="30" hidden="false" customHeight="true" outlineLevel="0" collapsed="false">
      <c r="A40" s="9" t="s">
        <v>1141</v>
      </c>
      <c r="B40" s="9" t="s">
        <v>1142</v>
      </c>
      <c r="C40" s="9" t="s">
        <v>1143</v>
      </c>
      <c r="D40" s="9" t="s">
        <v>1009</v>
      </c>
      <c r="E40" s="9" t="s">
        <v>406</v>
      </c>
      <c r="F40" s="9" t="s">
        <v>1144</v>
      </c>
      <c r="G40" s="9" t="s">
        <v>1032</v>
      </c>
    </row>
    <row r="41" customFormat="false" ht="30" hidden="false" customHeight="true" outlineLevel="0" collapsed="false">
      <c r="A41" s="9" t="s">
        <v>1145</v>
      </c>
      <c r="B41" s="9" t="s">
        <v>1146</v>
      </c>
      <c r="C41" s="9" t="s">
        <v>1147</v>
      </c>
      <c r="D41" s="9" t="s">
        <v>1009</v>
      </c>
      <c r="E41" s="9" t="s">
        <v>608</v>
      </c>
      <c r="F41" s="9" t="s">
        <v>1148</v>
      </c>
      <c r="G41" s="9" t="s">
        <v>1032</v>
      </c>
    </row>
    <row r="42" customFormat="false" ht="30" hidden="false" customHeight="true" outlineLevel="0" collapsed="false">
      <c r="A42" s="9" t="s">
        <v>1149</v>
      </c>
      <c r="B42" s="9" t="s">
        <v>1150</v>
      </c>
      <c r="C42" s="9" t="s">
        <v>1151</v>
      </c>
      <c r="D42" s="9" t="s">
        <v>1009</v>
      </c>
      <c r="E42" s="9" t="s">
        <v>406</v>
      </c>
      <c r="F42" s="9" t="s">
        <v>1152</v>
      </c>
      <c r="G42" s="9" t="s">
        <v>1032</v>
      </c>
    </row>
    <row r="43" customFormat="false" ht="30" hidden="false" customHeight="true" outlineLevel="0" collapsed="false">
      <c r="A43" s="9" t="s">
        <v>1153</v>
      </c>
      <c r="B43" s="9" t="s">
        <v>1154</v>
      </c>
      <c r="C43" s="9" t="s">
        <v>1155</v>
      </c>
      <c r="D43" s="9" t="s">
        <v>1009</v>
      </c>
      <c r="E43" s="9" t="s">
        <v>406</v>
      </c>
      <c r="F43" s="9" t="s">
        <v>1156</v>
      </c>
      <c r="G43" s="9" t="s">
        <v>1032</v>
      </c>
    </row>
    <row r="44" customFormat="false" ht="30" hidden="false" customHeight="true" outlineLevel="0" collapsed="false">
      <c r="A44" s="9" t="s">
        <v>1157</v>
      </c>
      <c r="B44" s="9" t="s">
        <v>1158</v>
      </c>
      <c r="C44" s="9" t="s">
        <v>1159</v>
      </c>
      <c r="D44" s="9" t="s">
        <v>1009</v>
      </c>
      <c r="E44" s="9" t="s">
        <v>608</v>
      </c>
      <c r="F44" s="9" t="s">
        <v>1041</v>
      </c>
      <c r="G44" s="9" t="s">
        <v>1032</v>
      </c>
    </row>
    <row r="45" customFormat="false" ht="30" hidden="false" customHeight="true" outlineLevel="0" collapsed="false">
      <c r="A45" s="9" t="s">
        <v>1160</v>
      </c>
      <c r="B45" s="9" t="s">
        <v>1161</v>
      </c>
      <c r="C45" s="9" t="s">
        <v>1162</v>
      </c>
      <c r="D45" s="9" t="s">
        <v>1009</v>
      </c>
      <c r="E45" s="9" t="s">
        <v>406</v>
      </c>
      <c r="F45" s="9" t="s">
        <v>1163</v>
      </c>
      <c r="G45" s="9" t="s">
        <v>751</v>
      </c>
    </row>
    <row r="47" customFormat="false" ht="21.75" hidden="false" customHeight="true" outlineLevel="0" collapsed="false">
      <c r="A47" s="6" t="s">
        <v>1164</v>
      </c>
      <c r="B47" s="6"/>
      <c r="C47" s="6"/>
      <c r="D47" s="6"/>
      <c r="E47" s="6"/>
      <c r="F47" s="6"/>
      <c r="G47" s="6"/>
    </row>
    <row r="48" customFormat="false" ht="18" hidden="false" customHeight="true" outlineLevel="0" collapsed="false">
      <c r="A48" s="37" t="s">
        <v>1165</v>
      </c>
      <c r="B48" s="37"/>
      <c r="C48" s="37"/>
      <c r="D48" s="37"/>
      <c r="E48" s="37"/>
      <c r="F48" s="37"/>
      <c r="G48" s="37"/>
    </row>
    <row r="49" customFormat="false" ht="15.75" hidden="false" customHeight="true" outlineLevel="0" collapsed="false">
      <c r="A49" s="38" t="s">
        <v>1166</v>
      </c>
      <c r="B49" s="38"/>
      <c r="C49" s="38"/>
      <c r="D49" s="38"/>
      <c r="E49" s="38"/>
      <c r="F49" s="38"/>
      <c r="G49" s="38"/>
    </row>
    <row r="50" customFormat="false" ht="15.75" hidden="false" customHeight="true" outlineLevel="0" collapsed="false">
      <c r="A50" s="38" t="s">
        <v>1167</v>
      </c>
      <c r="B50" s="38"/>
      <c r="C50" s="38"/>
      <c r="D50" s="38"/>
      <c r="E50" s="38"/>
      <c r="F50" s="38"/>
      <c r="G50" s="38"/>
    </row>
    <row r="51" customFormat="false" ht="15.75" hidden="false" customHeight="true" outlineLevel="0" collapsed="false">
      <c r="A51" s="38" t="s">
        <v>1168</v>
      </c>
      <c r="B51" s="38"/>
      <c r="C51" s="38"/>
      <c r="D51" s="38"/>
      <c r="E51" s="38"/>
      <c r="F51" s="38"/>
      <c r="G51" s="38"/>
    </row>
    <row r="53" customFormat="false" ht="30" hidden="false" customHeight="true" outlineLevel="0" collapsed="false">
      <c r="A53" s="22" t="s">
        <v>1169</v>
      </c>
      <c r="B53" s="22"/>
      <c r="C53" s="22"/>
      <c r="D53" s="22"/>
      <c r="E53" s="22"/>
      <c r="F53" s="22"/>
      <c r="G53" s="22"/>
    </row>
  </sheetData>
  <mergeCells count="8">
    <mergeCell ref="A1:G1"/>
    <mergeCell ref="A2:G2"/>
    <mergeCell ref="A47:G47"/>
    <mergeCell ref="A48:G48"/>
    <mergeCell ref="A49:G49"/>
    <mergeCell ref="A50:G50"/>
    <mergeCell ref="A51:G51"/>
    <mergeCell ref="A53:G53"/>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46"/>
    <col collapsed="false" customWidth="true" hidden="false" outlineLevel="0" max="4" min="4" style="1" width="52"/>
    <col collapsed="false" customWidth="true" hidden="false" outlineLevel="0" max="5" min="5" style="1" width="26"/>
    <col collapsed="false" customWidth="true" hidden="false" outlineLevel="0" max="6" min="6" style="1" width="16"/>
  </cols>
  <sheetData>
    <row r="1" customFormat="false" ht="30" hidden="false" customHeight="true" outlineLevel="0" collapsed="false">
      <c r="A1" s="14" t="s">
        <v>1170</v>
      </c>
      <c r="B1" s="14"/>
      <c r="C1" s="14"/>
      <c r="D1" s="14"/>
      <c r="E1" s="14"/>
      <c r="F1" s="14"/>
    </row>
    <row r="2" customFormat="false" ht="31.5" hidden="false" customHeight="true" outlineLevel="0" collapsed="false">
      <c r="A2" s="15" t="s">
        <v>1171</v>
      </c>
      <c r="B2" s="15"/>
      <c r="C2" s="15"/>
      <c r="D2" s="15"/>
      <c r="E2" s="15"/>
      <c r="F2" s="15"/>
    </row>
    <row r="4" customFormat="false" ht="33.75" hidden="false" customHeight="true" outlineLevel="0" collapsed="false">
      <c r="A4" s="8" t="s">
        <v>186</v>
      </c>
      <c r="B4" s="8" t="s">
        <v>188</v>
      </c>
      <c r="C4" s="8" t="s">
        <v>1172</v>
      </c>
      <c r="D4" s="8" t="s">
        <v>1173</v>
      </c>
      <c r="E4" s="8" t="s">
        <v>1174</v>
      </c>
      <c r="F4" s="8" t="s">
        <v>1175</v>
      </c>
    </row>
    <row r="5" customFormat="false" ht="67.5" hidden="false" customHeight="true" outlineLevel="0" collapsed="false">
      <c r="A5" s="9" t="s">
        <v>109</v>
      </c>
      <c r="B5" s="9" t="s">
        <v>1176</v>
      </c>
      <c r="C5" s="9" t="s">
        <v>1177</v>
      </c>
      <c r="D5" s="9" t="s">
        <v>1178</v>
      </c>
      <c r="E5" s="9" t="s">
        <v>1179</v>
      </c>
      <c r="F5" s="9" t="s">
        <v>1180</v>
      </c>
    </row>
    <row r="6" customFormat="false" ht="67.5" hidden="false" customHeight="true" outlineLevel="0" collapsed="false">
      <c r="A6" s="9" t="s">
        <v>224</v>
      </c>
      <c r="B6" s="9" t="s">
        <v>226</v>
      </c>
      <c r="C6" s="9" t="s">
        <v>1181</v>
      </c>
      <c r="D6" s="9" t="s">
        <v>1182</v>
      </c>
      <c r="E6" s="9" t="s">
        <v>1183</v>
      </c>
      <c r="F6" s="9" t="s">
        <v>1184</v>
      </c>
    </row>
    <row r="7" customFormat="false" ht="67.5" hidden="false" customHeight="true" outlineLevel="0" collapsed="false">
      <c r="A7" s="9" t="s">
        <v>114</v>
      </c>
      <c r="B7" s="9" t="s">
        <v>1185</v>
      </c>
      <c r="C7" s="9" t="s">
        <v>1186</v>
      </c>
      <c r="D7" s="9" t="s">
        <v>1187</v>
      </c>
      <c r="E7" s="9" t="s">
        <v>111</v>
      </c>
      <c r="F7" s="9" t="s">
        <v>1188</v>
      </c>
    </row>
    <row r="8" customFormat="false" ht="67.5" hidden="false" customHeight="true" outlineLevel="0" collapsed="false">
      <c r="A8" s="9" t="s">
        <v>119</v>
      </c>
      <c r="B8" s="9" t="s">
        <v>1189</v>
      </c>
      <c r="C8" s="9" t="s">
        <v>1190</v>
      </c>
      <c r="D8" s="9" t="s">
        <v>1191</v>
      </c>
      <c r="E8" s="9" t="s">
        <v>116</v>
      </c>
      <c r="F8" s="9" t="s">
        <v>1192</v>
      </c>
    </row>
    <row r="9" customFormat="false" ht="67.5" hidden="false" customHeight="true" outlineLevel="0" collapsed="false">
      <c r="A9" s="9" t="s">
        <v>241</v>
      </c>
      <c r="B9" s="9" t="s">
        <v>1193</v>
      </c>
      <c r="C9" s="9" t="s">
        <v>1194</v>
      </c>
      <c r="D9" s="9" t="s">
        <v>1195</v>
      </c>
      <c r="E9" s="9" t="s">
        <v>244</v>
      </c>
      <c r="F9" s="9" t="s">
        <v>1196</v>
      </c>
    </row>
    <row r="10" customFormat="false" ht="67.5" hidden="false" customHeight="true" outlineLevel="0" collapsed="false">
      <c r="A10" s="9" t="s">
        <v>123</v>
      </c>
      <c r="B10" s="9" t="s">
        <v>1197</v>
      </c>
      <c r="C10" s="9" t="s">
        <v>1198</v>
      </c>
      <c r="D10" s="9" t="s">
        <v>1199</v>
      </c>
      <c r="E10" s="9" t="s">
        <v>120</v>
      </c>
      <c r="F10" s="9" t="s">
        <v>1200</v>
      </c>
    </row>
    <row r="11" customFormat="false" ht="67.5" hidden="false" customHeight="true" outlineLevel="0" collapsed="false">
      <c r="A11" s="9" t="s">
        <v>253</v>
      </c>
      <c r="B11" s="9" t="s">
        <v>255</v>
      </c>
      <c r="C11" s="9" t="s">
        <v>1201</v>
      </c>
      <c r="D11" s="9" t="s">
        <v>1202</v>
      </c>
      <c r="E11" s="9" t="s">
        <v>130</v>
      </c>
      <c r="F11" s="9" t="s">
        <v>1203</v>
      </c>
    </row>
    <row r="12" customFormat="false" ht="67.5" hidden="false" customHeight="true" outlineLevel="0" collapsed="false">
      <c r="A12" s="9" t="s">
        <v>142</v>
      </c>
      <c r="B12" s="9" t="s">
        <v>1204</v>
      </c>
      <c r="C12" s="9" t="s">
        <v>1205</v>
      </c>
      <c r="D12" s="9" t="s">
        <v>1206</v>
      </c>
      <c r="E12" s="9" t="s">
        <v>139</v>
      </c>
      <c r="F12" s="9" t="s">
        <v>1207</v>
      </c>
    </row>
    <row r="13" customFormat="false" ht="67.5" hidden="false" customHeight="true" outlineLevel="0" collapsed="false">
      <c r="A13" s="9" t="s">
        <v>137</v>
      </c>
      <c r="B13" s="9" t="s">
        <v>265</v>
      </c>
      <c r="C13" s="9" t="s">
        <v>1208</v>
      </c>
      <c r="D13" s="9" t="s">
        <v>1209</v>
      </c>
      <c r="E13" s="9" t="s">
        <v>134</v>
      </c>
      <c r="F13" s="9" t="s">
        <v>1210</v>
      </c>
    </row>
    <row r="14" customFormat="false" ht="67.5" hidden="false" customHeight="true" outlineLevel="0" collapsed="false">
      <c r="A14" s="9" t="s">
        <v>128</v>
      </c>
      <c r="B14" s="9" t="s">
        <v>1211</v>
      </c>
      <c r="C14" s="9" t="s">
        <v>1212</v>
      </c>
      <c r="D14" s="9" t="s">
        <v>1213</v>
      </c>
      <c r="E14" s="9" t="s">
        <v>125</v>
      </c>
      <c r="F14" s="9" t="s">
        <v>1214</v>
      </c>
    </row>
    <row r="15" customFormat="false" ht="67.5" hidden="false" customHeight="true" outlineLevel="0" collapsed="false">
      <c r="A15" s="9" t="s">
        <v>147</v>
      </c>
      <c r="B15" s="9" t="s">
        <v>276</v>
      </c>
      <c r="C15" s="9" t="s">
        <v>1215</v>
      </c>
      <c r="D15" s="9" t="s">
        <v>1216</v>
      </c>
      <c r="E15" s="9" t="s">
        <v>1217</v>
      </c>
      <c r="F15" s="9" t="s">
        <v>1218</v>
      </c>
    </row>
    <row r="16" customFormat="false" ht="67.5" hidden="false" customHeight="true" outlineLevel="0" collapsed="false">
      <c r="A16" s="9" t="s">
        <v>282</v>
      </c>
      <c r="B16" s="9" t="s">
        <v>284</v>
      </c>
      <c r="C16" s="9" t="s">
        <v>1219</v>
      </c>
      <c r="D16" s="9" t="s">
        <v>1220</v>
      </c>
      <c r="E16" s="9" t="s">
        <v>1221</v>
      </c>
      <c r="F16" s="9" t="s">
        <v>1222</v>
      </c>
    </row>
  </sheetData>
  <mergeCells count="2">
    <mergeCell ref="A1:F1"/>
    <mergeCell ref="A2:F2"/>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40"/>
    <col collapsed="false" customWidth="true" hidden="false" outlineLevel="0" max="6" min="6" style="1" width="12"/>
  </cols>
  <sheetData>
    <row r="1" customFormat="false" ht="30" hidden="false" customHeight="true" outlineLevel="0" collapsed="false">
      <c r="A1" s="14" t="s">
        <v>1223</v>
      </c>
      <c r="B1" s="14"/>
      <c r="C1" s="14"/>
      <c r="D1" s="14"/>
      <c r="E1" s="14"/>
      <c r="F1" s="14"/>
    </row>
    <row r="2" customFormat="false" ht="25.5" hidden="false" customHeight="true" outlineLevel="0" collapsed="false">
      <c r="A2" s="39" t="s">
        <v>1224</v>
      </c>
      <c r="B2" s="39"/>
      <c r="C2" s="39"/>
      <c r="D2" s="39"/>
      <c r="E2" s="39"/>
      <c r="F2" s="39"/>
    </row>
    <row r="4" customFormat="false" ht="21.75" hidden="false" customHeight="true" outlineLevel="0" collapsed="false">
      <c r="A4" s="6" t="s">
        <v>1225</v>
      </c>
      <c r="B4" s="6"/>
      <c r="C4" s="6"/>
      <c r="D4" s="6"/>
      <c r="E4" s="6"/>
      <c r="F4" s="6"/>
    </row>
    <row r="5" customFormat="false" ht="33.75" hidden="false" customHeight="true" outlineLevel="0" collapsed="false">
      <c r="A5" s="8" t="s">
        <v>1226</v>
      </c>
      <c r="B5" s="8" t="s">
        <v>1227</v>
      </c>
      <c r="C5" s="8" t="s">
        <v>1228</v>
      </c>
      <c r="D5" s="8" t="s">
        <v>1229</v>
      </c>
      <c r="E5" s="8" t="s">
        <v>1230</v>
      </c>
      <c r="F5" s="8" t="s">
        <v>1231</v>
      </c>
    </row>
    <row r="6" customFormat="false" ht="63.75" hidden="false" customHeight="true" outlineLevel="0" collapsed="false">
      <c r="A6" s="9" t="s">
        <v>1232</v>
      </c>
      <c r="B6" s="9" t="s">
        <v>1233</v>
      </c>
      <c r="C6" s="9" t="s">
        <v>1234</v>
      </c>
      <c r="D6" s="9" t="s">
        <v>1235</v>
      </c>
      <c r="E6" s="9" t="s">
        <v>1236</v>
      </c>
      <c r="F6" s="23"/>
    </row>
    <row r="7" customFormat="false" ht="63.75" hidden="false" customHeight="true" outlineLevel="0" collapsed="false">
      <c r="A7" s="9" t="s">
        <v>1237</v>
      </c>
      <c r="B7" s="9" t="s">
        <v>1238</v>
      </c>
      <c r="C7" s="9" t="s">
        <v>1239</v>
      </c>
      <c r="D7" s="9" t="s">
        <v>1240</v>
      </c>
      <c r="E7" s="9" t="s">
        <v>1241</v>
      </c>
      <c r="F7" s="23"/>
    </row>
    <row r="8" customFormat="false" ht="63.75" hidden="false" customHeight="true" outlineLevel="0" collapsed="false">
      <c r="A8" s="9" t="s">
        <v>1242</v>
      </c>
      <c r="B8" s="9" t="s">
        <v>1243</v>
      </c>
      <c r="C8" s="9" t="s">
        <v>1244</v>
      </c>
      <c r="D8" s="9" t="s">
        <v>1245</v>
      </c>
      <c r="E8" s="9" t="s">
        <v>1246</v>
      </c>
      <c r="F8" s="23"/>
    </row>
    <row r="9" customFormat="false" ht="63.75" hidden="false" customHeight="true" outlineLevel="0" collapsed="false">
      <c r="A9" s="9" t="s">
        <v>1247</v>
      </c>
      <c r="B9" s="9" t="s">
        <v>1248</v>
      </c>
      <c r="C9" s="9" t="s">
        <v>1249</v>
      </c>
      <c r="D9" s="9" t="s">
        <v>1250</v>
      </c>
      <c r="E9" s="9" t="s">
        <v>1251</v>
      </c>
      <c r="F9" s="23"/>
    </row>
    <row r="10" customFormat="false" ht="63.75" hidden="false" customHeight="true" outlineLevel="0" collapsed="false">
      <c r="A10" s="9" t="s">
        <v>1252</v>
      </c>
      <c r="B10" s="9" t="s">
        <v>1253</v>
      </c>
      <c r="C10" s="9" t="s">
        <v>1254</v>
      </c>
      <c r="D10" s="9" t="s">
        <v>1255</v>
      </c>
      <c r="E10" s="9" t="s">
        <v>1256</v>
      </c>
      <c r="F10" s="23"/>
    </row>
    <row r="11" customFormat="false" ht="21.75" hidden="false" customHeight="true" outlineLevel="0" collapsed="false">
      <c r="A11" s="33" t="s">
        <v>1257</v>
      </c>
      <c r="B11" s="33"/>
      <c r="C11" s="33"/>
      <c r="D11" s="33"/>
      <c r="E11" s="33"/>
      <c r="F11" s="40" t="n">
        <f aca="false">SUM(F6:F10)</f>
        <v>0</v>
      </c>
    </row>
    <row r="13" customFormat="false" ht="21.75" hidden="false" customHeight="true" outlineLevel="0" collapsed="false">
      <c r="A13" s="6" t="s">
        <v>1258</v>
      </c>
      <c r="B13" s="6"/>
      <c r="C13" s="6"/>
      <c r="D13" s="6"/>
      <c r="E13" s="6"/>
      <c r="F13" s="6"/>
    </row>
    <row r="14" customFormat="false" ht="33.75" hidden="false" customHeight="true" outlineLevel="0" collapsed="false">
      <c r="A14" s="8" t="s">
        <v>1226</v>
      </c>
      <c r="B14" s="8" t="s">
        <v>1227</v>
      </c>
      <c r="C14" s="8" t="s">
        <v>1228</v>
      </c>
      <c r="D14" s="8" t="s">
        <v>1229</v>
      </c>
      <c r="E14" s="8" t="s">
        <v>1230</v>
      </c>
      <c r="F14" s="8" t="s">
        <v>1231</v>
      </c>
    </row>
    <row r="15" customFormat="false" ht="63.75" hidden="false" customHeight="true" outlineLevel="0" collapsed="false">
      <c r="A15" s="9" t="s">
        <v>1259</v>
      </c>
      <c r="B15" s="9" t="s">
        <v>1260</v>
      </c>
      <c r="C15" s="9" t="s">
        <v>1261</v>
      </c>
      <c r="D15" s="9" t="s">
        <v>1262</v>
      </c>
      <c r="E15" s="9" t="s">
        <v>1263</v>
      </c>
      <c r="F15" s="23"/>
    </row>
    <row r="16" customFormat="false" ht="63.75" hidden="false" customHeight="true" outlineLevel="0" collapsed="false">
      <c r="A16" s="9" t="s">
        <v>1264</v>
      </c>
      <c r="B16" s="9" t="s">
        <v>1265</v>
      </c>
      <c r="C16" s="9" t="s">
        <v>1266</v>
      </c>
      <c r="D16" s="9" t="s">
        <v>1267</v>
      </c>
      <c r="E16" s="9" t="s">
        <v>1268</v>
      </c>
      <c r="F16" s="23"/>
    </row>
    <row r="17" customFormat="false" ht="63.75" hidden="false" customHeight="true" outlineLevel="0" collapsed="false">
      <c r="A17" s="9" t="s">
        <v>377</v>
      </c>
      <c r="B17" s="9" t="s">
        <v>1269</v>
      </c>
      <c r="C17" s="9" t="s">
        <v>1270</v>
      </c>
      <c r="D17" s="9" t="s">
        <v>1271</v>
      </c>
      <c r="E17" s="9" t="s">
        <v>1272</v>
      </c>
      <c r="F17" s="23"/>
    </row>
    <row r="18" customFormat="false" ht="63.75" hidden="false" customHeight="true" outlineLevel="0" collapsed="false">
      <c r="A18" s="9" t="s">
        <v>1273</v>
      </c>
      <c r="B18" s="9" t="s">
        <v>1274</v>
      </c>
      <c r="C18" s="9" t="s">
        <v>1275</v>
      </c>
      <c r="D18" s="9" t="s">
        <v>1276</v>
      </c>
      <c r="E18" s="9" t="s">
        <v>1277</v>
      </c>
      <c r="F18" s="23"/>
    </row>
    <row r="19" customFormat="false" ht="63.75" hidden="false" customHeight="true" outlineLevel="0" collapsed="false">
      <c r="A19" s="9" t="s">
        <v>1278</v>
      </c>
      <c r="B19" s="9" t="s">
        <v>1279</v>
      </c>
      <c r="C19" s="9" t="s">
        <v>1280</v>
      </c>
      <c r="D19" s="9" t="s">
        <v>1281</v>
      </c>
      <c r="E19" s="9" t="s">
        <v>1282</v>
      </c>
      <c r="F19" s="23"/>
    </row>
    <row r="20" customFormat="false" ht="21.75" hidden="false" customHeight="true" outlineLevel="0" collapsed="false">
      <c r="A20" s="33" t="s">
        <v>1257</v>
      </c>
      <c r="B20" s="33"/>
      <c r="C20" s="33"/>
      <c r="D20" s="33"/>
      <c r="E20" s="33"/>
      <c r="F20" s="40" t="n">
        <f aca="false">SUM(F15:F19)</f>
        <v>0</v>
      </c>
    </row>
    <row r="22" customFormat="false" ht="21.75" hidden="false" customHeight="true" outlineLevel="0" collapsed="false">
      <c r="A22" s="6" t="s">
        <v>1283</v>
      </c>
      <c r="B22" s="6"/>
      <c r="C22" s="6"/>
      <c r="D22" s="6"/>
      <c r="E22" s="6"/>
      <c r="F22" s="6"/>
    </row>
    <row r="23" customFormat="false" ht="33.75" hidden="false" customHeight="true" outlineLevel="0" collapsed="false">
      <c r="A23" s="8" t="s">
        <v>1226</v>
      </c>
      <c r="B23" s="8" t="s">
        <v>1227</v>
      </c>
      <c r="C23" s="8" t="s">
        <v>1228</v>
      </c>
      <c r="D23" s="8" t="s">
        <v>1229</v>
      </c>
      <c r="E23" s="8" t="s">
        <v>1230</v>
      </c>
      <c r="F23" s="8" t="s">
        <v>1231</v>
      </c>
    </row>
    <row r="24" customFormat="false" ht="63.75" hidden="false" customHeight="true" outlineLevel="0" collapsed="false">
      <c r="A24" s="9" t="s">
        <v>1284</v>
      </c>
      <c r="B24" s="9" t="s">
        <v>1285</v>
      </c>
      <c r="C24" s="9" t="s">
        <v>1286</v>
      </c>
      <c r="D24" s="9" t="s">
        <v>1287</v>
      </c>
      <c r="E24" s="9" t="s">
        <v>1288</v>
      </c>
      <c r="F24" s="23"/>
    </row>
    <row r="25" customFormat="false" ht="63.75" hidden="false" customHeight="true" outlineLevel="0" collapsed="false">
      <c r="A25" s="9" t="s">
        <v>1289</v>
      </c>
      <c r="B25" s="9" t="s">
        <v>1290</v>
      </c>
      <c r="C25" s="9" t="s">
        <v>1291</v>
      </c>
      <c r="D25" s="9" t="s">
        <v>1292</v>
      </c>
      <c r="E25" s="9" t="s">
        <v>1293</v>
      </c>
      <c r="F25" s="23"/>
    </row>
    <row r="26" customFormat="false" ht="63.75" hidden="false" customHeight="true" outlineLevel="0" collapsed="false">
      <c r="A26" s="9" t="s">
        <v>1294</v>
      </c>
      <c r="B26" s="9" t="s">
        <v>1295</v>
      </c>
      <c r="C26" s="9" t="s">
        <v>1296</v>
      </c>
      <c r="D26" s="9" t="s">
        <v>1297</v>
      </c>
      <c r="E26" s="9" t="s">
        <v>1298</v>
      </c>
      <c r="F26" s="23"/>
    </row>
    <row r="27" customFormat="false" ht="63.75" hidden="false" customHeight="true" outlineLevel="0" collapsed="false">
      <c r="A27" s="9" t="s">
        <v>1299</v>
      </c>
      <c r="B27" s="9" t="s">
        <v>1300</v>
      </c>
      <c r="C27" s="9" t="s">
        <v>1301</v>
      </c>
      <c r="D27" s="9" t="s">
        <v>1302</v>
      </c>
      <c r="E27" s="9" t="s">
        <v>1303</v>
      </c>
      <c r="F27" s="23"/>
    </row>
    <row r="28" customFormat="false" ht="63.75" hidden="false" customHeight="true" outlineLevel="0" collapsed="false">
      <c r="A28" s="9" t="s">
        <v>1304</v>
      </c>
      <c r="B28" s="9" t="s">
        <v>1305</v>
      </c>
      <c r="C28" s="9" t="s">
        <v>1306</v>
      </c>
      <c r="D28" s="9" t="s">
        <v>1307</v>
      </c>
      <c r="E28" s="9" t="s">
        <v>1308</v>
      </c>
      <c r="F28" s="23"/>
    </row>
    <row r="29" customFormat="false" ht="21.75" hidden="false" customHeight="true" outlineLevel="0" collapsed="false">
      <c r="A29" s="33" t="s">
        <v>1257</v>
      </c>
      <c r="B29" s="33"/>
      <c r="C29" s="33"/>
      <c r="D29" s="33"/>
      <c r="E29" s="33"/>
      <c r="F29" s="40" t="n">
        <f aca="false">SUM(F24:F28)</f>
        <v>0</v>
      </c>
    </row>
    <row r="31" customFormat="false" ht="21.75" hidden="false" customHeight="true" outlineLevel="0" collapsed="false">
      <c r="A31" s="6" t="s">
        <v>1309</v>
      </c>
      <c r="B31" s="6"/>
      <c r="C31" s="6"/>
      <c r="D31" s="6"/>
      <c r="E31" s="6"/>
      <c r="F31" s="6"/>
    </row>
    <row r="32" customFormat="false" ht="33.75" hidden="false" customHeight="true" outlineLevel="0" collapsed="false">
      <c r="A32" s="8" t="s">
        <v>1226</v>
      </c>
      <c r="B32" s="8" t="s">
        <v>1227</v>
      </c>
      <c r="C32" s="8" t="s">
        <v>1228</v>
      </c>
      <c r="D32" s="8" t="s">
        <v>1229</v>
      </c>
      <c r="E32" s="8" t="s">
        <v>1230</v>
      </c>
      <c r="F32" s="8" t="s">
        <v>1231</v>
      </c>
    </row>
    <row r="33" customFormat="false" ht="63.75" hidden="false" customHeight="true" outlineLevel="0" collapsed="false">
      <c r="A33" s="9" t="s">
        <v>1310</v>
      </c>
      <c r="B33" s="9" t="s">
        <v>1311</v>
      </c>
      <c r="C33" s="9" t="s">
        <v>1312</v>
      </c>
      <c r="D33" s="9" t="s">
        <v>1313</v>
      </c>
      <c r="E33" s="9" t="s">
        <v>1314</v>
      </c>
      <c r="F33" s="23"/>
    </row>
    <row r="34" customFormat="false" ht="63.75" hidden="false" customHeight="true" outlineLevel="0" collapsed="false">
      <c r="A34" s="9" t="s">
        <v>1315</v>
      </c>
      <c r="B34" s="9" t="s">
        <v>1316</v>
      </c>
      <c r="C34" s="9" t="s">
        <v>1317</v>
      </c>
      <c r="D34" s="9" t="s">
        <v>1318</v>
      </c>
      <c r="E34" s="9" t="s">
        <v>1319</v>
      </c>
      <c r="F34" s="23"/>
    </row>
    <row r="35" customFormat="false" ht="63.75" hidden="false" customHeight="true" outlineLevel="0" collapsed="false">
      <c r="A35" s="9" t="s">
        <v>126</v>
      </c>
      <c r="B35" s="9" t="s">
        <v>1320</v>
      </c>
      <c r="C35" s="9" t="s">
        <v>1321</v>
      </c>
      <c r="D35" s="9" t="s">
        <v>1322</v>
      </c>
      <c r="E35" s="9" t="s">
        <v>1323</v>
      </c>
      <c r="F35" s="23"/>
    </row>
    <row r="36" customFormat="false" ht="63.75" hidden="false" customHeight="true" outlineLevel="0" collapsed="false">
      <c r="A36" s="9" t="s">
        <v>1324</v>
      </c>
      <c r="B36" s="9" t="s">
        <v>1325</v>
      </c>
      <c r="C36" s="9" t="s">
        <v>1326</v>
      </c>
      <c r="D36" s="9" t="s">
        <v>1327</v>
      </c>
      <c r="E36" s="9" t="s">
        <v>1328</v>
      </c>
      <c r="F36" s="23"/>
    </row>
    <row r="37" customFormat="false" ht="63.75" hidden="false" customHeight="true" outlineLevel="0" collapsed="false">
      <c r="A37" s="9" t="s">
        <v>1329</v>
      </c>
      <c r="B37" s="9" t="s">
        <v>1330</v>
      </c>
      <c r="C37" s="9" t="s">
        <v>1331</v>
      </c>
      <c r="D37" s="9" t="s">
        <v>1332</v>
      </c>
      <c r="E37" s="9" t="s">
        <v>1333</v>
      </c>
      <c r="F37" s="23"/>
    </row>
    <row r="38" customFormat="false" ht="21.75" hidden="false" customHeight="true" outlineLevel="0" collapsed="false">
      <c r="A38" s="33" t="s">
        <v>1257</v>
      </c>
      <c r="B38" s="33"/>
      <c r="C38" s="33"/>
      <c r="D38" s="33"/>
      <c r="E38" s="33"/>
      <c r="F38" s="40" t="n">
        <f aca="false">SUM(F33:F37)</f>
        <v>0</v>
      </c>
    </row>
    <row r="40" customFormat="false" ht="21.75" hidden="false" customHeight="true" outlineLevel="0" collapsed="false">
      <c r="A40" s="6" t="s">
        <v>1334</v>
      </c>
      <c r="B40" s="6"/>
      <c r="C40" s="6"/>
      <c r="D40" s="6"/>
      <c r="E40" s="6"/>
      <c r="F40" s="6"/>
    </row>
    <row r="41" customFormat="false" ht="33.75" hidden="false" customHeight="true" outlineLevel="0" collapsed="false">
      <c r="A41" s="8" t="s">
        <v>1335</v>
      </c>
      <c r="B41" s="8" t="s">
        <v>186</v>
      </c>
      <c r="C41" s="8" t="s">
        <v>1336</v>
      </c>
      <c r="D41" s="8" t="s">
        <v>1337</v>
      </c>
      <c r="E41" s="8" t="s">
        <v>1338</v>
      </c>
      <c r="F41" s="8" t="s">
        <v>1339</v>
      </c>
    </row>
    <row r="42" customFormat="false" ht="19.5" hidden="false" customHeight="true" outlineLevel="0" collapsed="false">
      <c r="A42" s="9" t="s">
        <v>1340</v>
      </c>
      <c r="B42" s="9" t="s">
        <v>34</v>
      </c>
      <c r="C42" s="41" t="n">
        <v>0.15</v>
      </c>
      <c r="D42" s="42" t="n">
        <f aca="false">F11</f>
        <v>0</v>
      </c>
      <c r="E42" s="42" t="n">
        <f aca="false">ROUND(C42*D42,2)</f>
        <v>0</v>
      </c>
      <c r="F42" s="42" t="str">
        <f aca="false">IF(D42=0,"Sin evaluar",IF(D42&gt;=13,"Aprobado","Desaprobado"))</f>
        <v>Sin evaluar</v>
      </c>
    </row>
    <row r="43" customFormat="false" ht="19.5" hidden="false" customHeight="true" outlineLevel="0" collapsed="false">
      <c r="A43" s="9" t="s">
        <v>1341</v>
      </c>
      <c r="B43" s="9" t="s">
        <v>37</v>
      </c>
      <c r="C43" s="41" t="n">
        <v>0.15</v>
      </c>
      <c r="D43" s="42" t="n">
        <f aca="false">F20</f>
        <v>0</v>
      </c>
      <c r="E43" s="42" t="n">
        <f aca="false">ROUND(C43*D43,2)</f>
        <v>0</v>
      </c>
      <c r="F43" s="42" t="str">
        <f aca="false">IF(D43=0,"Sin evaluar",IF(D43&gt;=13,"Aprobado","Desaprobado"))</f>
        <v>Sin evaluar</v>
      </c>
    </row>
    <row r="44" customFormat="false" ht="19.5" hidden="false" customHeight="true" outlineLevel="0" collapsed="false">
      <c r="A44" s="9" t="s">
        <v>1342</v>
      </c>
      <c r="B44" s="9" t="s">
        <v>40</v>
      </c>
      <c r="C44" s="41" t="n">
        <v>0.3</v>
      </c>
      <c r="D44" s="42" t="n">
        <f aca="false">F29</f>
        <v>0</v>
      </c>
      <c r="E44" s="42" t="n">
        <f aca="false">ROUND(C44*D44,2)</f>
        <v>0</v>
      </c>
      <c r="F44" s="42" t="str">
        <f aca="false">IF(D44=0,"Sin evaluar",IF(D44&gt;=13,"Aprobado","Desaprobado"))</f>
        <v>Sin evaluar</v>
      </c>
    </row>
    <row r="45" customFormat="false" ht="19.5" hidden="false" customHeight="true" outlineLevel="0" collapsed="false">
      <c r="A45" s="9" t="s">
        <v>1343</v>
      </c>
      <c r="B45" s="9" t="s">
        <v>61</v>
      </c>
      <c r="C45" s="41" t="n">
        <v>0.4</v>
      </c>
      <c r="D45" s="42" t="n">
        <f aca="false">F38</f>
        <v>0</v>
      </c>
      <c r="E45" s="42" t="n">
        <f aca="false">ROUND(C45*D45,2)</f>
        <v>0</v>
      </c>
      <c r="F45" s="42" t="str">
        <f aca="false">IF(D45=0,"Sin evaluar",IF(D45&gt;=13,"Aprobado","Desaprobado"))</f>
        <v>Sin evaluar</v>
      </c>
    </row>
    <row r="46" customFormat="false" ht="21.75" hidden="false" customHeight="true" outlineLevel="0" collapsed="false">
      <c r="A46" s="33" t="s">
        <v>1344</v>
      </c>
      <c r="B46" s="33"/>
      <c r="C46" s="34" t="n">
        <f aca="false">SUM(C42:C45)</f>
        <v>1</v>
      </c>
      <c r="D46" s="33"/>
      <c r="E46" s="35" t="n">
        <f aca="false">ROUND(SUM(E42:E45),2)</f>
        <v>0</v>
      </c>
      <c r="F46" s="35" t="str">
        <f aca="false">IF(E46=0,"Sin evaluar",IF(E46&gt;=13,"Aprobado","Desaprobado"))</f>
        <v>Sin evaluar</v>
      </c>
    </row>
    <row r="47" customFormat="false" ht="21.75" hidden="false" customHeight="true" outlineLevel="0" collapsed="false">
      <c r="A47" s="43" t="s">
        <v>1345</v>
      </c>
      <c r="B47" s="43"/>
      <c r="C47" s="43"/>
      <c r="D47" s="43"/>
      <c r="E47" s="43"/>
      <c r="F47" s="43"/>
    </row>
  </sheetData>
  <mergeCells count="12">
    <mergeCell ref="A1:F1"/>
    <mergeCell ref="A2:F2"/>
    <mergeCell ref="A4:F4"/>
    <mergeCell ref="A11:E11"/>
    <mergeCell ref="A13:F13"/>
    <mergeCell ref="A20:E20"/>
    <mergeCell ref="A22:F22"/>
    <mergeCell ref="A29:E29"/>
    <mergeCell ref="A31:F31"/>
    <mergeCell ref="A38:E38"/>
    <mergeCell ref="A40:F40"/>
    <mergeCell ref="A47:F47"/>
  </mergeCells>
  <dataValidations count="1">
    <dataValidation allowBlank="true" errorStyle="stop" operator="between" showDropDown="false" showErrorMessage="false" showInputMessage="false" sqref="F6:F10 F15:F19 F24:F28 F33:F37" type="list">
      <formula1>"4,3,2,1"</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52"/>
    <col collapsed="false" customWidth="true" hidden="false" outlineLevel="0" max="5" min="4" style="1" width="16"/>
    <col collapsed="false" customWidth="true" hidden="false" outlineLevel="0" max="6" min="6" style="1" width="26"/>
  </cols>
  <sheetData>
    <row r="1" customFormat="false" ht="30" hidden="false" customHeight="true" outlineLevel="0" collapsed="false">
      <c r="A1" s="14" t="s">
        <v>1346</v>
      </c>
      <c r="B1" s="14"/>
      <c r="C1" s="14"/>
      <c r="D1" s="14"/>
      <c r="E1" s="14"/>
      <c r="F1" s="14"/>
    </row>
    <row r="2" customFormat="false" ht="24" hidden="false" customHeight="true" outlineLevel="0" collapsed="false">
      <c r="A2" s="39" t="s">
        <v>1347</v>
      </c>
      <c r="B2" s="39"/>
      <c r="C2" s="39"/>
      <c r="D2" s="39"/>
      <c r="E2" s="39"/>
      <c r="F2" s="39"/>
    </row>
    <row r="4" customFormat="false" ht="33.75" hidden="false" customHeight="true" outlineLevel="0" collapsed="false">
      <c r="A4" s="8" t="s">
        <v>74</v>
      </c>
      <c r="B4" s="8" t="s">
        <v>1348</v>
      </c>
      <c r="C4" s="8" t="s">
        <v>1349</v>
      </c>
      <c r="D4" s="8" t="s">
        <v>1350</v>
      </c>
      <c r="E4" s="8" t="s">
        <v>1351</v>
      </c>
      <c r="F4" s="8" t="s">
        <v>1352</v>
      </c>
    </row>
    <row r="5" customFormat="false" ht="39.75" hidden="false" customHeight="true" outlineLevel="0" collapsed="false">
      <c r="A5" s="9" t="s">
        <v>81</v>
      </c>
      <c r="B5" s="9" t="s">
        <v>1353</v>
      </c>
      <c r="C5" s="9" t="s">
        <v>1354</v>
      </c>
      <c r="D5" s="23"/>
      <c r="E5" s="9" t="s">
        <v>86</v>
      </c>
      <c r="F5" s="20"/>
    </row>
    <row r="6" customFormat="false" ht="39.75" hidden="false" customHeight="true" outlineLevel="0" collapsed="false">
      <c r="A6" s="9" t="s">
        <v>88</v>
      </c>
      <c r="B6" s="9" t="s">
        <v>1355</v>
      </c>
      <c r="C6" s="9" t="s">
        <v>1356</v>
      </c>
      <c r="D6" s="23"/>
      <c r="E6" s="9" t="s">
        <v>93</v>
      </c>
      <c r="F6" s="20"/>
    </row>
    <row r="7" customFormat="false" ht="39.75" hidden="false" customHeight="true" outlineLevel="0" collapsed="false">
      <c r="A7" s="9" t="s">
        <v>95</v>
      </c>
      <c r="B7" s="9" t="s">
        <v>1357</v>
      </c>
      <c r="C7" s="9" t="s">
        <v>1358</v>
      </c>
      <c r="D7" s="23"/>
      <c r="E7" s="9" t="s">
        <v>99</v>
      </c>
      <c r="F7" s="20"/>
    </row>
    <row r="8" customFormat="false" ht="39.75" hidden="false" customHeight="true" outlineLevel="0" collapsed="false">
      <c r="A8" s="9" t="s">
        <v>101</v>
      </c>
      <c r="B8" s="9" t="s">
        <v>1359</v>
      </c>
      <c r="C8" s="9" t="s">
        <v>1360</v>
      </c>
      <c r="D8" s="23"/>
      <c r="E8" s="9" t="s">
        <v>1361</v>
      </c>
      <c r="F8" s="20"/>
    </row>
    <row r="9" customFormat="false" ht="39.75" hidden="false" customHeight="true" outlineLevel="0" collapsed="false">
      <c r="A9" s="9" t="s">
        <v>106</v>
      </c>
      <c r="B9" s="9" t="s">
        <v>1362</v>
      </c>
      <c r="C9" s="9" t="s">
        <v>1363</v>
      </c>
      <c r="D9" s="23"/>
      <c r="E9" s="9" t="s">
        <v>109</v>
      </c>
      <c r="F9" s="20"/>
    </row>
    <row r="10" customFormat="false" ht="39.75" hidden="false" customHeight="true" outlineLevel="0" collapsed="false">
      <c r="A10" s="9" t="s">
        <v>111</v>
      </c>
      <c r="B10" s="9" t="s">
        <v>1364</v>
      </c>
      <c r="C10" s="9" t="s">
        <v>1365</v>
      </c>
      <c r="D10" s="23"/>
      <c r="E10" s="9" t="s">
        <v>114</v>
      </c>
      <c r="F10" s="20"/>
    </row>
    <row r="11" customFormat="false" ht="39.75" hidden="false" customHeight="true" outlineLevel="0" collapsed="false">
      <c r="A11" s="9" t="s">
        <v>116</v>
      </c>
      <c r="B11" s="9" t="s">
        <v>1366</v>
      </c>
      <c r="C11" s="9" t="s">
        <v>1367</v>
      </c>
      <c r="D11" s="23"/>
      <c r="E11" s="9" t="s">
        <v>119</v>
      </c>
      <c r="F11" s="20"/>
    </row>
    <row r="12" customFormat="false" ht="39.75" hidden="false" customHeight="true" outlineLevel="0" collapsed="false">
      <c r="A12" s="9" t="s">
        <v>120</v>
      </c>
      <c r="B12" s="9" t="s">
        <v>1197</v>
      </c>
      <c r="C12" s="9" t="s">
        <v>1368</v>
      </c>
      <c r="D12" s="23"/>
      <c r="E12" s="9" t="s">
        <v>123</v>
      </c>
      <c r="F12" s="20"/>
    </row>
    <row r="13" customFormat="false" ht="39.75" hidden="false" customHeight="true" outlineLevel="0" collapsed="false">
      <c r="A13" s="9" t="s">
        <v>125</v>
      </c>
      <c r="B13" s="9" t="s">
        <v>1369</v>
      </c>
      <c r="C13" s="9" t="s">
        <v>1370</v>
      </c>
      <c r="D13" s="23"/>
      <c r="E13" s="9" t="s">
        <v>128</v>
      </c>
      <c r="F13" s="20"/>
    </row>
    <row r="14" customFormat="false" ht="39.75" hidden="false" customHeight="true" outlineLevel="0" collapsed="false">
      <c r="A14" s="9" t="s">
        <v>130</v>
      </c>
      <c r="B14" s="9" t="s">
        <v>1371</v>
      </c>
      <c r="C14" s="9" t="s">
        <v>1372</v>
      </c>
      <c r="D14" s="23"/>
      <c r="E14" s="9" t="s">
        <v>133</v>
      </c>
      <c r="F14" s="20"/>
    </row>
    <row r="15" customFormat="false" ht="39.75" hidden="false" customHeight="true" outlineLevel="0" collapsed="false">
      <c r="A15" s="9" t="s">
        <v>134</v>
      </c>
      <c r="B15" s="9" t="s">
        <v>1373</v>
      </c>
      <c r="C15" s="9" t="s">
        <v>1374</v>
      </c>
      <c r="D15" s="23"/>
      <c r="E15" s="9" t="s">
        <v>137</v>
      </c>
      <c r="F15" s="20"/>
    </row>
    <row r="16" customFormat="false" ht="39.75" hidden="false" customHeight="true" outlineLevel="0" collapsed="false">
      <c r="A16" s="9" t="s">
        <v>139</v>
      </c>
      <c r="B16" s="9" t="s">
        <v>1375</v>
      </c>
      <c r="C16" s="9" t="s">
        <v>1376</v>
      </c>
      <c r="D16" s="23"/>
      <c r="E16" s="9" t="s">
        <v>142</v>
      </c>
      <c r="F16" s="20"/>
    </row>
    <row r="17" customFormat="false" ht="39.75" hidden="false" customHeight="true" outlineLevel="0" collapsed="false">
      <c r="A17" s="9" t="s">
        <v>143</v>
      </c>
      <c r="B17" s="9" t="s">
        <v>1377</v>
      </c>
      <c r="C17" s="9" t="s">
        <v>1378</v>
      </c>
      <c r="D17" s="23"/>
      <c r="E17" s="9" t="s">
        <v>147</v>
      </c>
      <c r="F17" s="20"/>
    </row>
    <row r="18" customFormat="false" ht="39.75" hidden="false" customHeight="true" outlineLevel="0" collapsed="false">
      <c r="A18" s="9" t="s">
        <v>149</v>
      </c>
      <c r="B18" s="9" t="s">
        <v>1379</v>
      </c>
      <c r="C18" s="9" t="s">
        <v>1380</v>
      </c>
      <c r="D18" s="23"/>
      <c r="E18" s="9" t="s">
        <v>147</v>
      </c>
      <c r="F18" s="20"/>
    </row>
    <row r="19" customFormat="false" ht="39.75" hidden="false" customHeight="true" outlineLevel="0" collapsed="false">
      <c r="A19" s="9" t="s">
        <v>91</v>
      </c>
      <c r="B19" s="9" t="s">
        <v>1381</v>
      </c>
      <c r="C19" s="9" t="s">
        <v>1382</v>
      </c>
      <c r="D19" s="23"/>
      <c r="E19" s="9" t="s">
        <v>147</v>
      </c>
      <c r="F19" s="20"/>
    </row>
    <row r="20" customFormat="false" ht="39.75" hidden="false" customHeight="true" outlineLevel="0" collapsed="false">
      <c r="A20" s="9" t="s">
        <v>91</v>
      </c>
      <c r="B20" s="9" t="s">
        <v>1383</v>
      </c>
      <c r="C20" s="9" t="s">
        <v>1384</v>
      </c>
      <c r="D20" s="23"/>
      <c r="E20" s="9" t="s">
        <v>147</v>
      </c>
      <c r="F20" s="20"/>
    </row>
    <row r="21" customFormat="false" ht="24" hidden="false" customHeight="true" outlineLevel="0" collapsed="false">
      <c r="A21" s="33"/>
      <c r="B21" s="33" t="s">
        <v>1385</v>
      </c>
      <c r="C21" s="33" t="s">
        <v>1386</v>
      </c>
      <c r="D21" s="44" t="n">
        <f aca="false">ROUND(COUNTIF(D5:D20,"Sí")/16,4)</f>
        <v>0</v>
      </c>
      <c r="E21" s="33"/>
      <c r="F21" s="33"/>
    </row>
  </sheetData>
  <mergeCells count="2">
    <mergeCell ref="A1:F1"/>
    <mergeCell ref="A2:F2"/>
  </mergeCells>
  <dataValidations count="1">
    <dataValidation allowBlank="true" errorStyle="stop" operator="between" showDropDown="false" showErrorMessage="false" showInputMessage="false" sqref="D5:D20" type="list">
      <formula1>"Sí,No,En revisión"</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2026-08-19T13:58:35Z</dcterms:created>
  <dc:creator>openpyxl</dc:creator>
  <dc:description/>
  <dc:language>en-US</dc:language>
  <cp:lastModifiedBy/>
  <dcterms:modified xsi:type="dcterms:W3CDTF">2026-08-19T14:09:45Z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