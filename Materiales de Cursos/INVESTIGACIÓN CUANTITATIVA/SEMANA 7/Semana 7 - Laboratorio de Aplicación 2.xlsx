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IODO 2026 II\CURSOS MKT 2026 II\INVESTIGACIÓN CUANTITATIVA\SEMANA 7\"/>
    </mc:Choice>
  </mc:AlternateContent>
  <xr:revisionPtr revIDLastSave="0" documentId="13_ncr:1_{7A8520E5-EDBE-4D08-8723-D52BF9B34442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Inicio" sheetId="1" r:id="rId1"/>
    <sheet name="1. Proporción" sheetId="2" r:id="rId2"/>
    <sheet name="2. Media" sheetId="3" r:id="rId3"/>
    <sheet name="3. Sistemático" sheetId="4" r:id="rId4"/>
    <sheet name="4. Estratific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2" l="1"/>
  <c r="C17" i="2"/>
  <c r="C16" i="2"/>
  <c r="C13" i="5"/>
  <c r="D10" i="5" s="1"/>
  <c r="E10" i="5" s="1"/>
  <c r="D12" i="5"/>
  <c r="E12" i="5" s="1"/>
  <c r="C9" i="4"/>
  <c r="C22" i="4" s="1"/>
  <c r="C15" i="3"/>
  <c r="C16" i="3" s="1"/>
  <c r="C17" i="3" s="1"/>
  <c r="C11" i="2"/>
  <c r="C7" i="1"/>
  <c r="D9" i="5" l="1"/>
  <c r="C11" i="4"/>
  <c r="C15" i="4"/>
  <c r="D11" i="5"/>
  <c r="E11" i="5" s="1"/>
  <c r="C20" i="4"/>
  <c r="C16" i="4"/>
  <c r="C17" i="4"/>
  <c r="C18" i="4"/>
  <c r="C19" i="4"/>
  <c r="C21" i="4"/>
  <c r="D13" i="5" l="1"/>
  <c r="E9" i="5"/>
  <c r="E13" i="5" s="1"/>
</calcChain>
</file>

<file path=xl/sharedStrings.xml><?xml version="1.0" encoding="utf-8"?>
<sst xmlns="http://schemas.openxmlformats.org/spreadsheetml/2006/main" count="113" uniqueCount="93">
  <si>
    <t>Diseño muestral — Casos prácticos</t>
  </si>
  <si>
    <t>Investigación Cuantitativa · completa únicamente las celdas amarillas</t>
  </si>
  <si>
    <t>Cómo usar este archivo</t>
  </si>
  <si>
    <t>Celda para completar (la llenas tú)</t>
  </si>
  <si>
    <t>ejemplo</t>
  </si>
  <si>
    <t>Resultado calculado automáticamente</t>
  </si>
  <si>
    <t>Cada hoja es un caso. Cambia los valores amarillos y el resultado se recalcula solo.</t>
  </si>
  <si>
    <t>Las 4 decisiones del diseño muestral</t>
  </si>
  <si>
    <t>1. ¿A quiénes?  Definir la población objetivo.</t>
  </si>
  <si>
    <t>2. ¿Cuántos?  Calcular el tamaño de muestra.</t>
  </si>
  <si>
    <t>3. ¿Cómo?  Elegir la técnica de muestreo.</t>
  </si>
  <si>
    <t>4. ¿Dónde y cómo?  Definir la captación de encuestados.</t>
  </si>
  <si>
    <t>Valor de Z según el nivel de confianza</t>
  </si>
  <si>
    <t>Nivel de confianza</t>
  </si>
  <si>
    <t>Valor de Z</t>
  </si>
  <si>
    <t>90%</t>
  </si>
  <si>
    <t>95%</t>
  </si>
  <si>
    <t>99%</t>
  </si>
  <si>
    <t>Fórmulas de referencia</t>
  </si>
  <si>
    <t>Tamaño para proporción:   n = (Z² × p × q) / E²</t>
  </si>
  <si>
    <t>Tamaño para media:   n = (Z² × σ²) / E²</t>
  </si>
  <si>
    <t>Corrección por población finita:   n = n₀ / (1 + (n₀ − 1) / N)</t>
  </si>
  <si>
    <t>Muestreo sistemático:   k = N / n</t>
  </si>
  <si>
    <t>Muestreo estratificado:   nh = n × (Nh / N)</t>
  </si>
  <si>
    <t>Caso 1 · Tamaño de muestra para una proporción</t>
  </si>
  <si>
    <t>FreshUp quiere estimar el % de consumidores que comprarían su nueva bebida.</t>
  </si>
  <si>
    <t>Población ≈ 10 000. Confianza 95%, margen de error 5%, proporción esperada desconocida.</t>
  </si>
  <si>
    <t>Datos (completa lo amarillo)</t>
  </si>
  <si>
    <t>Parámetro</t>
  </si>
  <si>
    <t>Valor</t>
  </si>
  <si>
    <t>Nota</t>
  </si>
  <si>
    <t>Nivel de confianza (%)</t>
  </si>
  <si>
    <t>escribe 90, 95 o 99</t>
  </si>
  <si>
    <t>Valor Z</t>
  </si>
  <si>
    <t>según la tabla de Z (hoja Inicio)</t>
  </si>
  <si>
    <t>Proporción esperada  p</t>
  </si>
  <si>
    <t>si no la conoces, usa 0.50</t>
  </si>
  <si>
    <t>Proporción  q = 1 − p</t>
  </si>
  <si>
    <t>se calcula solo</t>
  </si>
  <si>
    <t>Margen de error  E</t>
  </si>
  <si>
    <t>en decimal: 5% = 0.05</t>
  </si>
  <si>
    <t>Tamaño de población  N</t>
  </si>
  <si>
    <t>si es enorme o desconocida, déjala vacía</t>
  </si>
  <si>
    <t>Resultado</t>
  </si>
  <si>
    <t>n inicial (población infinita)</t>
  </si>
  <si>
    <t>n ajustado (población finita)</t>
  </si>
  <si>
    <t>Tamaño de muestra final</t>
  </si>
  <si>
    <t>encuestas a realizar</t>
  </si>
  <si>
    <t>¿Por qué p = 0.50? Maximiza el tamaño de muestra; es la opción más conservadora cuando no conoces la proporción.</t>
  </si>
  <si>
    <t>Caso 2 · Tamaño de muestra para una media</t>
  </si>
  <si>
    <t>FreshUp quiere estimar el gasto promedio mensual de sus clientes en bebidas.</t>
  </si>
  <si>
    <t>Confianza 95%, desviación estándar estimada S/ 80, margen de error S/ 10. Población ≈ 5 000.</t>
  </si>
  <si>
    <t>Desviación estándar  σ</t>
  </si>
  <si>
    <t>de un estudio previo o prueba piloto</t>
  </si>
  <si>
    <t>en las mismas unidades que la variable</t>
  </si>
  <si>
    <t>Aquí usamos la varianza (σ²) en lugar de p × q, porque estimamos un promedio y no un porcentaje.</t>
  </si>
  <si>
    <t>Caso 3 · Muestreo sistemático</t>
  </si>
  <si>
    <t>Una tienda recibe ≈ 2 000 clientes en el periodo y se desea encuestar a 200.</t>
  </si>
  <si>
    <t>Población  N</t>
  </si>
  <si>
    <t>Muestra deseada  n</t>
  </si>
  <si>
    <t>Intervalo  k = N / n</t>
  </si>
  <si>
    <t>se redondea hacia abajo</t>
  </si>
  <si>
    <t>Punto de inicio (entre 1 y k)</t>
  </si>
  <si>
    <t>elige un número al azar ≤ k</t>
  </si>
  <si>
    <t>Verificación del inicio</t>
  </si>
  <si>
    <t>Secuencia de selección (primeros 8 encuestados)</t>
  </si>
  <si>
    <t>Orden</t>
  </si>
  <si>
    <t>Cliente n.º</t>
  </si>
  <si>
    <t>1.º seleccionado</t>
  </si>
  <si>
    <t>2.º seleccionado</t>
  </si>
  <si>
    <t>3.º seleccionado</t>
  </si>
  <si>
    <t>4.º seleccionado</t>
  </si>
  <si>
    <t>5.º seleccionado</t>
  </si>
  <si>
    <t>6.º seleccionado</t>
  </si>
  <si>
    <t>7.º seleccionado</t>
  </si>
  <si>
    <t>8.º seleccionado</t>
  </si>
  <si>
    <t>Regla: la lista no debe tener un patrón que coincida con k (riesgo de periodicidad).</t>
  </si>
  <si>
    <t>Caso 4 · Muestreo estratificado proporcional</t>
  </si>
  <si>
    <t>Se estudia el consumo por grupos de edad y se requiere una muestra proporcional al tamaño de cada grupo.</t>
  </si>
  <si>
    <t>Muestra total deseada  n</t>
  </si>
  <si>
    <t>puede venir del Caso 1</t>
  </si>
  <si>
    <t>Reparto por estrato (completa la columna amarilla)</t>
  </si>
  <si>
    <t>Estrato (edad)</t>
  </si>
  <si>
    <t>Tamaño del estrato (Nh)</t>
  </si>
  <si>
    <t>Proporción</t>
  </si>
  <si>
    <t>Muestra (nh)</t>
  </si>
  <si>
    <t>18 – 25 años</t>
  </si>
  <si>
    <t>26 – 35 años</t>
  </si>
  <si>
    <t>36 – 45 años</t>
  </si>
  <si>
    <t>46 años a más</t>
  </si>
  <si>
    <t>Total</t>
  </si>
  <si>
    <t>Los estratos deben ser mutuamente excluyentes y colectivamente exhaustivos.</t>
  </si>
  <si>
    <t>Si por redondeo la suma de nh difiere del n deseado, ajusta el estrato más grande en ±1.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</si>
</sst>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 &quot;#,##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5"/>
      <color rgb="FF6A4C63"/>
      <name val="Arial"/>
      <family val="2"/>
    </font>
    <font>
      <sz val="10"/>
      <color rgb="FF8A8A8A"/>
      <name val="Arial"/>
      <family val="2"/>
    </font>
    <font>
      <b/>
      <sz val="11"/>
      <color rgb="FF6A4C63"/>
      <name val="Arial"/>
      <family val="2"/>
    </font>
    <font>
      <sz val="10"/>
      <color rgb="FF3A3A3A"/>
      <name val="Arial"/>
      <family val="2"/>
    </font>
    <font>
      <b/>
      <sz val="10"/>
      <color rgb="FF3A3A3A"/>
      <name val="Arial"/>
      <family val="2"/>
    </font>
    <font>
      <sz val="9"/>
      <color rgb="FF8A8A8A"/>
      <name val="Arial"/>
      <family val="2"/>
    </font>
    <font>
      <b/>
      <sz val="16"/>
      <color rgb="FF6A4C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EBF2"/>
        <bgColor rgb="FFF3F3F3"/>
      </patternFill>
    </fill>
    <fill>
      <patternFill patternType="solid">
        <fgColor rgb="FFFFE699"/>
        <bgColor rgb="FFFFCC99"/>
      </patternFill>
    </fill>
    <fill>
      <patternFill patternType="solid">
        <fgColor rgb="FFF3F3F3"/>
        <bgColor rgb="FFF0EBF2"/>
      </patternFill>
    </fill>
  </fills>
  <borders count="3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 style="thin">
        <color rgb="FFC7A008"/>
      </left>
      <right style="thin">
        <color rgb="FFC7A008"/>
      </right>
      <top style="thin">
        <color rgb="FFC7A008"/>
      </top>
      <bottom style="thin">
        <color rgb="FFC7A00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4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0EBF2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7A008"/>
      <rgbColor rgb="FFFF6600"/>
      <rgbColor rgb="FF6A4C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27"/>
  <sheetViews>
    <sheetView showGridLines="0" topLeftCell="A12" zoomScaleNormal="100" workbookViewId="0">
      <selection activeCell="B13" sqref="B13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16" customWidth="1"/>
    <col min="4" max="4" width="30" customWidth="1"/>
  </cols>
  <sheetData>
    <row r="2" spans="2:4" ht="19.2" x14ac:dyDescent="0.3">
      <c r="B2" s="1" t="s">
        <v>0</v>
      </c>
    </row>
    <row r="3" spans="2:4" x14ac:dyDescent="0.3">
      <c r="B3" s="2" t="s">
        <v>1</v>
      </c>
    </row>
    <row r="5" spans="2:4" x14ac:dyDescent="0.3">
      <c r="B5" s="3" t="s">
        <v>2</v>
      </c>
      <c r="C5" s="4"/>
      <c r="D5" s="4"/>
    </row>
    <row r="6" spans="2:4" x14ac:dyDescent="0.3">
      <c r="B6" s="5" t="s">
        <v>3</v>
      </c>
      <c r="C6" s="6" t="s">
        <v>4</v>
      </c>
    </row>
    <row r="7" spans="2:4" x14ac:dyDescent="0.3">
      <c r="B7" s="5" t="s">
        <v>5</v>
      </c>
      <c r="C7" s="7">
        <f>1</f>
        <v>1</v>
      </c>
    </row>
    <row r="8" spans="2:4" x14ac:dyDescent="0.3">
      <c r="B8" s="8" t="s">
        <v>6</v>
      </c>
    </row>
    <row r="10" spans="2:4" x14ac:dyDescent="0.3">
      <c r="B10" s="3" t="s">
        <v>7</v>
      </c>
      <c r="C10" s="4"/>
      <c r="D10" s="4"/>
    </row>
    <row r="11" spans="2:4" x14ac:dyDescent="0.3">
      <c r="B11" s="5" t="s">
        <v>8</v>
      </c>
    </row>
    <row r="12" spans="2:4" x14ac:dyDescent="0.3">
      <c r="B12" s="5" t="s">
        <v>9</v>
      </c>
    </row>
    <row r="13" spans="2:4" x14ac:dyDescent="0.3">
      <c r="B13" s="5" t="s">
        <v>10</v>
      </c>
    </row>
    <row r="14" spans="2:4" x14ac:dyDescent="0.3">
      <c r="B14" s="5" t="s">
        <v>11</v>
      </c>
    </row>
    <row r="16" spans="2:4" x14ac:dyDescent="0.3">
      <c r="B16" s="3" t="s">
        <v>12</v>
      </c>
      <c r="C16" s="4"/>
      <c r="D16" s="4"/>
    </row>
    <row r="17" spans="2:4" x14ac:dyDescent="0.3">
      <c r="B17" s="9" t="s">
        <v>13</v>
      </c>
      <c r="C17" s="9" t="s">
        <v>14</v>
      </c>
    </row>
    <row r="18" spans="2:4" x14ac:dyDescent="0.3">
      <c r="B18" s="10" t="s">
        <v>15</v>
      </c>
      <c r="C18" s="11">
        <v>1.645</v>
      </c>
    </row>
    <row r="19" spans="2:4" x14ac:dyDescent="0.3">
      <c r="B19" s="10" t="s">
        <v>16</v>
      </c>
      <c r="C19" s="11">
        <v>1.96</v>
      </c>
    </row>
    <row r="20" spans="2:4" x14ac:dyDescent="0.3">
      <c r="B20" s="10" t="s">
        <v>17</v>
      </c>
      <c r="C20" s="11">
        <v>2.5760000000000001</v>
      </c>
    </row>
    <row r="22" spans="2:4" x14ac:dyDescent="0.3">
      <c r="B22" s="3" t="s">
        <v>18</v>
      </c>
      <c r="C22" s="4"/>
      <c r="D22" s="4"/>
    </row>
    <row r="23" spans="2:4" x14ac:dyDescent="0.3">
      <c r="B23" s="5" t="s">
        <v>19</v>
      </c>
    </row>
    <row r="24" spans="2:4" x14ac:dyDescent="0.3">
      <c r="B24" s="5" t="s">
        <v>20</v>
      </c>
    </row>
    <row r="25" spans="2:4" x14ac:dyDescent="0.3">
      <c r="B25" s="5" t="s">
        <v>21</v>
      </c>
    </row>
    <row r="26" spans="2:4" x14ac:dyDescent="0.3">
      <c r="B26" s="5" t="s">
        <v>22</v>
      </c>
    </row>
    <row r="27" spans="2:4" x14ac:dyDescent="0.3">
      <c r="B27" s="5" t="s">
        <v>23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D20"/>
  <sheetViews>
    <sheetView showGridLines="0" zoomScaleNormal="100" workbookViewId="0">
      <selection activeCell="D26" sqref="D26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16" customWidth="1"/>
    <col min="4" max="4" width="34" customWidth="1"/>
  </cols>
  <sheetData>
    <row r="2" spans="2:4" ht="19.2" x14ac:dyDescent="0.3">
      <c r="B2" s="1" t="s">
        <v>24</v>
      </c>
    </row>
    <row r="3" spans="2:4" x14ac:dyDescent="0.3">
      <c r="B3" s="5" t="s">
        <v>25</v>
      </c>
    </row>
    <row r="4" spans="2:4" x14ac:dyDescent="0.3">
      <c r="B4" s="5" t="s">
        <v>26</v>
      </c>
    </row>
    <row r="6" spans="2:4" x14ac:dyDescent="0.3">
      <c r="B6" s="3" t="s">
        <v>27</v>
      </c>
      <c r="C6" s="4"/>
      <c r="D6" s="4"/>
    </row>
    <row r="7" spans="2:4" x14ac:dyDescent="0.3">
      <c r="B7" s="9" t="s">
        <v>28</v>
      </c>
      <c r="C7" s="9" t="s">
        <v>29</v>
      </c>
      <c r="D7" s="9" t="s">
        <v>30</v>
      </c>
    </row>
    <row r="8" spans="2:4" x14ac:dyDescent="0.3">
      <c r="B8" s="5" t="s">
        <v>31</v>
      </c>
      <c r="C8" s="6"/>
      <c r="D8" s="8" t="s">
        <v>32</v>
      </c>
    </row>
    <row r="9" spans="2:4" x14ac:dyDescent="0.3">
      <c r="B9" s="5" t="s">
        <v>33</v>
      </c>
      <c r="C9" s="12"/>
      <c r="D9" s="8" t="s">
        <v>34</v>
      </c>
    </row>
    <row r="10" spans="2:4" x14ac:dyDescent="0.3">
      <c r="B10" s="5" t="s">
        <v>35</v>
      </c>
      <c r="C10" s="12"/>
      <c r="D10" s="8" t="s">
        <v>36</v>
      </c>
    </row>
    <row r="11" spans="2:4" x14ac:dyDescent="0.3">
      <c r="B11" s="5" t="s">
        <v>37</v>
      </c>
      <c r="C11" s="13">
        <f>1-C10</f>
        <v>1</v>
      </c>
      <c r="D11" s="8" t="s">
        <v>38</v>
      </c>
    </row>
    <row r="12" spans="2:4" x14ac:dyDescent="0.3">
      <c r="B12" s="5" t="s">
        <v>39</v>
      </c>
      <c r="C12" s="12"/>
      <c r="D12" s="8" t="s">
        <v>40</v>
      </c>
    </row>
    <row r="13" spans="2:4" x14ac:dyDescent="0.3">
      <c r="B13" s="5" t="s">
        <v>41</v>
      </c>
      <c r="C13" s="14"/>
      <c r="D13" s="8" t="s">
        <v>42</v>
      </c>
    </row>
    <row r="15" spans="2:4" x14ac:dyDescent="0.3">
      <c r="B15" s="3" t="s">
        <v>43</v>
      </c>
      <c r="C15" s="4"/>
      <c r="D15" s="4"/>
    </row>
    <row r="16" spans="2:4" x14ac:dyDescent="0.3">
      <c r="B16" s="5" t="s">
        <v>44</v>
      </c>
      <c r="C16" s="13" t="e">
        <f>(C9^2*C10*C11)/C12^2</f>
        <v>#DIV/0!</v>
      </c>
    </row>
    <row r="17" spans="2:4" x14ac:dyDescent="0.3">
      <c r="B17" s="5" t="s">
        <v>45</v>
      </c>
      <c r="C17" s="13" t="e">
        <f>IF(OR(C13="",C13=0),C16,C16/(1+(C16-1)/C13))</f>
        <v>#DIV/0!</v>
      </c>
    </row>
    <row r="18" spans="2:4" ht="21" x14ac:dyDescent="0.3">
      <c r="B18" s="5" t="s">
        <v>46</v>
      </c>
      <c r="C18" s="15" t="e">
        <f>ROUNDUP(C17,0)</f>
        <v>#DIV/0!</v>
      </c>
      <c r="D18" s="8" t="s">
        <v>47</v>
      </c>
    </row>
    <row r="20" spans="2:4" x14ac:dyDescent="0.3">
      <c r="B20" s="8" t="s">
        <v>48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D19"/>
  <sheetViews>
    <sheetView showGridLines="0" zoomScaleNormal="100" workbookViewId="0">
      <selection activeCell="C10" sqref="C10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16" customWidth="1"/>
    <col min="4" max="4" width="34" customWidth="1"/>
  </cols>
  <sheetData>
    <row r="2" spans="2:4" ht="19.2" x14ac:dyDescent="0.3">
      <c r="B2" s="1" t="s">
        <v>49</v>
      </c>
    </row>
    <row r="3" spans="2:4" x14ac:dyDescent="0.3">
      <c r="B3" s="5" t="s">
        <v>50</v>
      </c>
    </row>
    <row r="4" spans="2:4" x14ac:dyDescent="0.3">
      <c r="B4" s="5" t="s">
        <v>51</v>
      </c>
    </row>
    <row r="6" spans="2:4" x14ac:dyDescent="0.3">
      <c r="B6" s="3" t="s">
        <v>27</v>
      </c>
      <c r="C6" s="4"/>
      <c r="D6" s="4"/>
    </row>
    <row r="7" spans="2:4" x14ac:dyDescent="0.3">
      <c r="B7" s="9" t="s">
        <v>28</v>
      </c>
      <c r="C7" s="9" t="s">
        <v>29</v>
      </c>
      <c r="D7" s="9" t="s">
        <v>30</v>
      </c>
    </row>
    <row r="8" spans="2:4" x14ac:dyDescent="0.3">
      <c r="B8" s="5" t="s">
        <v>31</v>
      </c>
      <c r="C8" s="6"/>
      <c r="D8" s="8" t="s">
        <v>32</v>
      </c>
    </row>
    <row r="9" spans="2:4" x14ac:dyDescent="0.3">
      <c r="B9" s="5" t="s">
        <v>33</v>
      </c>
      <c r="C9" s="12"/>
      <c r="D9" s="8" t="s">
        <v>34</v>
      </c>
    </row>
    <row r="10" spans="2:4" x14ac:dyDescent="0.3">
      <c r="B10" s="5" t="s">
        <v>52</v>
      </c>
      <c r="C10" s="16"/>
      <c r="D10" s="8" t="s">
        <v>53</v>
      </c>
    </row>
    <row r="11" spans="2:4" x14ac:dyDescent="0.3">
      <c r="B11" s="5" t="s">
        <v>39</v>
      </c>
      <c r="C11" s="16"/>
      <c r="D11" s="8" t="s">
        <v>54</v>
      </c>
    </row>
    <row r="12" spans="2:4" x14ac:dyDescent="0.3">
      <c r="B12" s="5" t="s">
        <v>41</v>
      </c>
      <c r="C12" s="14"/>
      <c r="D12" s="8" t="s">
        <v>42</v>
      </c>
    </row>
    <row r="14" spans="2:4" x14ac:dyDescent="0.3">
      <c r="B14" s="3" t="s">
        <v>43</v>
      </c>
      <c r="C14" s="4"/>
      <c r="D14" s="4"/>
    </row>
    <row r="15" spans="2:4" x14ac:dyDescent="0.3">
      <c r="B15" s="5" t="s">
        <v>44</v>
      </c>
      <c r="C15" s="13" t="e">
        <f>(C9^2*C10^2)/C11^2</f>
        <v>#DIV/0!</v>
      </c>
    </row>
    <row r="16" spans="2:4" x14ac:dyDescent="0.3">
      <c r="B16" s="5" t="s">
        <v>45</v>
      </c>
      <c r="C16" s="13" t="e">
        <f>IF(OR(C12="",C12=0),C15,C15/(1+(C15-1)/C12))</f>
        <v>#DIV/0!</v>
      </c>
    </row>
    <row r="17" spans="2:4" ht="21" x14ac:dyDescent="0.3">
      <c r="B17" s="5" t="s">
        <v>46</v>
      </c>
      <c r="C17" s="15" t="e">
        <f>ROUNDUP(C16,0)</f>
        <v>#DIV/0!</v>
      </c>
      <c r="D17" s="8" t="s">
        <v>47</v>
      </c>
    </row>
    <row r="19" spans="2:4" x14ac:dyDescent="0.3">
      <c r="B19" s="8" t="s">
        <v>55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D24"/>
  <sheetViews>
    <sheetView showGridLines="0" zoomScaleNormal="100" workbookViewId="0">
      <selection activeCell="C11" sqref="C11"/>
    </sheetView>
  </sheetViews>
  <sheetFormatPr baseColWidth="10" defaultColWidth="8.6640625" defaultRowHeight="14.4" x14ac:dyDescent="0.3"/>
  <cols>
    <col min="1" max="1" width="2.44140625" customWidth="1"/>
    <col min="2" max="2" width="40" customWidth="1"/>
    <col min="3" max="3" width="16" customWidth="1"/>
    <col min="4" max="4" width="34" customWidth="1"/>
  </cols>
  <sheetData>
    <row r="2" spans="2:4" ht="19.2" x14ac:dyDescent="0.3">
      <c r="B2" s="1" t="s">
        <v>56</v>
      </c>
    </row>
    <row r="3" spans="2:4" x14ac:dyDescent="0.3">
      <c r="B3" s="5" t="s">
        <v>57</v>
      </c>
    </row>
    <row r="5" spans="2:4" x14ac:dyDescent="0.3">
      <c r="B5" s="3" t="s">
        <v>27</v>
      </c>
      <c r="C5" s="4"/>
      <c r="D5" s="4"/>
    </row>
    <row r="6" spans="2:4" x14ac:dyDescent="0.3">
      <c r="B6" s="9" t="s">
        <v>28</v>
      </c>
      <c r="C6" s="9" t="s">
        <v>29</v>
      </c>
      <c r="D6" s="9" t="s">
        <v>30</v>
      </c>
    </row>
    <row r="7" spans="2:4" x14ac:dyDescent="0.3">
      <c r="B7" s="5" t="s">
        <v>58</v>
      </c>
      <c r="C7" s="14"/>
    </row>
    <row r="8" spans="2:4" x14ac:dyDescent="0.3">
      <c r="B8" s="5" t="s">
        <v>59</v>
      </c>
      <c r="C8" s="14"/>
    </row>
    <row r="9" spans="2:4" x14ac:dyDescent="0.3">
      <c r="B9" s="5" t="s">
        <v>60</v>
      </c>
      <c r="C9" s="17" t="e">
        <f>INT(C7/C8)</f>
        <v>#DIV/0!</v>
      </c>
      <c r="D9" s="8" t="s">
        <v>61</v>
      </c>
    </row>
    <row r="10" spans="2:4" x14ac:dyDescent="0.3">
      <c r="B10" s="5" t="s">
        <v>62</v>
      </c>
      <c r="C10" s="14"/>
      <c r="D10" s="8" t="s">
        <v>63</v>
      </c>
    </row>
    <row r="11" spans="2:4" x14ac:dyDescent="0.3">
      <c r="B11" s="5" t="s">
        <v>64</v>
      </c>
      <c r="C11" s="7" t="e">
        <f>IF(C10&gt;C9,"El inicio debe ser ≤ k","Correcto")</f>
        <v>#DIV/0!</v>
      </c>
    </row>
    <row r="13" spans="2:4" x14ac:dyDescent="0.3">
      <c r="B13" s="3" t="s">
        <v>65</v>
      </c>
      <c r="C13" s="4"/>
      <c r="D13" s="4"/>
    </row>
    <row r="14" spans="2:4" x14ac:dyDescent="0.3">
      <c r="B14" s="9" t="s">
        <v>66</v>
      </c>
      <c r="C14" s="9" t="s">
        <v>67</v>
      </c>
    </row>
    <row r="15" spans="2:4" x14ac:dyDescent="0.3">
      <c r="B15" s="5" t="s">
        <v>68</v>
      </c>
      <c r="C15" s="17" t="e">
        <f>$C$10+0*$C$9</f>
        <v>#DIV/0!</v>
      </c>
    </row>
    <row r="16" spans="2:4" x14ac:dyDescent="0.3">
      <c r="B16" s="5" t="s">
        <v>69</v>
      </c>
      <c r="C16" s="17" t="e">
        <f>$C$10+1*$C$9</f>
        <v>#DIV/0!</v>
      </c>
    </row>
    <row r="17" spans="2:3" x14ac:dyDescent="0.3">
      <c r="B17" s="5" t="s">
        <v>70</v>
      </c>
      <c r="C17" s="17" t="e">
        <f>$C$10+2*$C$9</f>
        <v>#DIV/0!</v>
      </c>
    </row>
    <row r="18" spans="2:3" x14ac:dyDescent="0.3">
      <c r="B18" s="5" t="s">
        <v>71</v>
      </c>
      <c r="C18" s="17" t="e">
        <f>$C$10+3*$C$9</f>
        <v>#DIV/0!</v>
      </c>
    </row>
    <row r="19" spans="2:3" x14ac:dyDescent="0.3">
      <c r="B19" s="5" t="s">
        <v>72</v>
      </c>
      <c r="C19" s="17" t="e">
        <f>$C$10+4*$C$9</f>
        <v>#DIV/0!</v>
      </c>
    </row>
    <row r="20" spans="2:3" x14ac:dyDescent="0.3">
      <c r="B20" s="5" t="s">
        <v>73</v>
      </c>
      <c r="C20" s="17" t="e">
        <f>$C$10+5*$C$9</f>
        <v>#DIV/0!</v>
      </c>
    </row>
    <row r="21" spans="2:3" x14ac:dyDescent="0.3">
      <c r="B21" s="5" t="s">
        <v>74</v>
      </c>
      <c r="C21" s="17" t="e">
        <f>$C$10+6*$C$9</f>
        <v>#DIV/0!</v>
      </c>
    </row>
    <row r="22" spans="2:3" x14ac:dyDescent="0.3">
      <c r="B22" s="5" t="s">
        <v>75</v>
      </c>
      <c r="C22" s="17" t="e">
        <f>$C$10+7*$C$9</f>
        <v>#DIV/0!</v>
      </c>
    </row>
    <row r="24" spans="2:3" x14ac:dyDescent="0.3">
      <c r="B24" s="8" t="s">
        <v>76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E16"/>
  <sheetViews>
    <sheetView showGridLines="0" tabSelected="1" zoomScaleNormal="100" workbookViewId="0">
      <selection activeCell="D22" sqref="D22"/>
    </sheetView>
  </sheetViews>
  <sheetFormatPr baseColWidth="10" defaultColWidth="8.6640625" defaultRowHeight="14.4" x14ac:dyDescent="0.3"/>
  <cols>
    <col min="1" max="1" width="2.44140625" customWidth="1"/>
    <col min="2" max="2" width="26" customWidth="1"/>
    <col min="3" max="3" width="22" customWidth="1"/>
    <col min="4" max="4" width="16" customWidth="1"/>
    <col min="5" max="5" width="18" customWidth="1"/>
  </cols>
  <sheetData>
    <row r="2" spans="2:5" ht="19.2" x14ac:dyDescent="0.3">
      <c r="B2" s="1" t="s">
        <v>77</v>
      </c>
    </row>
    <row r="3" spans="2:5" x14ac:dyDescent="0.3">
      <c r="B3" s="5" t="s">
        <v>78</v>
      </c>
    </row>
    <row r="5" spans="2:5" x14ac:dyDescent="0.3">
      <c r="B5" s="5" t="s">
        <v>79</v>
      </c>
      <c r="C5" s="14"/>
      <c r="D5" s="8" t="s">
        <v>80</v>
      </c>
    </row>
    <row r="7" spans="2:5" x14ac:dyDescent="0.3">
      <c r="B7" s="3" t="s">
        <v>81</v>
      </c>
      <c r="C7" s="4"/>
      <c r="D7" s="4"/>
      <c r="E7" s="4"/>
    </row>
    <row r="8" spans="2:5" x14ac:dyDescent="0.3">
      <c r="B8" s="9" t="s">
        <v>82</v>
      </c>
      <c r="C8" s="9" t="s">
        <v>83</v>
      </c>
      <c r="D8" s="9" t="s">
        <v>84</v>
      </c>
      <c r="E8" s="9" t="s">
        <v>85</v>
      </c>
    </row>
    <row r="9" spans="2:5" x14ac:dyDescent="0.3">
      <c r="B9" s="10" t="s">
        <v>86</v>
      </c>
      <c r="C9" s="14"/>
      <c r="D9" s="18" t="e">
        <f>C9/$C$13</f>
        <v>#DIV/0!</v>
      </c>
      <c r="E9" s="17" t="e">
        <f>ROUND($C$5*D9,0)</f>
        <v>#DIV/0!</v>
      </c>
    </row>
    <row r="10" spans="2:5" x14ac:dyDescent="0.3">
      <c r="B10" s="10" t="s">
        <v>87</v>
      </c>
      <c r="C10" s="14"/>
      <c r="D10" s="18" t="e">
        <f>C10/$C$13</f>
        <v>#DIV/0!</v>
      </c>
      <c r="E10" s="17" t="e">
        <f>ROUND($C$5*D10,0)</f>
        <v>#DIV/0!</v>
      </c>
    </row>
    <row r="11" spans="2:5" x14ac:dyDescent="0.3">
      <c r="B11" s="10" t="s">
        <v>88</v>
      </c>
      <c r="C11" s="14"/>
      <c r="D11" s="18" t="e">
        <f>C11/$C$13</f>
        <v>#DIV/0!</v>
      </c>
      <c r="E11" s="17" t="e">
        <f>ROUND($C$5*D11,0)</f>
        <v>#DIV/0!</v>
      </c>
    </row>
    <row r="12" spans="2:5" x14ac:dyDescent="0.3">
      <c r="B12" s="10" t="s">
        <v>89</v>
      </c>
      <c r="C12" s="14"/>
      <c r="D12" s="18" t="e">
        <f>C12/$C$13</f>
        <v>#DIV/0!</v>
      </c>
      <c r="E12" s="17" t="e">
        <f>ROUND($C$5*D12,0)</f>
        <v>#DIV/0!</v>
      </c>
    </row>
    <row r="13" spans="2:5" x14ac:dyDescent="0.3">
      <c r="B13" s="19" t="s">
        <v>90</v>
      </c>
      <c r="C13" s="17">
        <f>SUM(C9:C12)</f>
        <v>0</v>
      </c>
      <c r="D13" s="18" t="e">
        <f>SUM(D9:D12)</f>
        <v>#DIV/0!</v>
      </c>
      <c r="E13" s="17" t="e">
        <f>SUM(E9:E12)</f>
        <v>#DIV/0!</v>
      </c>
    </row>
    <row r="15" spans="2:5" x14ac:dyDescent="0.3">
      <c r="B15" s="8" t="s">
        <v>91</v>
      </c>
    </row>
    <row r="16" spans="2:5" x14ac:dyDescent="0.3">
      <c r="B16" s="8" t="s">
        <v>92</v>
      </c>
    </row>
  </sheetData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Inicio</vt:lpstr>
      <vt:lpstr>1. Proporción</vt:lpstr>
      <vt:lpstr>2. Media</vt:lpstr>
      <vt:lpstr>3. Sistemático</vt:lpstr>
      <vt:lpstr>4. Estratificado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2026-09-22T16:20:58Z</dcterms:created>
  <dcterms:modified xsi:type="dcterms:W3CDTF">2026-09-29T12:30:28Z</dcterms:modified>
  <dc:language>en-US</dc:language>
</cp:coreProperties>
</file>